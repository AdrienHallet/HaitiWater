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nel\Desktop\Documents enregistrés\Protos\Protos 2017-2018\Protos 2018\ARES\Base de données\"/>
    </mc:Choice>
  </mc:AlternateContent>
  <workbookProtection workbookAlgorithmName="SHA-512" workbookHashValue="iQlRO6RH6wezgvoI2CkaX14GkkGZeYsH07a79d79UsJTG6757YEK2M1n0MZYlkYr4s3F0M0bKQnn5BNzx3dMRw==" workbookSaltValue="Z3ykrejXNQm/B/cjUPYr1g==" workbookSpinCount="100000" lockStructure="1"/>
  <bookViews>
    <workbookView xWindow="0" yWindow="0" windowWidth="24000" windowHeight="9735" tabRatio="760"/>
  </bookViews>
  <sheets>
    <sheet name="Acceuil" sheetId="6" r:id="rId1"/>
    <sheet name="info fontaine" sheetId="10" state="hidden" r:id="rId2"/>
    <sheet name="Budget" sheetId="12" r:id="rId3"/>
    <sheet name="Compt." sheetId="8" r:id="rId4"/>
    <sheet name="Stockage" sheetId="7" state="hidden" r:id="rId5"/>
    <sheet name="Info2" sheetId="13" state="hidden" r:id="rId6"/>
    <sheet name="liste_des_abonnés" sheetId="2" r:id="rId7"/>
    <sheet name="Redevance" sheetId="3" r:id="rId8"/>
    <sheet name="Listes" sheetId="15" r:id="rId9"/>
    <sheet name="CE_et_liste_fontaines" sheetId="4" r:id="rId10"/>
    <sheet name="COF" sheetId="5" r:id="rId11"/>
    <sheet name="Carte" sheetId="14" r:id="rId12"/>
  </sheets>
  <definedNames>
    <definedName name="F_nom">OFFSET(P_nom,0,0,COUNTA(l_nom),1)</definedName>
    <definedName name="l_nom">liste_des_abonnés!$B:$B</definedName>
    <definedName name="P_nom">liste_des_abonnés!$B$6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7" l="1"/>
  <c r="K15" i="7"/>
  <c r="K14" i="7"/>
  <c r="K13" i="7"/>
  <c r="K12" i="7"/>
  <c r="K11" i="7"/>
  <c r="K10" i="7"/>
  <c r="K9" i="7"/>
  <c r="K8" i="7"/>
  <c r="K7" i="7"/>
  <c r="K6" i="7"/>
  <c r="K5" i="7"/>
  <c r="K4" i="7"/>
  <c r="C13" i="10" l="1"/>
  <c r="A12" i="8"/>
  <c r="A13" i="8"/>
  <c r="A14" i="8"/>
  <c r="A15" i="8"/>
  <c r="A11" i="12"/>
  <c r="L13" i="6" l="1"/>
  <c r="J5" i="12"/>
  <c r="J6" i="12"/>
  <c r="J7" i="12"/>
  <c r="J8" i="12"/>
  <c r="J9" i="12"/>
  <c r="J10" i="12"/>
  <c r="Z5" i="12"/>
  <c r="Z6" i="12"/>
  <c r="Z7" i="12"/>
  <c r="Z8" i="12"/>
  <c r="AH5" i="12"/>
  <c r="AH6" i="12"/>
  <c r="AH7" i="12"/>
  <c r="AH8" i="12"/>
  <c r="AP5" i="12"/>
  <c r="M16" i="7" l="1"/>
  <c r="M15" i="7"/>
  <c r="M14" i="7"/>
  <c r="M13" i="7"/>
  <c r="M12" i="7"/>
  <c r="M11" i="7"/>
  <c r="M10" i="7"/>
  <c r="M9" i="7"/>
  <c r="M8" i="7"/>
  <c r="M7" i="7"/>
  <c r="M6" i="7"/>
  <c r="M4" i="7"/>
  <c r="M5" i="7"/>
  <c r="L16" i="7"/>
  <c r="L15" i="7"/>
  <c r="L14" i="7"/>
  <c r="L13" i="7"/>
  <c r="L12" i="7"/>
  <c r="L11" i="7"/>
  <c r="L10" i="7"/>
  <c r="L8" i="7"/>
  <c r="L7" i="7"/>
  <c r="L6" i="7"/>
  <c r="L5" i="7"/>
  <c r="L4" i="7"/>
  <c r="J4" i="7" l="1"/>
  <c r="J5" i="7"/>
  <c r="J6" i="7"/>
  <c r="J7" i="7"/>
  <c r="J8" i="7"/>
  <c r="J9" i="7"/>
  <c r="J10" i="7"/>
  <c r="J11" i="7"/>
  <c r="J12" i="7"/>
  <c r="J13" i="7"/>
  <c r="J14" i="7"/>
  <c r="J15" i="7"/>
  <c r="J16" i="7"/>
  <c r="J3" i="7"/>
  <c r="L3" i="7"/>
  <c r="AQ11" i="15" l="1"/>
  <c r="AR11" i="15"/>
  <c r="AS11" i="15"/>
  <c r="AQ12" i="15"/>
  <c r="Q21" i="15" s="1"/>
  <c r="AR12" i="15"/>
  <c r="AS12" i="15"/>
  <c r="AN11" i="15"/>
  <c r="AO11" i="15"/>
  <c r="AP11" i="15"/>
  <c r="AN12" i="15"/>
  <c r="P21" i="15" s="1"/>
  <c r="AO12" i="15"/>
  <c r="AP12" i="15"/>
  <c r="AK11" i="15"/>
  <c r="AL11" i="15"/>
  <c r="AM11" i="15"/>
  <c r="AK12" i="15"/>
  <c r="O21" i="15" s="1"/>
  <c r="AL12" i="15"/>
  <c r="AM12" i="15"/>
  <c r="AH11" i="15"/>
  <c r="AI11" i="15"/>
  <c r="AJ11" i="15"/>
  <c r="AH12" i="15"/>
  <c r="N21" i="15" s="1"/>
  <c r="AI12" i="15"/>
  <c r="AJ12" i="15"/>
  <c r="AE11" i="15"/>
  <c r="AF11" i="15"/>
  <c r="AG11" i="15"/>
  <c r="AE12" i="15"/>
  <c r="M21" i="15" s="1"/>
  <c r="AF12" i="15"/>
  <c r="AG12" i="15"/>
  <c r="AB11" i="15"/>
  <c r="AC11" i="15"/>
  <c r="AD11" i="15"/>
  <c r="AB12" i="15"/>
  <c r="L21" i="15" s="1"/>
  <c r="AC12" i="15"/>
  <c r="AD12" i="15"/>
  <c r="Y11" i="15"/>
  <c r="Z11" i="15"/>
  <c r="AA11" i="15"/>
  <c r="Y12" i="15"/>
  <c r="Z12" i="15"/>
  <c r="AA12" i="15"/>
  <c r="V11" i="15"/>
  <c r="W11" i="15"/>
  <c r="X11" i="15"/>
  <c r="V12" i="15"/>
  <c r="W12" i="15"/>
  <c r="X12" i="15"/>
  <c r="S11" i="15"/>
  <c r="T11" i="15"/>
  <c r="U11" i="15"/>
  <c r="S12" i="15"/>
  <c r="T12" i="15"/>
  <c r="U12" i="15"/>
  <c r="DE7" i="8"/>
  <c r="DE8" i="8"/>
  <c r="DE9" i="8"/>
  <c r="DE10" i="8"/>
  <c r="DE11" i="8"/>
  <c r="DE6" i="8"/>
  <c r="CW7" i="8"/>
  <c r="CW8" i="8"/>
  <c r="CW9" i="8"/>
  <c r="CW10" i="8"/>
  <c r="CW11" i="8"/>
  <c r="CW6" i="8"/>
  <c r="CO7" i="8"/>
  <c r="CO8" i="8"/>
  <c r="CO9" i="8"/>
  <c r="CO10" i="8"/>
  <c r="CO11" i="8"/>
  <c r="CO6" i="8"/>
  <c r="CG7" i="8"/>
  <c r="CG8" i="8"/>
  <c r="CG9" i="8"/>
  <c r="CG10" i="8"/>
  <c r="CG11" i="8"/>
  <c r="CG6" i="8"/>
  <c r="BY7" i="8"/>
  <c r="BY8" i="8"/>
  <c r="BY9" i="8"/>
  <c r="BY10" i="8"/>
  <c r="BY11" i="8"/>
  <c r="BY6" i="8"/>
  <c r="BQ7" i="8"/>
  <c r="BQ8" i="8"/>
  <c r="BQ9" i="8"/>
  <c r="BQ10" i="8"/>
  <c r="BQ11" i="8"/>
  <c r="BQ6" i="8"/>
  <c r="BI7" i="8"/>
  <c r="BI8" i="8"/>
  <c r="BI9" i="8"/>
  <c r="BI10" i="8"/>
  <c r="BI11" i="8"/>
  <c r="BI6" i="8"/>
  <c r="BA7" i="8"/>
  <c r="BA8" i="8"/>
  <c r="BA9" i="8"/>
  <c r="BA10" i="8"/>
  <c r="BA11" i="8"/>
  <c r="BA6" i="8"/>
  <c r="AS7" i="8"/>
  <c r="AS8" i="8"/>
  <c r="AS9" i="8"/>
  <c r="AS10" i="8"/>
  <c r="AS11" i="8"/>
  <c r="AS6" i="8"/>
  <c r="AK7" i="8"/>
  <c r="AK8" i="8"/>
  <c r="AK9" i="8"/>
  <c r="AK10" i="8"/>
  <c r="AK11" i="8"/>
  <c r="AK6" i="8"/>
  <c r="AC7" i="8"/>
  <c r="AC8" i="8"/>
  <c r="AC9" i="8"/>
  <c r="AC10" i="8"/>
  <c r="AC11" i="8"/>
  <c r="AC6" i="8"/>
  <c r="U11" i="8"/>
  <c r="U7" i="8"/>
  <c r="U8" i="8"/>
  <c r="U9" i="8"/>
  <c r="U10" i="8"/>
  <c r="U6" i="8"/>
  <c r="M7" i="8"/>
  <c r="M8" i="8"/>
  <c r="M9" i="8"/>
  <c r="M10" i="8"/>
  <c r="M11" i="8"/>
  <c r="M6" i="8"/>
  <c r="E7" i="8"/>
  <c r="E8" i="8"/>
  <c r="E9" i="8"/>
  <c r="E10" i="8"/>
  <c r="E11" i="8"/>
  <c r="E6" i="8"/>
  <c r="G6" i="8" s="1"/>
  <c r="P11" i="15"/>
  <c r="Q11" i="15"/>
  <c r="R11" i="15"/>
  <c r="P12" i="15"/>
  <c r="Q12" i="15"/>
  <c r="R12" i="15"/>
  <c r="M11" i="15"/>
  <c r="N11" i="15"/>
  <c r="O11" i="15"/>
  <c r="M12" i="15"/>
  <c r="N12" i="15"/>
  <c r="O12" i="15"/>
  <c r="J11" i="15"/>
  <c r="K11" i="15"/>
  <c r="L11" i="15"/>
  <c r="J12" i="15"/>
  <c r="K12" i="15"/>
  <c r="L12" i="15"/>
  <c r="I11" i="15"/>
  <c r="I12" i="15"/>
  <c r="H11" i="15"/>
  <c r="H12" i="15"/>
  <c r="G11" i="15"/>
  <c r="G12" i="15"/>
  <c r="F11" i="15"/>
  <c r="F12" i="15"/>
  <c r="K7" i="15" l="1"/>
  <c r="N8" i="15"/>
  <c r="J9" i="15"/>
  <c r="N9" i="15"/>
  <c r="N7" i="15"/>
  <c r="M8" i="15"/>
  <c r="O8" i="15" s="1"/>
  <c r="Q8" i="15"/>
  <c r="S8" i="15"/>
  <c r="S9" i="15"/>
  <c r="T10" i="15"/>
  <c r="T7" i="15"/>
  <c r="V8" i="15"/>
  <c r="V9" i="15"/>
  <c r="W10" i="15"/>
  <c r="Y8" i="15"/>
  <c r="Y9" i="15"/>
  <c r="Z10" i="15"/>
  <c r="Z7" i="15"/>
  <c r="AB8" i="15"/>
  <c r="AB9" i="15"/>
  <c r="AC10" i="15"/>
  <c r="AC7" i="15"/>
  <c r="AE8" i="15"/>
  <c r="AE9" i="15"/>
  <c r="AF10" i="15"/>
  <c r="AF7" i="15"/>
  <c r="AH8" i="15"/>
  <c r="AH9" i="15"/>
  <c r="AI10" i="15"/>
  <c r="AI7" i="15"/>
  <c r="AK8" i="15"/>
  <c r="AK9" i="15"/>
  <c r="AL10" i="15"/>
  <c r="AL7" i="15"/>
  <c r="AN8" i="15"/>
  <c r="AN9" i="15"/>
  <c r="AO10" i="15"/>
  <c r="AO7" i="15"/>
  <c r="AQ8" i="15"/>
  <c r="AQ9" i="15"/>
  <c r="AR10" i="15"/>
  <c r="AR7" i="15"/>
  <c r="S10" i="15"/>
  <c r="T8" i="15"/>
  <c r="V10" i="15"/>
  <c r="W8" i="15"/>
  <c r="Z9" i="15"/>
  <c r="AB10" i="15"/>
  <c r="AC8" i="15"/>
  <c r="AF9" i="15"/>
  <c r="AH10" i="15"/>
  <c r="AI8" i="15"/>
  <c r="AL9" i="15"/>
  <c r="AN10" i="15"/>
  <c r="AO8" i="15"/>
  <c r="AP8" i="15" s="1"/>
  <c r="AR9" i="15"/>
  <c r="M10" i="15"/>
  <c r="P9" i="15"/>
  <c r="T9" i="15"/>
  <c r="W7" i="15"/>
  <c r="W9" i="15"/>
  <c r="Y10" i="15"/>
  <c r="Z8" i="15"/>
  <c r="AC9" i="15"/>
  <c r="AE10" i="15"/>
  <c r="AF8" i="15"/>
  <c r="AI9" i="15"/>
  <c r="AK10" i="15"/>
  <c r="AL8" i="15"/>
  <c r="AO9" i="15"/>
  <c r="AQ10" i="15"/>
  <c r="AR8" i="15"/>
  <c r="J8" i="15"/>
  <c r="P10" i="15"/>
  <c r="P8" i="15"/>
  <c r="R8" i="15" s="1"/>
  <c r="Q7" i="15"/>
  <c r="Q10" i="15"/>
  <c r="Q9" i="15"/>
  <c r="N10" i="15"/>
  <c r="M9" i="15"/>
  <c r="O9" i="15" s="1"/>
  <c r="K10" i="15"/>
  <c r="K8" i="15"/>
  <c r="J10" i="15"/>
  <c r="L10" i="15" s="1"/>
  <c r="K9" i="15"/>
  <c r="DI5" i="8"/>
  <c r="DA5" i="8"/>
  <c r="CS5" i="8"/>
  <c r="CK5" i="8"/>
  <c r="CC5" i="8"/>
  <c r="BU5" i="8"/>
  <c r="BM5" i="8"/>
  <c r="BE5" i="8"/>
  <c r="AW5" i="8"/>
  <c r="AO5" i="8"/>
  <c r="AG5" i="8"/>
  <c r="Y5" i="8"/>
  <c r="Q5" i="8"/>
  <c r="DG7" i="8"/>
  <c r="DG8" i="8"/>
  <c r="DG9" i="8"/>
  <c r="DG10" i="8"/>
  <c r="DG11" i="8"/>
  <c r="CY7" i="8"/>
  <c r="CY8" i="8"/>
  <c r="CY9" i="8"/>
  <c r="CY10" i="8"/>
  <c r="CY11" i="8"/>
  <c r="CQ7" i="8"/>
  <c r="CQ8" i="8"/>
  <c r="CQ9" i="8"/>
  <c r="CQ10" i="8"/>
  <c r="CQ11" i="8"/>
  <c r="CI7" i="8"/>
  <c r="CI8" i="8"/>
  <c r="CI9" i="8"/>
  <c r="CI10" i="8"/>
  <c r="CI11" i="8"/>
  <c r="CA7" i="8"/>
  <c r="CA8" i="8"/>
  <c r="CA9" i="8"/>
  <c r="CA10" i="8"/>
  <c r="CA11" i="8"/>
  <c r="BS7" i="8"/>
  <c r="BS8" i="8"/>
  <c r="BS9" i="8"/>
  <c r="BS10" i="8"/>
  <c r="BS11" i="8"/>
  <c r="BK7" i="8"/>
  <c r="BK8" i="8"/>
  <c r="BK9" i="8"/>
  <c r="BK10" i="8"/>
  <c r="BK11" i="8"/>
  <c r="BC7" i="8"/>
  <c r="BC8" i="8"/>
  <c r="BC9" i="8"/>
  <c r="BC10" i="8"/>
  <c r="BC11" i="8"/>
  <c r="AU7" i="8"/>
  <c r="AU8" i="8"/>
  <c r="AU9" i="8"/>
  <c r="AU10" i="8"/>
  <c r="AU11" i="8"/>
  <c r="AM7" i="8"/>
  <c r="AM8" i="8"/>
  <c r="AM9" i="8"/>
  <c r="AM10" i="8"/>
  <c r="AM11" i="8"/>
  <c r="AE7" i="8"/>
  <c r="AE8" i="8"/>
  <c r="AE9" i="8"/>
  <c r="AE10" i="8"/>
  <c r="AE11" i="8"/>
  <c r="W7" i="8"/>
  <c r="W8" i="8"/>
  <c r="W9" i="8"/>
  <c r="W10" i="8"/>
  <c r="W11" i="8"/>
  <c r="O7" i="8"/>
  <c r="O8" i="8"/>
  <c r="O9" i="8"/>
  <c r="O10" i="8"/>
  <c r="O11" i="8"/>
  <c r="G7" i="8"/>
  <c r="G8" i="8"/>
  <c r="G9" i="8"/>
  <c r="G10" i="8"/>
  <c r="G11" i="8"/>
  <c r="A8" i="12"/>
  <c r="A9" i="12"/>
  <c r="A10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B52" i="12" s="1"/>
  <c r="A53" i="12"/>
  <c r="B53" i="12" s="1"/>
  <c r="A54" i="12"/>
  <c r="B54" i="12" s="1"/>
  <c r="A55" i="12"/>
  <c r="B55" i="12" s="1"/>
  <c r="A56" i="12"/>
  <c r="B56" i="12" s="1"/>
  <c r="A57" i="12"/>
  <c r="B57" i="12" s="1"/>
  <c r="A58" i="12"/>
  <c r="B58" i="12" s="1"/>
  <c r="A59" i="12"/>
  <c r="B59" i="12" s="1"/>
  <c r="A60" i="12"/>
  <c r="B60" i="12" s="1"/>
  <c r="A61" i="12"/>
  <c r="B61" i="12" s="1"/>
  <c r="A62" i="12"/>
  <c r="B62" i="12" s="1"/>
  <c r="A63" i="12"/>
  <c r="B63" i="12" s="1"/>
  <c r="A64" i="12"/>
  <c r="B64" i="12" s="1"/>
  <c r="A65" i="12"/>
  <c r="B65" i="12" s="1"/>
  <c r="A66" i="12"/>
  <c r="B66" i="12" s="1"/>
  <c r="A67" i="12"/>
  <c r="B67" i="12" s="1"/>
  <c r="A68" i="12"/>
  <c r="B68" i="12" s="1"/>
  <c r="A69" i="12"/>
  <c r="B69" i="12" s="1"/>
  <c r="A9" i="8"/>
  <c r="B9" i="8" s="1"/>
  <c r="A10" i="8"/>
  <c r="B10" i="8" s="1"/>
  <c r="A11" i="8"/>
  <c r="B11" i="8" s="1"/>
  <c r="B12" i="8"/>
  <c r="B13" i="8"/>
  <c r="B14" i="8"/>
  <c r="B15" i="8"/>
  <c r="A16" i="8"/>
  <c r="B16" i="8" s="1"/>
  <c r="A17" i="8"/>
  <c r="B17" i="8" s="1"/>
  <c r="A18" i="8"/>
  <c r="B18" i="8" s="1"/>
  <c r="A19" i="8"/>
  <c r="B19" i="8" s="1"/>
  <c r="A20" i="8"/>
  <c r="B20" i="8" s="1"/>
  <c r="A21" i="8"/>
  <c r="B21" i="8" s="1"/>
  <c r="A22" i="8"/>
  <c r="B22" i="8" s="1"/>
  <c r="A23" i="8"/>
  <c r="B23" i="8" s="1"/>
  <c r="A24" i="8"/>
  <c r="B24" i="8" s="1"/>
  <c r="A25" i="8"/>
  <c r="B25" i="8" s="1"/>
  <c r="A26" i="8"/>
  <c r="B26" i="8" s="1"/>
  <c r="A27" i="8"/>
  <c r="B27" i="8" s="1"/>
  <c r="A28" i="8"/>
  <c r="B28" i="8" s="1"/>
  <c r="A29" i="8"/>
  <c r="B29" i="8" s="1"/>
  <c r="A30" i="8"/>
  <c r="B30" i="8" s="1"/>
  <c r="A31" i="8"/>
  <c r="B31" i="8" s="1"/>
  <c r="A32" i="8"/>
  <c r="B32" i="8" s="1"/>
  <c r="A33" i="8"/>
  <c r="B33" i="8" s="1"/>
  <c r="A34" i="8"/>
  <c r="B34" i="8" s="1"/>
  <c r="A35" i="8"/>
  <c r="B35" i="8" s="1"/>
  <c r="A36" i="8"/>
  <c r="B36" i="8" s="1"/>
  <c r="A37" i="8"/>
  <c r="B37" i="8" s="1"/>
  <c r="A38" i="8"/>
  <c r="B38" i="8" s="1"/>
  <c r="A39" i="8"/>
  <c r="B39" i="8" s="1"/>
  <c r="A40" i="8"/>
  <c r="B40" i="8" s="1"/>
  <c r="A41" i="8"/>
  <c r="B41" i="8" s="1"/>
  <c r="A42" i="8"/>
  <c r="B42" i="8" s="1"/>
  <c r="A43" i="8"/>
  <c r="B43" i="8" s="1"/>
  <c r="A44" i="8"/>
  <c r="B44" i="8" s="1"/>
  <c r="A45" i="8"/>
  <c r="B45" i="8" s="1"/>
  <c r="A46" i="8"/>
  <c r="B46" i="8" s="1"/>
  <c r="A47" i="8"/>
  <c r="B47" i="8" s="1"/>
  <c r="A48" i="8"/>
  <c r="B48" i="8" s="1"/>
  <c r="A49" i="8"/>
  <c r="B49" i="8" s="1"/>
  <c r="A50" i="8"/>
  <c r="B50" i="8" s="1"/>
  <c r="A51" i="8"/>
  <c r="B51" i="8" s="1"/>
  <c r="A52" i="8"/>
  <c r="B52" i="8" s="1"/>
  <c r="A53" i="8"/>
  <c r="B53" i="8" s="1"/>
  <c r="A54" i="8"/>
  <c r="B54" i="8" s="1"/>
  <c r="A55" i="8"/>
  <c r="B55" i="8" s="1"/>
  <c r="A56" i="8"/>
  <c r="B56" i="8" s="1"/>
  <c r="A57" i="8"/>
  <c r="B57" i="8" s="1"/>
  <c r="A58" i="8"/>
  <c r="B58" i="8" s="1"/>
  <c r="A59" i="8"/>
  <c r="B59" i="8" s="1"/>
  <c r="A60" i="8"/>
  <c r="B60" i="8" s="1"/>
  <c r="A61" i="8"/>
  <c r="B61" i="8" s="1"/>
  <c r="A62" i="8"/>
  <c r="B62" i="8" s="1"/>
  <c r="A63" i="8"/>
  <c r="B63" i="8" s="1"/>
  <c r="A64" i="8"/>
  <c r="B64" i="8" s="1"/>
  <c r="A65" i="8"/>
  <c r="B65" i="8" s="1"/>
  <c r="A66" i="8"/>
  <c r="B66" i="8" s="1"/>
  <c r="A67" i="8"/>
  <c r="B67" i="8" s="1"/>
  <c r="A68" i="8"/>
  <c r="B68" i="8" s="1"/>
  <c r="A69" i="8"/>
  <c r="B69" i="8" s="1"/>
  <c r="A70" i="8"/>
  <c r="B70" i="8" s="1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K3" i="7" l="1"/>
  <c r="J10" i="6" s="1"/>
  <c r="AD8" i="15"/>
  <c r="AH7" i="15"/>
  <c r="AJ7" i="15" s="1"/>
  <c r="I14" i="7"/>
  <c r="N13" i="7"/>
  <c r="AN7" i="15"/>
  <c r="AN13" i="15" s="1"/>
  <c r="E27" i="15" s="1"/>
  <c r="I16" i="7"/>
  <c r="N15" i="7"/>
  <c r="AE7" i="15"/>
  <c r="AE13" i="15" s="1"/>
  <c r="E24" i="15" s="1"/>
  <c r="I13" i="7"/>
  <c r="N12" i="7"/>
  <c r="AK7" i="15"/>
  <c r="AK13" i="15" s="1"/>
  <c r="E26" i="15" s="1"/>
  <c r="I15" i="7"/>
  <c r="N14" i="7"/>
  <c r="AQ7" i="15"/>
  <c r="AQ13" i="15" s="1"/>
  <c r="E28" i="15" s="1"/>
  <c r="N16" i="7"/>
  <c r="I6" i="7"/>
  <c r="N5" i="7"/>
  <c r="P7" i="15"/>
  <c r="R7" i="15" s="1"/>
  <c r="I8" i="7"/>
  <c r="N7" i="7"/>
  <c r="AB7" i="15"/>
  <c r="AD7" i="15" s="1"/>
  <c r="I12" i="7"/>
  <c r="N11" i="7"/>
  <c r="I5" i="7"/>
  <c r="N4" i="7"/>
  <c r="M7" i="15"/>
  <c r="O7" i="15" s="1"/>
  <c r="I7" i="7"/>
  <c r="N6" i="7"/>
  <c r="S7" i="15"/>
  <c r="U7" i="15" s="1"/>
  <c r="I9" i="7"/>
  <c r="N8" i="7"/>
  <c r="Y7" i="15"/>
  <c r="AA7" i="15" s="1"/>
  <c r="I11" i="7"/>
  <c r="N10" i="7"/>
  <c r="N9" i="7"/>
  <c r="I10" i="7"/>
  <c r="L9" i="7"/>
  <c r="V7" i="15"/>
  <c r="X7" i="15" s="1"/>
  <c r="AM7" i="15"/>
  <c r="AJ8" i="15"/>
  <c r="R10" i="15"/>
  <c r="L9" i="15"/>
  <c r="Z13" i="15"/>
  <c r="F22" i="15" s="1"/>
  <c r="R9" i="15"/>
  <c r="X8" i="15"/>
  <c r="U8" i="15"/>
  <c r="AP10" i="15"/>
  <c r="AJ10" i="15"/>
  <c r="AF13" i="15"/>
  <c r="F24" i="15" s="1"/>
  <c r="AD10" i="15"/>
  <c r="T13" i="15"/>
  <c r="F20" i="15" s="1"/>
  <c r="AC13" i="15"/>
  <c r="F23" i="15" s="1"/>
  <c r="AP7" i="15"/>
  <c r="AH13" i="15"/>
  <c r="E25" i="15" s="1"/>
  <c r="AS10" i="15"/>
  <c r="AM10" i="15"/>
  <c r="AG10" i="15"/>
  <c r="AA10" i="15"/>
  <c r="X9" i="15"/>
  <c r="U9" i="15"/>
  <c r="AL13" i="15"/>
  <c r="F26" i="15" s="1"/>
  <c r="AO13" i="15"/>
  <c r="F27" i="15" s="1"/>
  <c r="AR13" i="15"/>
  <c r="F28" i="15" s="1"/>
  <c r="L8" i="15"/>
  <c r="O10" i="15"/>
  <c r="AI13" i="15"/>
  <c r="F25" i="15" s="1"/>
  <c r="AS8" i="15"/>
  <c r="AS7" i="15"/>
  <c r="AM8" i="15"/>
  <c r="AG8" i="15"/>
  <c r="AA8" i="15"/>
  <c r="W13" i="15"/>
  <c r="F21" i="15" s="1"/>
  <c r="AS9" i="15"/>
  <c r="AP9" i="15"/>
  <c r="AM9" i="15"/>
  <c r="AJ9" i="15"/>
  <c r="AG9" i="15"/>
  <c r="AD9" i="15"/>
  <c r="AA9" i="15"/>
  <c r="X10" i="15"/>
  <c r="U10" i="15"/>
  <c r="Q13" i="15"/>
  <c r="F19" i="15" s="1"/>
  <c r="N13" i="15"/>
  <c r="F18" i="15" s="1"/>
  <c r="E8" i="15"/>
  <c r="E10" i="15"/>
  <c r="E12" i="15"/>
  <c r="E7" i="15"/>
  <c r="D9" i="15"/>
  <c r="D11" i="15"/>
  <c r="E9" i="15"/>
  <c r="D8" i="15"/>
  <c r="D12" i="15"/>
  <c r="E11" i="15"/>
  <c r="D10" i="15"/>
  <c r="H9" i="15"/>
  <c r="H7" i="15"/>
  <c r="G9" i="15"/>
  <c r="I9" i="15" s="1"/>
  <c r="G7" i="15"/>
  <c r="H8" i="15"/>
  <c r="H10" i="15"/>
  <c r="G8" i="15"/>
  <c r="G10" i="15"/>
  <c r="I10" i="15" s="1"/>
  <c r="K13" i="15"/>
  <c r="F17" i="15" s="1"/>
  <c r="J7" i="15"/>
  <c r="L7" i="15" s="1"/>
  <c r="O6" i="8"/>
  <c r="W6" i="8"/>
  <c r="AE6" i="8"/>
  <c r="AM6" i="8"/>
  <c r="AU6" i="8"/>
  <c r="BC6" i="8"/>
  <c r="BK6" i="8"/>
  <c r="BS6" i="8"/>
  <c r="CA6" i="8"/>
  <c r="CI6" i="8"/>
  <c r="CQ6" i="8"/>
  <c r="CY6" i="8"/>
  <c r="DG6" i="8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I8" i="15" l="1"/>
  <c r="AG7" i="15"/>
  <c r="P13" i="15"/>
  <c r="E19" i="15" s="1"/>
  <c r="O13" i="15"/>
  <c r="G18" i="15" s="1"/>
  <c r="F8" i="15"/>
  <c r="M13" i="15"/>
  <c r="E18" i="15" s="1"/>
  <c r="AB13" i="15"/>
  <c r="E23" i="15" s="1"/>
  <c r="Y13" i="15"/>
  <c r="E22" i="15" s="1"/>
  <c r="AD13" i="15"/>
  <c r="G23" i="15" s="1"/>
  <c r="S13" i="15"/>
  <c r="E20" i="15" s="1"/>
  <c r="V13" i="15"/>
  <c r="E21" i="15" s="1"/>
  <c r="F10" i="15"/>
  <c r="R13" i="15"/>
  <c r="G19" i="15" s="1"/>
  <c r="X13" i="15"/>
  <c r="G21" i="15" s="1"/>
  <c r="AJ13" i="15"/>
  <c r="G25" i="15" s="1"/>
  <c r="U13" i="15"/>
  <c r="G20" i="15" s="1"/>
  <c r="AA13" i="15"/>
  <c r="G22" i="15" s="1"/>
  <c r="AM13" i="15"/>
  <c r="G26" i="15" s="1"/>
  <c r="L13" i="15"/>
  <c r="G17" i="15" s="1"/>
  <c r="AG13" i="15"/>
  <c r="G24" i="15" s="1"/>
  <c r="AS13" i="15"/>
  <c r="G28" i="15" s="1"/>
  <c r="AP13" i="15"/>
  <c r="G27" i="15" s="1"/>
  <c r="E13" i="15"/>
  <c r="F15" i="15" s="1"/>
  <c r="I7" i="15"/>
  <c r="I13" i="15" s="1"/>
  <c r="G16" i="15" s="1"/>
  <c r="G13" i="15"/>
  <c r="E16" i="15" s="1"/>
  <c r="J13" i="15"/>
  <c r="E17" i="15" s="1"/>
  <c r="H13" i="15"/>
  <c r="F16" i="15" s="1"/>
  <c r="F9" i="15"/>
  <c r="L14" i="6"/>
  <c r="H17" i="6"/>
  <c r="M3" i="7"/>
  <c r="I3" i="7"/>
  <c r="DJ5" i="12"/>
  <c r="DJ6" i="12"/>
  <c r="DJ7" i="12"/>
  <c r="DJ8" i="12"/>
  <c r="DJ9" i="12"/>
  <c r="DJ10" i="12"/>
  <c r="DJ11" i="12"/>
  <c r="DJ12" i="12"/>
  <c r="DJ13" i="12"/>
  <c r="DJ14" i="12"/>
  <c r="DJ15" i="12"/>
  <c r="DJ16" i="12"/>
  <c r="DJ17" i="12"/>
  <c r="DJ18" i="12"/>
  <c r="DJ19" i="12"/>
  <c r="DJ20" i="12"/>
  <c r="DJ21" i="12"/>
  <c r="DJ22" i="12"/>
  <c r="DJ23" i="12"/>
  <c r="DJ24" i="12"/>
  <c r="DJ25" i="12"/>
  <c r="DJ26" i="12"/>
  <c r="DJ27" i="12"/>
  <c r="DJ28" i="12"/>
  <c r="DJ29" i="12"/>
  <c r="DJ30" i="12"/>
  <c r="DJ31" i="12"/>
  <c r="DJ32" i="12"/>
  <c r="DJ33" i="12"/>
  <c r="DJ34" i="12"/>
  <c r="DJ35" i="12"/>
  <c r="DJ36" i="12"/>
  <c r="DJ37" i="12"/>
  <c r="DJ38" i="12"/>
  <c r="DJ39" i="12"/>
  <c r="DJ40" i="12"/>
  <c r="DJ41" i="12"/>
  <c r="DJ42" i="12"/>
  <c r="DJ43" i="12"/>
  <c r="DJ44" i="12"/>
  <c r="DJ45" i="12"/>
  <c r="DJ46" i="12"/>
  <c r="DJ47" i="12"/>
  <c r="DJ48" i="12"/>
  <c r="DJ49" i="12"/>
  <c r="DJ50" i="12"/>
  <c r="DJ51" i="12"/>
  <c r="DJ52" i="12"/>
  <c r="DJ53" i="12"/>
  <c r="DJ54" i="12"/>
  <c r="DJ55" i="12"/>
  <c r="DJ56" i="12"/>
  <c r="DJ57" i="12"/>
  <c r="DJ58" i="12"/>
  <c r="DJ59" i="12"/>
  <c r="DJ60" i="12"/>
  <c r="DJ61" i="12"/>
  <c r="DJ62" i="12"/>
  <c r="DJ63" i="12"/>
  <c r="DJ64" i="12"/>
  <c r="DJ65" i="12"/>
  <c r="DJ66" i="12"/>
  <c r="DJ67" i="12"/>
  <c r="DJ68" i="12"/>
  <c r="DJ69" i="12"/>
  <c r="DJ70" i="12"/>
  <c r="DB5" i="12"/>
  <c r="DB6" i="12"/>
  <c r="DB7" i="12"/>
  <c r="DB8" i="12"/>
  <c r="DB9" i="12"/>
  <c r="DB10" i="12"/>
  <c r="DB11" i="12"/>
  <c r="DB12" i="12"/>
  <c r="DB13" i="12"/>
  <c r="DB14" i="12"/>
  <c r="DB15" i="12"/>
  <c r="DB16" i="12"/>
  <c r="DB17" i="12"/>
  <c r="DB18" i="12"/>
  <c r="DB19" i="12"/>
  <c r="DB20" i="12"/>
  <c r="DB21" i="12"/>
  <c r="DB22" i="12"/>
  <c r="DB23" i="12"/>
  <c r="DB24" i="12"/>
  <c r="DB25" i="12"/>
  <c r="DB26" i="12"/>
  <c r="DB27" i="12"/>
  <c r="DB28" i="12"/>
  <c r="DB29" i="12"/>
  <c r="DB30" i="12"/>
  <c r="DB31" i="12"/>
  <c r="DB32" i="12"/>
  <c r="DB33" i="12"/>
  <c r="DB34" i="12"/>
  <c r="DB35" i="12"/>
  <c r="DB36" i="12"/>
  <c r="DB37" i="12"/>
  <c r="DB38" i="12"/>
  <c r="DB39" i="12"/>
  <c r="DB40" i="12"/>
  <c r="DB41" i="12"/>
  <c r="DB42" i="12"/>
  <c r="DB43" i="12"/>
  <c r="DB44" i="12"/>
  <c r="DB45" i="12"/>
  <c r="DB46" i="12"/>
  <c r="DB47" i="12"/>
  <c r="DB48" i="12"/>
  <c r="DB49" i="12"/>
  <c r="DB50" i="12"/>
  <c r="DB51" i="12"/>
  <c r="DB52" i="12"/>
  <c r="DB53" i="12"/>
  <c r="DB54" i="12"/>
  <c r="DB55" i="12"/>
  <c r="DB56" i="12"/>
  <c r="DB57" i="12"/>
  <c r="DB58" i="12"/>
  <c r="DB59" i="12"/>
  <c r="DB60" i="12"/>
  <c r="DB61" i="12"/>
  <c r="DB62" i="12"/>
  <c r="DB63" i="12"/>
  <c r="DB64" i="12"/>
  <c r="DB65" i="12"/>
  <c r="DB66" i="12"/>
  <c r="DB67" i="12"/>
  <c r="DB68" i="12"/>
  <c r="DB69" i="12"/>
  <c r="DB70" i="12"/>
  <c r="CT5" i="12"/>
  <c r="CT6" i="12"/>
  <c r="CT7" i="12"/>
  <c r="CT8" i="12"/>
  <c r="CT9" i="12"/>
  <c r="CT10" i="12"/>
  <c r="CT11" i="12"/>
  <c r="CT12" i="12"/>
  <c r="CT13" i="12"/>
  <c r="CT14" i="12"/>
  <c r="CT15" i="12"/>
  <c r="CT16" i="12"/>
  <c r="CT17" i="12"/>
  <c r="CT18" i="12"/>
  <c r="CT19" i="12"/>
  <c r="CT20" i="12"/>
  <c r="CT21" i="12"/>
  <c r="CT22" i="12"/>
  <c r="CT23" i="12"/>
  <c r="CT24" i="12"/>
  <c r="CT25" i="12"/>
  <c r="CT26" i="12"/>
  <c r="CT27" i="12"/>
  <c r="CT28" i="12"/>
  <c r="CT29" i="12"/>
  <c r="CT30" i="12"/>
  <c r="CT31" i="12"/>
  <c r="CT32" i="12"/>
  <c r="CT33" i="12"/>
  <c r="CT34" i="12"/>
  <c r="CT35" i="12"/>
  <c r="CT36" i="12"/>
  <c r="CT37" i="12"/>
  <c r="CT38" i="12"/>
  <c r="CT39" i="12"/>
  <c r="CT40" i="12"/>
  <c r="CT41" i="12"/>
  <c r="CT42" i="12"/>
  <c r="CT43" i="12"/>
  <c r="CT44" i="12"/>
  <c r="CT45" i="12"/>
  <c r="CT46" i="12"/>
  <c r="CT47" i="12"/>
  <c r="CT48" i="12"/>
  <c r="CT49" i="12"/>
  <c r="CT50" i="12"/>
  <c r="CT51" i="12"/>
  <c r="CT52" i="12"/>
  <c r="CT53" i="12"/>
  <c r="CT54" i="12"/>
  <c r="CT55" i="12"/>
  <c r="CT56" i="12"/>
  <c r="CT57" i="12"/>
  <c r="CT58" i="12"/>
  <c r="CT59" i="12"/>
  <c r="CT60" i="12"/>
  <c r="CT61" i="12"/>
  <c r="CT62" i="12"/>
  <c r="CT63" i="12"/>
  <c r="CT64" i="12"/>
  <c r="CT65" i="12"/>
  <c r="CT66" i="12"/>
  <c r="CT67" i="12"/>
  <c r="CT68" i="12"/>
  <c r="CT69" i="12"/>
  <c r="CT70" i="12"/>
  <c r="CL5" i="12"/>
  <c r="CL6" i="12"/>
  <c r="CL7" i="12"/>
  <c r="CL8" i="12"/>
  <c r="CL9" i="12"/>
  <c r="CL10" i="12"/>
  <c r="CL11" i="12"/>
  <c r="CL12" i="12"/>
  <c r="CL13" i="12"/>
  <c r="CL14" i="12"/>
  <c r="CL15" i="12"/>
  <c r="CL16" i="12"/>
  <c r="CL17" i="12"/>
  <c r="CL18" i="12"/>
  <c r="CL19" i="12"/>
  <c r="CL20" i="12"/>
  <c r="CL21" i="12"/>
  <c r="CL22" i="12"/>
  <c r="CL23" i="12"/>
  <c r="CL24" i="12"/>
  <c r="CL25" i="12"/>
  <c r="CL26" i="12"/>
  <c r="CL27" i="12"/>
  <c r="CL28" i="12"/>
  <c r="CL29" i="12"/>
  <c r="CL30" i="12"/>
  <c r="CL31" i="12"/>
  <c r="CL32" i="12"/>
  <c r="CL33" i="12"/>
  <c r="CL34" i="12"/>
  <c r="CL35" i="12"/>
  <c r="CL36" i="12"/>
  <c r="CL37" i="12"/>
  <c r="CL38" i="12"/>
  <c r="CL39" i="12"/>
  <c r="CL40" i="12"/>
  <c r="CL41" i="12"/>
  <c r="CL42" i="12"/>
  <c r="CL43" i="12"/>
  <c r="CL44" i="12"/>
  <c r="CL45" i="12"/>
  <c r="CL46" i="12"/>
  <c r="CL47" i="12"/>
  <c r="CL48" i="12"/>
  <c r="CL49" i="12"/>
  <c r="CL50" i="12"/>
  <c r="CL51" i="12"/>
  <c r="CL52" i="12"/>
  <c r="CL53" i="12"/>
  <c r="CL54" i="12"/>
  <c r="CL55" i="12"/>
  <c r="CL56" i="12"/>
  <c r="CL57" i="12"/>
  <c r="CL58" i="12"/>
  <c r="CL59" i="12"/>
  <c r="CL60" i="12"/>
  <c r="CL61" i="12"/>
  <c r="CL62" i="12"/>
  <c r="CL63" i="12"/>
  <c r="CL64" i="12"/>
  <c r="CL65" i="12"/>
  <c r="CL66" i="12"/>
  <c r="CL67" i="12"/>
  <c r="CL68" i="12"/>
  <c r="CL69" i="12"/>
  <c r="CL70" i="12"/>
  <c r="CD5" i="12"/>
  <c r="CD6" i="12"/>
  <c r="CD7" i="12"/>
  <c r="CD8" i="12"/>
  <c r="CD9" i="12"/>
  <c r="CD10" i="12"/>
  <c r="CD11" i="12"/>
  <c r="CD12" i="12"/>
  <c r="CD13" i="12"/>
  <c r="CD14" i="12"/>
  <c r="CD15" i="12"/>
  <c r="CD16" i="12"/>
  <c r="CD17" i="12"/>
  <c r="CD18" i="12"/>
  <c r="CD19" i="12"/>
  <c r="CD20" i="12"/>
  <c r="CD21" i="12"/>
  <c r="CD22" i="12"/>
  <c r="CD23" i="12"/>
  <c r="CD24" i="12"/>
  <c r="CD25" i="12"/>
  <c r="CD26" i="12"/>
  <c r="CD27" i="12"/>
  <c r="CD28" i="12"/>
  <c r="CD29" i="12"/>
  <c r="CD30" i="12"/>
  <c r="CD31" i="12"/>
  <c r="CD32" i="12"/>
  <c r="CD33" i="12"/>
  <c r="CD34" i="12"/>
  <c r="CD35" i="12"/>
  <c r="CD36" i="12"/>
  <c r="CD37" i="12"/>
  <c r="CD38" i="12"/>
  <c r="CD39" i="12"/>
  <c r="CD40" i="12"/>
  <c r="CD41" i="12"/>
  <c r="CD42" i="12"/>
  <c r="CD43" i="12"/>
  <c r="CD44" i="12"/>
  <c r="CD45" i="12"/>
  <c r="CD46" i="12"/>
  <c r="CD47" i="12"/>
  <c r="CD48" i="12"/>
  <c r="CD49" i="12"/>
  <c r="CD50" i="12"/>
  <c r="CD51" i="12"/>
  <c r="CD52" i="12"/>
  <c r="CD53" i="12"/>
  <c r="CD54" i="12"/>
  <c r="CD55" i="12"/>
  <c r="CD56" i="12"/>
  <c r="CD57" i="12"/>
  <c r="CD58" i="12"/>
  <c r="CD59" i="12"/>
  <c r="CD60" i="12"/>
  <c r="CD61" i="12"/>
  <c r="CD62" i="12"/>
  <c r="CD63" i="12"/>
  <c r="CD64" i="12"/>
  <c r="CD65" i="12"/>
  <c r="CD66" i="12"/>
  <c r="CD67" i="12"/>
  <c r="CD68" i="12"/>
  <c r="CD69" i="12"/>
  <c r="CD70" i="12"/>
  <c r="BV5" i="12"/>
  <c r="BV6" i="12"/>
  <c r="BV7" i="12"/>
  <c r="BV8" i="12"/>
  <c r="BV9" i="12"/>
  <c r="BV10" i="12"/>
  <c r="BV11" i="12"/>
  <c r="BV12" i="12"/>
  <c r="BV13" i="12"/>
  <c r="BV14" i="12"/>
  <c r="BV15" i="12"/>
  <c r="BV16" i="12"/>
  <c r="BV17" i="12"/>
  <c r="BV18" i="12"/>
  <c r="BV19" i="12"/>
  <c r="BV20" i="12"/>
  <c r="BV21" i="12"/>
  <c r="BV22" i="12"/>
  <c r="BV23" i="12"/>
  <c r="BV24" i="12"/>
  <c r="BV25" i="12"/>
  <c r="BV26" i="12"/>
  <c r="BV27" i="12"/>
  <c r="BV28" i="12"/>
  <c r="BV29" i="12"/>
  <c r="BV30" i="12"/>
  <c r="BV31" i="12"/>
  <c r="BV32" i="12"/>
  <c r="BV33" i="12"/>
  <c r="BV34" i="12"/>
  <c r="BV35" i="12"/>
  <c r="BV36" i="12"/>
  <c r="BV37" i="12"/>
  <c r="BV38" i="12"/>
  <c r="BV39" i="12"/>
  <c r="BV40" i="12"/>
  <c r="BV41" i="12"/>
  <c r="BV42" i="12"/>
  <c r="BV43" i="12"/>
  <c r="BV44" i="12"/>
  <c r="BV45" i="12"/>
  <c r="BV46" i="12"/>
  <c r="BV47" i="12"/>
  <c r="BV48" i="12"/>
  <c r="BV49" i="12"/>
  <c r="BV50" i="12"/>
  <c r="BV51" i="12"/>
  <c r="BV52" i="12"/>
  <c r="BV53" i="12"/>
  <c r="BV54" i="12"/>
  <c r="BV55" i="12"/>
  <c r="BV56" i="12"/>
  <c r="BV57" i="12"/>
  <c r="BV58" i="12"/>
  <c r="BV59" i="12"/>
  <c r="BV60" i="12"/>
  <c r="BV61" i="12"/>
  <c r="BV62" i="12"/>
  <c r="BV63" i="12"/>
  <c r="BV64" i="12"/>
  <c r="BV65" i="12"/>
  <c r="BV66" i="12"/>
  <c r="BV67" i="12"/>
  <c r="BV68" i="12"/>
  <c r="BV69" i="12"/>
  <c r="BV70" i="12"/>
  <c r="BN5" i="12"/>
  <c r="BN6" i="12"/>
  <c r="BN7" i="12"/>
  <c r="BN8" i="12"/>
  <c r="BN9" i="12"/>
  <c r="BN10" i="12"/>
  <c r="BN11" i="12"/>
  <c r="BN12" i="12"/>
  <c r="BN13" i="12"/>
  <c r="BN14" i="12"/>
  <c r="BN15" i="12"/>
  <c r="BN16" i="12"/>
  <c r="BN17" i="12"/>
  <c r="BN18" i="12"/>
  <c r="BN19" i="12"/>
  <c r="BN20" i="12"/>
  <c r="BN21" i="12"/>
  <c r="BN22" i="12"/>
  <c r="BN23" i="12"/>
  <c r="BN24" i="12"/>
  <c r="BN25" i="12"/>
  <c r="BN26" i="12"/>
  <c r="BN27" i="12"/>
  <c r="BN28" i="12"/>
  <c r="BN29" i="12"/>
  <c r="BN30" i="12"/>
  <c r="BN31" i="12"/>
  <c r="BN32" i="12"/>
  <c r="BN33" i="12"/>
  <c r="BN34" i="12"/>
  <c r="BN35" i="12"/>
  <c r="BN36" i="12"/>
  <c r="BN37" i="12"/>
  <c r="BN38" i="12"/>
  <c r="BN39" i="12"/>
  <c r="BN40" i="12"/>
  <c r="BN41" i="12"/>
  <c r="BN42" i="12"/>
  <c r="BN43" i="12"/>
  <c r="BN44" i="12"/>
  <c r="BN45" i="12"/>
  <c r="BN46" i="12"/>
  <c r="BN47" i="12"/>
  <c r="BN48" i="12"/>
  <c r="BN49" i="12"/>
  <c r="BN50" i="12"/>
  <c r="BN51" i="12"/>
  <c r="BN52" i="12"/>
  <c r="BN53" i="12"/>
  <c r="BN54" i="12"/>
  <c r="BN55" i="12"/>
  <c r="BN56" i="12"/>
  <c r="BN57" i="12"/>
  <c r="BN58" i="12"/>
  <c r="BN59" i="12"/>
  <c r="BN60" i="12"/>
  <c r="BN61" i="12"/>
  <c r="BN62" i="12"/>
  <c r="BN63" i="12"/>
  <c r="BN64" i="12"/>
  <c r="BN65" i="12"/>
  <c r="BN66" i="12"/>
  <c r="BN67" i="12"/>
  <c r="BN68" i="12"/>
  <c r="BN69" i="12"/>
  <c r="BN70" i="12"/>
  <c r="BF5" i="12"/>
  <c r="BF6" i="12"/>
  <c r="BF7" i="12"/>
  <c r="BF8" i="12"/>
  <c r="BF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P6" i="12"/>
  <c r="AP7" i="12"/>
  <c r="AP8" i="12"/>
  <c r="AP9" i="12"/>
  <c r="AP10" i="12"/>
  <c r="AP11" i="12"/>
  <c r="AP12" i="12"/>
  <c r="AP13" i="12"/>
  <c r="AP14" i="12"/>
  <c r="AP15" i="12"/>
  <c r="AP16" i="12"/>
  <c r="AP17" i="12"/>
  <c r="AP18" i="12"/>
  <c r="AP19" i="12"/>
  <c r="AP20" i="12"/>
  <c r="AP21" i="12"/>
  <c r="AP22" i="12"/>
  <c r="AP23" i="12"/>
  <c r="AP24" i="12"/>
  <c r="AP25" i="12"/>
  <c r="AP26" i="12"/>
  <c r="AP27" i="12"/>
  <c r="AP28" i="12"/>
  <c r="AP29" i="12"/>
  <c r="AP30" i="12"/>
  <c r="AP31" i="12"/>
  <c r="AP32" i="12"/>
  <c r="AP33" i="12"/>
  <c r="AP34" i="12"/>
  <c r="AP35" i="12"/>
  <c r="AP36" i="12"/>
  <c r="AP37" i="12"/>
  <c r="AP38" i="12"/>
  <c r="AP39" i="12"/>
  <c r="AP40" i="12"/>
  <c r="AP41" i="12"/>
  <c r="AP42" i="12"/>
  <c r="AP43" i="12"/>
  <c r="AP44" i="12"/>
  <c r="AP45" i="12"/>
  <c r="AP46" i="12"/>
  <c r="AP47" i="12"/>
  <c r="AP48" i="12"/>
  <c r="AP49" i="12"/>
  <c r="AP50" i="12"/>
  <c r="AP51" i="12"/>
  <c r="AP52" i="12"/>
  <c r="AP53" i="12"/>
  <c r="AP54" i="12"/>
  <c r="AP55" i="12"/>
  <c r="AP56" i="12"/>
  <c r="AP57" i="12"/>
  <c r="AP58" i="12"/>
  <c r="AP59" i="12"/>
  <c r="AP60" i="12"/>
  <c r="AP61" i="12"/>
  <c r="AP62" i="12"/>
  <c r="AP63" i="12"/>
  <c r="AP64" i="12"/>
  <c r="AP65" i="12"/>
  <c r="AP66" i="12"/>
  <c r="AP67" i="12"/>
  <c r="AP68" i="12"/>
  <c r="AP69" i="12"/>
  <c r="AP70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60" i="12"/>
  <c r="AX61" i="12"/>
  <c r="AX62" i="12"/>
  <c r="AX63" i="12"/>
  <c r="AX64" i="12"/>
  <c r="AX65" i="12"/>
  <c r="AX66" i="12"/>
  <c r="AX67" i="12"/>
  <c r="AX68" i="12"/>
  <c r="AX69" i="12"/>
  <c r="AX70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I5" i="8"/>
  <c r="I4" i="7" s="1"/>
  <c r="D7" i="15" l="1"/>
  <c r="B5" i="8" s="1"/>
  <c r="N3" i="7"/>
  <c r="O5" i="7"/>
  <c r="O4" i="7"/>
  <c r="O8" i="7"/>
  <c r="O6" i="7"/>
  <c r="O9" i="7"/>
  <c r="O10" i="7"/>
  <c r="O11" i="7"/>
  <c r="O12" i="7"/>
  <c r="O13" i="7"/>
  <c r="O14" i="7"/>
  <c r="O15" i="7"/>
  <c r="O16" i="7"/>
  <c r="O3" i="7"/>
  <c r="O7" i="7"/>
  <c r="J12" i="6"/>
  <c r="J9" i="6"/>
  <c r="D13" i="15" l="1"/>
  <c r="E15" i="15" s="1"/>
  <c r="F7" i="15"/>
  <c r="F13" i="15" s="1"/>
  <c r="G15" i="15" s="1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7" i="8" l="1"/>
  <c r="B9" i="12"/>
  <c r="B8" i="12" l="1"/>
  <c r="B4" i="12" s="1"/>
  <c r="B10" i="12"/>
  <c r="J14" i="6"/>
  <c r="B5" i="12" l="1"/>
  <c r="B6" i="12" s="1"/>
  <c r="A47" i="10"/>
  <c r="D47" i="10" s="1"/>
  <c r="A48" i="10"/>
  <c r="D48" i="10" s="1"/>
  <c r="A49" i="10"/>
  <c r="D49" i="10" s="1"/>
  <c r="A50" i="10"/>
  <c r="D50" i="10" s="1"/>
  <c r="A51" i="10"/>
  <c r="D51" i="10" s="1"/>
  <c r="A52" i="10"/>
  <c r="D52" i="10" s="1"/>
  <c r="A53" i="10"/>
  <c r="D53" i="10" s="1"/>
  <c r="A54" i="10"/>
  <c r="D54" i="10" s="1"/>
  <c r="A55" i="10"/>
  <c r="D55" i="10" s="1"/>
  <c r="A56" i="10"/>
  <c r="D56" i="10" s="1"/>
  <c r="A57" i="10"/>
  <c r="D57" i="10" s="1"/>
  <c r="A58" i="10"/>
  <c r="D58" i="10" s="1"/>
  <c r="A59" i="10"/>
  <c r="D59" i="10" s="1"/>
  <c r="A60" i="10"/>
  <c r="D60" i="10" s="1"/>
  <c r="A61" i="10"/>
  <c r="D61" i="10" s="1"/>
  <c r="A62" i="10"/>
  <c r="D62" i="10" s="1"/>
  <c r="A63" i="10"/>
  <c r="D63" i="10" s="1"/>
  <c r="A64" i="10"/>
  <c r="D64" i="10" s="1"/>
  <c r="A65" i="10"/>
  <c r="D65" i="10" s="1"/>
  <c r="A66" i="10"/>
  <c r="D66" i="10" s="1"/>
  <c r="A67" i="10"/>
  <c r="D67" i="10" s="1"/>
  <c r="A68" i="10"/>
  <c r="D68" i="10" s="1"/>
  <c r="A69" i="10"/>
  <c r="D69" i="10" s="1"/>
  <c r="A70" i="10"/>
  <c r="D70" i="10" s="1"/>
  <c r="A71" i="10"/>
  <c r="D71" i="10" s="1"/>
  <c r="A72" i="10"/>
  <c r="D72" i="10" s="1"/>
  <c r="A73" i="10"/>
  <c r="D73" i="10" s="1"/>
  <c r="A74" i="10"/>
  <c r="D74" i="10" s="1"/>
  <c r="A75" i="10"/>
  <c r="D75" i="10" s="1"/>
  <c r="A76" i="10"/>
  <c r="D76" i="10" s="1"/>
  <c r="A77" i="10"/>
  <c r="E77" i="10" s="1"/>
  <c r="G77" i="10" s="1"/>
  <c r="A78" i="10"/>
  <c r="D78" i="10" s="1"/>
  <c r="A79" i="10"/>
  <c r="D79" i="10" s="1"/>
  <c r="A80" i="10"/>
  <c r="D80" i="10" s="1"/>
  <c r="A81" i="10"/>
  <c r="D81" i="10" s="1"/>
  <c r="A82" i="10"/>
  <c r="D82" i="10" s="1"/>
  <c r="A83" i="10"/>
  <c r="D83" i="10" s="1"/>
  <c r="A84" i="10"/>
  <c r="D84" i="10" s="1"/>
  <c r="A85" i="10"/>
  <c r="D85" i="10" s="1"/>
  <c r="A86" i="10"/>
  <c r="D86" i="10" s="1"/>
  <c r="A87" i="10"/>
  <c r="D87" i="10" s="1"/>
  <c r="A88" i="10"/>
  <c r="D88" i="10" s="1"/>
  <c r="A89" i="10"/>
  <c r="D89" i="10" s="1"/>
  <c r="A90" i="10"/>
  <c r="D90" i="10" s="1"/>
  <c r="A91" i="10"/>
  <c r="D91" i="10" s="1"/>
  <c r="A92" i="10"/>
  <c r="D92" i="10" s="1"/>
  <c r="A93" i="10"/>
  <c r="D93" i="10" s="1"/>
  <c r="A94" i="10"/>
  <c r="A95" i="10"/>
  <c r="A96" i="10"/>
  <c r="D96" i="10" s="1"/>
  <c r="A97" i="10"/>
  <c r="D97" i="10" s="1"/>
  <c r="A98" i="10"/>
  <c r="A99" i="10"/>
  <c r="A100" i="10"/>
  <c r="E100" i="10" s="1"/>
  <c r="G100" i="10" s="1"/>
  <c r="A101" i="10"/>
  <c r="D101" i="10" s="1"/>
  <c r="A102" i="10"/>
  <c r="A103" i="10"/>
  <c r="A104" i="10"/>
  <c r="E104" i="10" s="1"/>
  <c r="G104" i="10" s="1"/>
  <c r="A105" i="10"/>
  <c r="D105" i="10" s="1"/>
  <c r="A106" i="10"/>
  <c r="A107" i="10"/>
  <c r="A108" i="10"/>
  <c r="E108" i="10" s="1"/>
  <c r="G108" i="10" s="1"/>
  <c r="A109" i="10"/>
  <c r="D109" i="10" s="1"/>
  <c r="A110" i="10"/>
  <c r="A111" i="10"/>
  <c r="A112" i="10"/>
  <c r="D112" i="10" s="1"/>
  <c r="A113" i="10"/>
  <c r="D113" i="10" s="1"/>
  <c r="A114" i="10"/>
  <c r="A115" i="10"/>
  <c r="A116" i="10"/>
  <c r="D116" i="10" s="1"/>
  <c r="A117" i="10"/>
  <c r="D117" i="10" s="1"/>
  <c r="A118" i="10"/>
  <c r="A119" i="10"/>
  <c r="A120" i="10"/>
  <c r="E120" i="10" s="1"/>
  <c r="G120" i="10" s="1"/>
  <c r="A121" i="10"/>
  <c r="D121" i="10" s="1"/>
  <c r="A122" i="10"/>
  <c r="A123" i="10"/>
  <c r="A124" i="10"/>
  <c r="E124" i="10" s="1"/>
  <c r="G124" i="10" s="1"/>
  <c r="A125" i="10"/>
  <c r="D125" i="10" s="1"/>
  <c r="A126" i="10"/>
  <c r="A127" i="10"/>
  <c r="A128" i="10"/>
  <c r="D128" i="10" s="1"/>
  <c r="A129" i="10"/>
  <c r="D129" i="10" s="1"/>
  <c r="A130" i="10"/>
  <c r="A131" i="10"/>
  <c r="A132" i="10"/>
  <c r="E132" i="10" s="1"/>
  <c r="G132" i="10" s="1"/>
  <c r="A133" i="10"/>
  <c r="D133" i="10" s="1"/>
  <c r="A134" i="10"/>
  <c r="A135" i="10"/>
  <c r="A136" i="10"/>
  <c r="E136" i="10" s="1"/>
  <c r="G136" i="10" s="1"/>
  <c r="A137" i="10"/>
  <c r="D137" i="10" s="1"/>
  <c r="A138" i="10"/>
  <c r="A139" i="10"/>
  <c r="A140" i="10"/>
  <c r="E140" i="10" s="1"/>
  <c r="G140" i="10" s="1"/>
  <c r="A141" i="10"/>
  <c r="D141" i="10" s="1"/>
  <c r="A142" i="10"/>
  <c r="A143" i="10"/>
  <c r="A144" i="10"/>
  <c r="D144" i="10" s="1"/>
  <c r="A145" i="10"/>
  <c r="D145" i="10" s="1"/>
  <c r="A146" i="10"/>
  <c r="A147" i="10"/>
  <c r="A148" i="10"/>
  <c r="D148" i="10" s="1"/>
  <c r="A149" i="10"/>
  <c r="D149" i="10" s="1"/>
  <c r="A150" i="10"/>
  <c r="A151" i="10"/>
  <c r="A152" i="10"/>
  <c r="E152" i="10" s="1"/>
  <c r="G152" i="10" s="1"/>
  <c r="A153" i="10"/>
  <c r="D153" i="10" s="1"/>
  <c r="A154" i="10"/>
  <c r="A155" i="10"/>
  <c r="A156" i="10"/>
  <c r="E156" i="10" s="1"/>
  <c r="G156" i="10" s="1"/>
  <c r="A157" i="10"/>
  <c r="D157" i="10" s="1"/>
  <c r="A158" i="10"/>
  <c r="A159" i="10"/>
  <c r="A160" i="10"/>
  <c r="D160" i="10" s="1"/>
  <c r="A161" i="10"/>
  <c r="D161" i="10" s="1"/>
  <c r="A162" i="10"/>
  <c r="A163" i="10"/>
  <c r="A164" i="10"/>
  <c r="E164" i="10" s="1"/>
  <c r="G164" i="10" s="1"/>
  <c r="A165" i="10"/>
  <c r="D165" i="10" s="1"/>
  <c r="A166" i="10"/>
  <c r="A167" i="10"/>
  <c r="A168" i="10"/>
  <c r="E168" i="10" s="1"/>
  <c r="G168" i="10" s="1"/>
  <c r="A169" i="10"/>
  <c r="D169" i="10" s="1"/>
  <c r="A170" i="10"/>
  <c r="A171" i="10"/>
  <c r="A172" i="10"/>
  <c r="E172" i="10" s="1"/>
  <c r="G172" i="10" s="1"/>
  <c r="A173" i="10"/>
  <c r="D173" i="10" s="1"/>
  <c r="A174" i="10"/>
  <c r="A175" i="10"/>
  <c r="A176" i="10"/>
  <c r="D176" i="10" s="1"/>
  <c r="A177" i="10"/>
  <c r="D177" i="10" s="1"/>
  <c r="A178" i="10"/>
  <c r="A179" i="10"/>
  <c r="A180" i="10"/>
  <c r="D180" i="10" s="1"/>
  <c r="A181" i="10"/>
  <c r="D181" i="10" s="1"/>
  <c r="A182" i="10"/>
  <c r="A183" i="10"/>
  <c r="A184" i="10"/>
  <c r="E184" i="10" s="1"/>
  <c r="G184" i="10" s="1"/>
  <c r="A185" i="10"/>
  <c r="D185" i="10" s="1"/>
  <c r="A186" i="10"/>
  <c r="A187" i="10"/>
  <c r="A188" i="10"/>
  <c r="E188" i="10" s="1"/>
  <c r="G188" i="10" s="1"/>
  <c r="A189" i="10"/>
  <c r="D189" i="10" s="1"/>
  <c r="A190" i="10"/>
  <c r="A191" i="10"/>
  <c r="A192" i="10"/>
  <c r="D192" i="10" s="1"/>
  <c r="A193" i="10"/>
  <c r="D193" i="10" s="1"/>
  <c r="A194" i="10"/>
  <c r="A195" i="10"/>
  <c r="A196" i="10"/>
  <c r="D196" i="10" s="1"/>
  <c r="A197" i="10"/>
  <c r="D197" i="10" s="1"/>
  <c r="A198" i="10"/>
  <c r="A199" i="10"/>
  <c r="A200" i="10"/>
  <c r="E200" i="10" s="1"/>
  <c r="G200" i="10" s="1"/>
  <c r="A201" i="10"/>
  <c r="D201" i="10" s="1"/>
  <c r="A202" i="10"/>
  <c r="A203" i="10"/>
  <c r="D94" i="10"/>
  <c r="D95" i="10"/>
  <c r="D98" i="10"/>
  <c r="D99" i="10"/>
  <c r="D100" i="10"/>
  <c r="D102" i="10"/>
  <c r="D103" i="10"/>
  <c r="D106" i="10"/>
  <c r="D107" i="10"/>
  <c r="D110" i="10"/>
  <c r="D111" i="10"/>
  <c r="D114" i="10"/>
  <c r="D115" i="10"/>
  <c r="D118" i="10"/>
  <c r="D119" i="10"/>
  <c r="D122" i="10"/>
  <c r="D123" i="10"/>
  <c r="D126" i="10"/>
  <c r="D127" i="10"/>
  <c r="D130" i="10"/>
  <c r="D131" i="10"/>
  <c r="D134" i="10"/>
  <c r="D135" i="10"/>
  <c r="D138" i="10"/>
  <c r="D139" i="10"/>
  <c r="D142" i="10"/>
  <c r="D143" i="10"/>
  <c r="D146" i="10"/>
  <c r="D147" i="10"/>
  <c r="D150" i="10"/>
  <c r="D151" i="10"/>
  <c r="D152" i="10"/>
  <c r="D154" i="10"/>
  <c r="D155" i="10"/>
  <c r="D158" i="10"/>
  <c r="D159" i="10"/>
  <c r="D162" i="10"/>
  <c r="D163" i="10"/>
  <c r="D164" i="10"/>
  <c r="D166" i="10"/>
  <c r="D167" i="10"/>
  <c r="D170" i="10"/>
  <c r="D171" i="10"/>
  <c r="D174" i="10"/>
  <c r="D175" i="10"/>
  <c r="D178" i="10"/>
  <c r="D179" i="10"/>
  <c r="D182" i="10"/>
  <c r="D183" i="10"/>
  <c r="D186" i="10"/>
  <c r="D187" i="10"/>
  <c r="D190" i="10"/>
  <c r="D191" i="10"/>
  <c r="D194" i="10"/>
  <c r="D195" i="10"/>
  <c r="D198" i="10"/>
  <c r="D199" i="10"/>
  <c r="D202" i="10"/>
  <c r="D203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E50" i="10"/>
  <c r="G50" i="10" s="1"/>
  <c r="E51" i="10"/>
  <c r="G51" i="10" s="1"/>
  <c r="E52" i="10"/>
  <c r="G52" i="10" s="1"/>
  <c r="E54" i="10"/>
  <c r="E55" i="10"/>
  <c r="G55" i="10" s="1"/>
  <c r="E58" i="10"/>
  <c r="G58" i="10" s="1"/>
  <c r="E59" i="10"/>
  <c r="G59" i="10" s="1"/>
  <c r="E62" i="10"/>
  <c r="E63" i="10"/>
  <c r="G63" i="10" s="1"/>
  <c r="E64" i="10"/>
  <c r="G64" i="10" s="1"/>
  <c r="E66" i="10"/>
  <c r="G66" i="10" s="1"/>
  <c r="E67" i="10"/>
  <c r="E70" i="10"/>
  <c r="G70" i="10" s="1"/>
  <c r="E71" i="10"/>
  <c r="G71" i="10" s="1"/>
  <c r="E74" i="10"/>
  <c r="G74" i="10" s="1"/>
  <c r="E75" i="10"/>
  <c r="G75" i="10" s="1"/>
  <c r="E78" i="10"/>
  <c r="G78" i="10" s="1"/>
  <c r="E79" i="10"/>
  <c r="G79" i="10" s="1"/>
  <c r="E82" i="10"/>
  <c r="G82" i="10" s="1"/>
  <c r="E83" i="10"/>
  <c r="G83" i="10" s="1"/>
  <c r="E86" i="10"/>
  <c r="G86" i="10" s="1"/>
  <c r="E87" i="10"/>
  <c r="G87" i="10" s="1"/>
  <c r="E90" i="10"/>
  <c r="G90" i="10" s="1"/>
  <c r="E91" i="10"/>
  <c r="G91" i="10" s="1"/>
  <c r="E94" i="10"/>
  <c r="G94" i="10" s="1"/>
  <c r="E95" i="10"/>
  <c r="G95" i="10" s="1"/>
  <c r="E98" i="10"/>
  <c r="G98" i="10" s="1"/>
  <c r="E99" i="10"/>
  <c r="G99" i="10" s="1"/>
  <c r="E102" i="10"/>
  <c r="G102" i="10" s="1"/>
  <c r="E103" i="10"/>
  <c r="G103" i="10" s="1"/>
  <c r="E106" i="10"/>
  <c r="G106" i="10" s="1"/>
  <c r="E107" i="10"/>
  <c r="G107" i="10" s="1"/>
  <c r="E110" i="10"/>
  <c r="G110" i="10" s="1"/>
  <c r="E111" i="10"/>
  <c r="G111" i="10" s="1"/>
  <c r="E114" i="10"/>
  <c r="G114" i="10" s="1"/>
  <c r="E115" i="10"/>
  <c r="G115" i="10" s="1"/>
  <c r="E116" i="10"/>
  <c r="G116" i="10" s="1"/>
  <c r="E118" i="10"/>
  <c r="G118" i="10" s="1"/>
  <c r="E119" i="10"/>
  <c r="G119" i="10" s="1"/>
  <c r="E122" i="10"/>
  <c r="G122" i="10" s="1"/>
  <c r="E123" i="10"/>
  <c r="G123" i="10" s="1"/>
  <c r="E126" i="10"/>
  <c r="E127" i="10"/>
  <c r="G127" i="10" s="1"/>
  <c r="E128" i="10"/>
  <c r="G128" i="10" s="1"/>
  <c r="E130" i="10"/>
  <c r="G130" i="10" s="1"/>
  <c r="E131" i="10"/>
  <c r="E134" i="10"/>
  <c r="G134" i="10" s="1"/>
  <c r="E135" i="10"/>
  <c r="G135" i="10" s="1"/>
  <c r="E138" i="10"/>
  <c r="G138" i="10" s="1"/>
  <c r="E139" i="10"/>
  <c r="G139" i="10" s="1"/>
  <c r="E142" i="10"/>
  <c r="G142" i="10" s="1"/>
  <c r="E143" i="10"/>
  <c r="G143" i="10" s="1"/>
  <c r="E146" i="10"/>
  <c r="G146" i="10" s="1"/>
  <c r="E147" i="10"/>
  <c r="E150" i="10"/>
  <c r="G150" i="10" s="1"/>
  <c r="E151" i="10"/>
  <c r="G151" i="10" s="1"/>
  <c r="E154" i="10"/>
  <c r="G154" i="10" s="1"/>
  <c r="E155" i="10"/>
  <c r="G155" i="10" s="1"/>
  <c r="E158" i="10"/>
  <c r="G158" i="10" s="1"/>
  <c r="E159" i="10"/>
  <c r="G159" i="10" s="1"/>
  <c r="E162" i="10"/>
  <c r="G162" i="10" s="1"/>
  <c r="E163" i="10"/>
  <c r="G163" i="10" s="1"/>
  <c r="E166" i="10"/>
  <c r="G166" i="10" s="1"/>
  <c r="E167" i="10"/>
  <c r="G167" i="10" s="1"/>
  <c r="E170" i="10"/>
  <c r="G170" i="10" s="1"/>
  <c r="E171" i="10"/>
  <c r="G171" i="10" s="1"/>
  <c r="E174" i="10"/>
  <c r="G174" i="10" s="1"/>
  <c r="E175" i="10"/>
  <c r="G175" i="10" s="1"/>
  <c r="E178" i="10"/>
  <c r="G178" i="10" s="1"/>
  <c r="E179" i="10"/>
  <c r="G179" i="10" s="1"/>
  <c r="E180" i="10"/>
  <c r="G180" i="10" s="1"/>
  <c r="E182" i="10"/>
  <c r="G182" i="10" s="1"/>
  <c r="E183" i="10"/>
  <c r="G183" i="10" s="1"/>
  <c r="E186" i="10"/>
  <c r="G186" i="10" s="1"/>
  <c r="E187" i="10"/>
  <c r="G187" i="10" s="1"/>
  <c r="E190" i="10"/>
  <c r="E191" i="10"/>
  <c r="G191" i="10" s="1"/>
  <c r="E192" i="10"/>
  <c r="G192" i="10" s="1"/>
  <c r="E194" i="10"/>
  <c r="G194" i="10" s="1"/>
  <c r="E195" i="10"/>
  <c r="G195" i="10" s="1"/>
  <c r="E198" i="10"/>
  <c r="G198" i="10" s="1"/>
  <c r="E199" i="10"/>
  <c r="G199" i="10" s="1"/>
  <c r="E202" i="10"/>
  <c r="G202" i="10" s="1"/>
  <c r="E203" i="10"/>
  <c r="G203" i="10" s="1"/>
  <c r="G54" i="10"/>
  <c r="G62" i="10"/>
  <c r="G67" i="10"/>
  <c r="G126" i="10"/>
  <c r="G131" i="10"/>
  <c r="G147" i="10"/>
  <c r="G190" i="10"/>
  <c r="B200" i="13"/>
  <c r="A200" i="13"/>
  <c r="B199" i="13"/>
  <c r="A199" i="13"/>
  <c r="B198" i="13"/>
  <c r="A198" i="13"/>
  <c r="B197" i="13"/>
  <c r="A197" i="13"/>
  <c r="B196" i="13"/>
  <c r="A196" i="13"/>
  <c r="B195" i="13"/>
  <c r="A195" i="13"/>
  <c r="B194" i="13"/>
  <c r="A194" i="13"/>
  <c r="B193" i="13"/>
  <c r="A193" i="13"/>
  <c r="B192" i="13"/>
  <c r="A192" i="13"/>
  <c r="B191" i="13"/>
  <c r="A191" i="13"/>
  <c r="B190" i="13"/>
  <c r="A190" i="13"/>
  <c r="B189" i="13"/>
  <c r="A189" i="13"/>
  <c r="B188" i="13"/>
  <c r="A188" i="13"/>
  <c r="B187" i="13"/>
  <c r="A187" i="13"/>
  <c r="B186" i="13"/>
  <c r="A186" i="13"/>
  <c r="B185" i="13"/>
  <c r="A185" i="13"/>
  <c r="B184" i="13"/>
  <c r="A184" i="13"/>
  <c r="B183" i="13"/>
  <c r="A183" i="13"/>
  <c r="B182" i="13"/>
  <c r="A182" i="13"/>
  <c r="B181" i="13"/>
  <c r="A181" i="13"/>
  <c r="B180" i="13"/>
  <c r="A180" i="13"/>
  <c r="B179" i="13"/>
  <c r="A179" i="13"/>
  <c r="B178" i="13"/>
  <c r="A178" i="13"/>
  <c r="B177" i="13"/>
  <c r="A177" i="13"/>
  <c r="B176" i="13"/>
  <c r="A176" i="13"/>
  <c r="B175" i="13"/>
  <c r="A175" i="13"/>
  <c r="B174" i="13"/>
  <c r="A174" i="13"/>
  <c r="B173" i="13"/>
  <c r="A173" i="13"/>
  <c r="B172" i="13"/>
  <c r="A172" i="13"/>
  <c r="B171" i="13"/>
  <c r="A171" i="13"/>
  <c r="B170" i="13"/>
  <c r="A170" i="13"/>
  <c r="B169" i="13"/>
  <c r="A169" i="13"/>
  <c r="B168" i="13"/>
  <c r="A168" i="13"/>
  <c r="B167" i="13"/>
  <c r="A167" i="13"/>
  <c r="B166" i="13"/>
  <c r="A166" i="13"/>
  <c r="B165" i="13"/>
  <c r="A165" i="13"/>
  <c r="B164" i="13"/>
  <c r="A164" i="13"/>
  <c r="B163" i="13"/>
  <c r="A163" i="13"/>
  <c r="B162" i="13"/>
  <c r="A162" i="13"/>
  <c r="B161" i="13"/>
  <c r="A161" i="13"/>
  <c r="B160" i="13"/>
  <c r="A160" i="13"/>
  <c r="B159" i="13"/>
  <c r="A159" i="13"/>
  <c r="B158" i="13"/>
  <c r="A158" i="13"/>
  <c r="B157" i="13"/>
  <c r="A157" i="13"/>
  <c r="B156" i="13"/>
  <c r="A156" i="13"/>
  <c r="B155" i="13"/>
  <c r="A155" i="13"/>
  <c r="B154" i="13"/>
  <c r="A154" i="13"/>
  <c r="B153" i="13"/>
  <c r="A153" i="13"/>
  <c r="B152" i="13"/>
  <c r="A152" i="13"/>
  <c r="B151" i="13"/>
  <c r="A151" i="13"/>
  <c r="B150" i="13"/>
  <c r="A150" i="13"/>
  <c r="B149" i="13"/>
  <c r="A149" i="13"/>
  <c r="B148" i="13"/>
  <c r="A148" i="13"/>
  <c r="B147" i="13"/>
  <c r="A147" i="13"/>
  <c r="B146" i="13"/>
  <c r="A146" i="13"/>
  <c r="B145" i="13"/>
  <c r="A145" i="13"/>
  <c r="B144" i="13"/>
  <c r="A144" i="13"/>
  <c r="B143" i="13"/>
  <c r="A143" i="13"/>
  <c r="B142" i="13"/>
  <c r="A142" i="13"/>
  <c r="B141" i="13"/>
  <c r="A141" i="13"/>
  <c r="B140" i="13"/>
  <c r="A140" i="13"/>
  <c r="B139" i="13"/>
  <c r="A139" i="13"/>
  <c r="B138" i="13"/>
  <c r="A138" i="13"/>
  <c r="B137" i="13"/>
  <c r="A137" i="13"/>
  <c r="B136" i="13"/>
  <c r="A136" i="13"/>
  <c r="B135" i="13"/>
  <c r="A135" i="13"/>
  <c r="B134" i="13"/>
  <c r="A134" i="13"/>
  <c r="B133" i="13"/>
  <c r="A133" i="13"/>
  <c r="B132" i="13"/>
  <c r="A132" i="13"/>
  <c r="B131" i="13"/>
  <c r="A131" i="13"/>
  <c r="B130" i="13"/>
  <c r="A130" i="13"/>
  <c r="B129" i="13"/>
  <c r="A129" i="13"/>
  <c r="B128" i="13"/>
  <c r="A128" i="13"/>
  <c r="B127" i="13"/>
  <c r="A127" i="13"/>
  <c r="B126" i="13"/>
  <c r="A126" i="13"/>
  <c r="B125" i="13"/>
  <c r="A125" i="13"/>
  <c r="B124" i="13"/>
  <c r="A124" i="13"/>
  <c r="B123" i="13"/>
  <c r="A123" i="13"/>
  <c r="B122" i="13"/>
  <c r="A122" i="13"/>
  <c r="B121" i="13"/>
  <c r="A121" i="13"/>
  <c r="B120" i="13"/>
  <c r="A120" i="13"/>
  <c r="B119" i="13"/>
  <c r="A119" i="13"/>
  <c r="B118" i="13"/>
  <c r="A118" i="13"/>
  <c r="B117" i="13"/>
  <c r="A117" i="13"/>
  <c r="B116" i="13"/>
  <c r="A116" i="13"/>
  <c r="B115" i="13"/>
  <c r="A115" i="13"/>
  <c r="B114" i="13"/>
  <c r="A114" i="13"/>
  <c r="B113" i="13"/>
  <c r="A113" i="13"/>
  <c r="B112" i="13"/>
  <c r="A112" i="13"/>
  <c r="B111" i="13"/>
  <c r="A111" i="13"/>
  <c r="B110" i="13"/>
  <c r="A110" i="13"/>
  <c r="B109" i="13"/>
  <c r="A109" i="13"/>
  <c r="B108" i="13"/>
  <c r="A108" i="13"/>
  <c r="B107" i="13"/>
  <c r="A107" i="13"/>
  <c r="B106" i="13"/>
  <c r="A106" i="13"/>
  <c r="B105" i="13"/>
  <c r="A105" i="13"/>
  <c r="B104" i="13"/>
  <c r="A104" i="13"/>
  <c r="B103" i="13"/>
  <c r="A103" i="13"/>
  <c r="B102" i="13"/>
  <c r="A102" i="13"/>
  <c r="B101" i="13"/>
  <c r="A101" i="13"/>
  <c r="B100" i="13"/>
  <c r="A100" i="13"/>
  <c r="B99" i="13"/>
  <c r="A99" i="13"/>
  <c r="B98" i="13"/>
  <c r="A98" i="13"/>
  <c r="B97" i="13"/>
  <c r="A97" i="13"/>
  <c r="B96" i="13"/>
  <c r="A96" i="13"/>
  <c r="B95" i="13"/>
  <c r="A95" i="13"/>
  <c r="B94" i="13"/>
  <c r="A94" i="13"/>
  <c r="B93" i="13"/>
  <c r="A93" i="13"/>
  <c r="B92" i="13"/>
  <c r="A92" i="13"/>
  <c r="B91" i="13"/>
  <c r="A91" i="13"/>
  <c r="B90" i="13"/>
  <c r="A90" i="13"/>
  <c r="B89" i="13"/>
  <c r="A89" i="13"/>
  <c r="B88" i="13"/>
  <c r="A88" i="13"/>
  <c r="B87" i="13"/>
  <c r="A87" i="13"/>
  <c r="B86" i="13"/>
  <c r="A86" i="13"/>
  <c r="B85" i="13"/>
  <c r="A85" i="13"/>
  <c r="B84" i="13"/>
  <c r="A84" i="13"/>
  <c r="B83" i="13"/>
  <c r="A83" i="13"/>
  <c r="B82" i="13"/>
  <c r="A82" i="13"/>
  <c r="B81" i="13"/>
  <c r="A81" i="13"/>
  <c r="B80" i="13"/>
  <c r="A80" i="13"/>
  <c r="B79" i="13"/>
  <c r="A79" i="13"/>
  <c r="B78" i="13"/>
  <c r="A78" i="13"/>
  <c r="B77" i="13"/>
  <c r="A77" i="13"/>
  <c r="B76" i="13"/>
  <c r="A76" i="13"/>
  <c r="B75" i="13"/>
  <c r="A75" i="13"/>
  <c r="B74" i="13"/>
  <c r="A74" i="13"/>
  <c r="B73" i="13"/>
  <c r="A73" i="13"/>
  <c r="B72" i="13"/>
  <c r="A72" i="13"/>
  <c r="B71" i="13"/>
  <c r="A71" i="13"/>
  <c r="B70" i="13"/>
  <c r="A70" i="13"/>
  <c r="B69" i="13"/>
  <c r="A69" i="13"/>
  <c r="B68" i="13"/>
  <c r="A68" i="13"/>
  <c r="B67" i="13"/>
  <c r="A67" i="13"/>
  <c r="B66" i="13"/>
  <c r="A66" i="13"/>
  <c r="B65" i="13"/>
  <c r="A65" i="13"/>
  <c r="B64" i="13"/>
  <c r="A64" i="13"/>
  <c r="B63" i="13"/>
  <c r="A63" i="13"/>
  <c r="B62" i="13"/>
  <c r="A62" i="13"/>
  <c r="B61" i="13"/>
  <c r="A61" i="13"/>
  <c r="B60" i="13"/>
  <c r="A60" i="13"/>
  <c r="B59" i="13"/>
  <c r="A59" i="13"/>
  <c r="B58" i="13"/>
  <c r="A58" i="13"/>
  <c r="B57" i="13"/>
  <c r="A57" i="13"/>
  <c r="B56" i="13"/>
  <c r="A56" i="13"/>
  <c r="B55" i="13"/>
  <c r="A55" i="13"/>
  <c r="B54" i="13"/>
  <c r="A54" i="13"/>
  <c r="B53" i="13"/>
  <c r="A53" i="13"/>
  <c r="B52" i="13"/>
  <c r="A52" i="13"/>
  <c r="B51" i="13"/>
  <c r="A51" i="13"/>
  <c r="B50" i="13"/>
  <c r="A50" i="13"/>
  <c r="B49" i="13"/>
  <c r="A49" i="13"/>
  <c r="B48" i="13"/>
  <c r="A48" i="13"/>
  <c r="B47" i="13"/>
  <c r="A47" i="13"/>
  <c r="B46" i="13"/>
  <c r="A46" i="13"/>
  <c r="B45" i="13"/>
  <c r="A45" i="13"/>
  <c r="B44" i="13"/>
  <c r="A44" i="13"/>
  <c r="B43" i="13"/>
  <c r="A43" i="13"/>
  <c r="B42" i="13"/>
  <c r="A42" i="13"/>
  <c r="B41" i="13"/>
  <c r="A41" i="13"/>
  <c r="B40" i="13"/>
  <c r="A40" i="13"/>
  <c r="B39" i="13"/>
  <c r="A39" i="13"/>
  <c r="B38" i="13"/>
  <c r="A38" i="13"/>
  <c r="B37" i="13"/>
  <c r="A37" i="13"/>
  <c r="B36" i="13"/>
  <c r="A36" i="13"/>
  <c r="B35" i="13"/>
  <c r="A35" i="13"/>
  <c r="B34" i="13"/>
  <c r="A34" i="13"/>
  <c r="B33" i="13"/>
  <c r="A33" i="13"/>
  <c r="B32" i="13"/>
  <c r="A32" i="13"/>
  <c r="B31" i="13"/>
  <c r="A31" i="13"/>
  <c r="B30" i="13"/>
  <c r="A30" i="13"/>
  <c r="B29" i="13"/>
  <c r="A29" i="13"/>
  <c r="B28" i="13"/>
  <c r="A28" i="13"/>
  <c r="B27" i="13"/>
  <c r="A27" i="13"/>
  <c r="B26" i="13"/>
  <c r="A26" i="13"/>
  <c r="B25" i="13"/>
  <c r="A25" i="13"/>
  <c r="B24" i="13"/>
  <c r="A24" i="13"/>
  <c r="B23" i="13"/>
  <c r="A23" i="13"/>
  <c r="B22" i="13"/>
  <c r="A22" i="13"/>
  <c r="B21" i="13"/>
  <c r="A21" i="13"/>
  <c r="B20" i="13"/>
  <c r="A20" i="13"/>
  <c r="B19" i="13"/>
  <c r="A19" i="13"/>
  <c r="B18" i="13"/>
  <c r="A18" i="13"/>
  <c r="B17" i="13"/>
  <c r="A17" i="13"/>
  <c r="B16" i="13"/>
  <c r="A16" i="13"/>
  <c r="B15" i="13"/>
  <c r="A15" i="13"/>
  <c r="B14" i="13"/>
  <c r="A14" i="13"/>
  <c r="B13" i="13"/>
  <c r="A13" i="13"/>
  <c r="B12" i="13"/>
  <c r="A12" i="13"/>
  <c r="B11" i="13"/>
  <c r="A11" i="13"/>
  <c r="B10" i="13"/>
  <c r="A10" i="13"/>
  <c r="B9" i="13"/>
  <c r="A9" i="13"/>
  <c r="B8" i="13"/>
  <c r="A8" i="13"/>
  <c r="B7" i="13"/>
  <c r="A7" i="13"/>
  <c r="B6" i="13"/>
  <c r="A6" i="13"/>
  <c r="B5" i="13"/>
  <c r="A5" i="13"/>
  <c r="B4" i="13"/>
  <c r="A4" i="13"/>
  <c r="B3" i="13"/>
  <c r="A3" i="13"/>
  <c r="B2" i="13"/>
  <c r="A2" i="13"/>
  <c r="E148" i="10" l="1"/>
  <c r="G148" i="10" s="1"/>
  <c r="E84" i="10"/>
  <c r="G84" i="10" s="1"/>
  <c r="D120" i="10"/>
  <c r="E160" i="10"/>
  <c r="G160" i="10" s="1"/>
  <c r="B160" i="10" s="1"/>
  <c r="E96" i="10"/>
  <c r="G96" i="10" s="1"/>
  <c r="D132" i="10"/>
  <c r="D184" i="10"/>
  <c r="E196" i="10"/>
  <c r="G196" i="10" s="1"/>
  <c r="B196" i="10" s="1"/>
  <c r="E68" i="10"/>
  <c r="G68" i="10" s="1"/>
  <c r="D168" i="10"/>
  <c r="D136" i="10"/>
  <c r="D104" i="10"/>
  <c r="E176" i="10"/>
  <c r="G176" i="10" s="1"/>
  <c r="E144" i="10"/>
  <c r="G144" i="10" s="1"/>
  <c r="B144" i="10" s="1"/>
  <c r="E112" i="10"/>
  <c r="G112" i="10" s="1"/>
  <c r="B112" i="10" s="1"/>
  <c r="E80" i="10"/>
  <c r="G80" i="10" s="1"/>
  <c r="E48" i="10"/>
  <c r="G48" i="10" s="1"/>
  <c r="D200" i="10"/>
  <c r="E88" i="10"/>
  <c r="G88" i="10" s="1"/>
  <c r="B88" i="10" s="1"/>
  <c r="E72" i="10"/>
  <c r="G72" i="10" s="1"/>
  <c r="B72" i="10" s="1"/>
  <c r="E56" i="10"/>
  <c r="G56" i="10" s="1"/>
  <c r="B56" i="10" s="1"/>
  <c r="D188" i="10"/>
  <c r="D172" i="10"/>
  <c r="D156" i="10"/>
  <c r="D140" i="10"/>
  <c r="D124" i="10"/>
  <c r="D108" i="10"/>
  <c r="E92" i="10"/>
  <c r="G92" i="10" s="1"/>
  <c r="B92" i="10" s="1"/>
  <c r="E76" i="10"/>
  <c r="G76" i="10" s="1"/>
  <c r="B76" i="10" s="1"/>
  <c r="E60" i="10"/>
  <c r="G60" i="10" s="1"/>
  <c r="B60" i="10" s="1"/>
  <c r="D77" i="10"/>
  <c r="E201" i="10"/>
  <c r="G201" i="10" s="1"/>
  <c r="B201" i="10" s="1"/>
  <c r="E197" i="10"/>
  <c r="G197" i="10" s="1"/>
  <c r="B197" i="10" s="1"/>
  <c r="E193" i="10"/>
  <c r="G193" i="10" s="1"/>
  <c r="B193" i="10" s="1"/>
  <c r="E189" i="10"/>
  <c r="G189" i="10" s="1"/>
  <c r="B189" i="10" s="1"/>
  <c r="E185" i="10"/>
  <c r="G185" i="10" s="1"/>
  <c r="B185" i="10" s="1"/>
  <c r="E181" i="10"/>
  <c r="G181" i="10" s="1"/>
  <c r="B181" i="10" s="1"/>
  <c r="E177" i="10"/>
  <c r="G177" i="10" s="1"/>
  <c r="E173" i="10"/>
  <c r="G173" i="10" s="1"/>
  <c r="B173" i="10" s="1"/>
  <c r="E169" i="10"/>
  <c r="G169" i="10" s="1"/>
  <c r="B169" i="10" s="1"/>
  <c r="E165" i="10"/>
  <c r="G165" i="10" s="1"/>
  <c r="B165" i="10" s="1"/>
  <c r="E161" i="10"/>
  <c r="G161" i="10" s="1"/>
  <c r="B161" i="10" s="1"/>
  <c r="E157" i="10"/>
  <c r="G157" i="10" s="1"/>
  <c r="B157" i="10" s="1"/>
  <c r="E153" i="10"/>
  <c r="G153" i="10" s="1"/>
  <c r="B153" i="10" s="1"/>
  <c r="E149" i="10"/>
  <c r="G149" i="10" s="1"/>
  <c r="B149" i="10" s="1"/>
  <c r="E145" i="10"/>
  <c r="G145" i="10" s="1"/>
  <c r="B145" i="10" s="1"/>
  <c r="E141" i="10"/>
  <c r="G141" i="10" s="1"/>
  <c r="B141" i="10" s="1"/>
  <c r="E137" i="10"/>
  <c r="G137" i="10" s="1"/>
  <c r="B137" i="10" s="1"/>
  <c r="E133" i="10"/>
  <c r="G133" i="10" s="1"/>
  <c r="E129" i="10"/>
  <c r="G129" i="10" s="1"/>
  <c r="B129" i="10" s="1"/>
  <c r="E125" i="10"/>
  <c r="G125" i="10" s="1"/>
  <c r="B125" i="10" s="1"/>
  <c r="E121" i="10"/>
  <c r="G121" i="10" s="1"/>
  <c r="B121" i="10" s="1"/>
  <c r="E117" i="10"/>
  <c r="G117" i="10" s="1"/>
  <c r="B117" i="10" s="1"/>
  <c r="E113" i="10"/>
  <c r="G113" i="10" s="1"/>
  <c r="E109" i="10"/>
  <c r="G109" i="10" s="1"/>
  <c r="B109" i="10" s="1"/>
  <c r="E105" i="10"/>
  <c r="G105" i="10" s="1"/>
  <c r="B105" i="10" s="1"/>
  <c r="E101" i="10"/>
  <c r="G101" i="10" s="1"/>
  <c r="B101" i="10" s="1"/>
  <c r="E97" i="10"/>
  <c r="G97" i="10" s="1"/>
  <c r="B97" i="10" s="1"/>
  <c r="E93" i="10"/>
  <c r="G93" i="10" s="1"/>
  <c r="B93" i="10" s="1"/>
  <c r="E89" i="10"/>
  <c r="G89" i="10" s="1"/>
  <c r="B89" i="10" s="1"/>
  <c r="E85" i="10"/>
  <c r="G85" i="10" s="1"/>
  <c r="B85" i="10" s="1"/>
  <c r="E81" i="10"/>
  <c r="G81" i="10" s="1"/>
  <c r="B81" i="10" s="1"/>
  <c r="E73" i="10"/>
  <c r="G73" i="10" s="1"/>
  <c r="E69" i="10"/>
  <c r="G69" i="10" s="1"/>
  <c r="B69" i="10" s="1"/>
  <c r="E65" i="10"/>
  <c r="G65" i="10" s="1"/>
  <c r="B65" i="10" s="1"/>
  <c r="E61" i="10"/>
  <c r="G61" i="10" s="1"/>
  <c r="B61" i="10" s="1"/>
  <c r="E57" i="10"/>
  <c r="G57" i="10" s="1"/>
  <c r="B57" i="10" s="1"/>
  <c r="E53" i="10"/>
  <c r="G53" i="10" s="1"/>
  <c r="B53" i="10" s="1"/>
  <c r="E49" i="10"/>
  <c r="G49" i="10" s="1"/>
  <c r="B49" i="10" s="1"/>
  <c r="B203" i="10"/>
  <c r="B199" i="10"/>
  <c r="B195" i="10"/>
  <c r="B191" i="10"/>
  <c r="B187" i="10"/>
  <c r="B183" i="10"/>
  <c r="B179" i="10"/>
  <c r="B177" i="10"/>
  <c r="B175" i="10"/>
  <c r="B171" i="10"/>
  <c r="B167" i="10"/>
  <c r="B163" i="10"/>
  <c r="B159" i="10"/>
  <c r="B155" i="10"/>
  <c r="B151" i="10"/>
  <c r="B147" i="10"/>
  <c r="B143" i="10"/>
  <c r="B139" i="10"/>
  <c r="B135" i="10"/>
  <c r="B133" i="10"/>
  <c r="B131" i="10"/>
  <c r="B127" i="10"/>
  <c r="B123" i="10"/>
  <c r="B119" i="10"/>
  <c r="B115" i="10"/>
  <c r="B113" i="10"/>
  <c r="B111" i="10"/>
  <c r="B107" i="10"/>
  <c r="B103" i="10"/>
  <c r="B99" i="10"/>
  <c r="B95" i="10"/>
  <c r="B91" i="10"/>
  <c r="B87" i="10"/>
  <c r="B83" i="10"/>
  <c r="B79" i="10"/>
  <c r="B77" i="10"/>
  <c r="B75" i="10"/>
  <c r="B73" i="10"/>
  <c r="B71" i="10"/>
  <c r="B67" i="10"/>
  <c r="B63" i="10"/>
  <c r="B59" i="10"/>
  <c r="B55" i="10"/>
  <c r="B51" i="10"/>
  <c r="B202" i="10"/>
  <c r="B200" i="10"/>
  <c r="B198" i="10"/>
  <c r="B194" i="10"/>
  <c r="B192" i="10"/>
  <c r="B190" i="10"/>
  <c r="B188" i="10"/>
  <c r="B186" i="10"/>
  <c r="B184" i="10"/>
  <c r="B182" i="10"/>
  <c r="B180" i="10"/>
  <c r="B178" i="10"/>
  <c r="B176" i="10"/>
  <c r="B174" i="10"/>
  <c r="B172" i="10"/>
  <c r="B170" i="10"/>
  <c r="B168" i="10"/>
  <c r="B166" i="10"/>
  <c r="B164" i="10"/>
  <c r="B162" i="10"/>
  <c r="B158" i="10"/>
  <c r="B156" i="10"/>
  <c r="B154" i="10"/>
  <c r="B152" i="10"/>
  <c r="B150" i="10"/>
  <c r="B148" i="10"/>
  <c r="B146" i="10"/>
  <c r="B142" i="10"/>
  <c r="B140" i="10"/>
  <c r="B138" i="10"/>
  <c r="B136" i="10"/>
  <c r="B134" i="10"/>
  <c r="B132" i="10"/>
  <c r="B130" i="10"/>
  <c r="B128" i="10"/>
  <c r="B126" i="10"/>
  <c r="B124" i="10"/>
  <c r="B122" i="10"/>
  <c r="B120" i="10"/>
  <c r="B118" i="10"/>
  <c r="B116" i="10"/>
  <c r="B114" i="10"/>
  <c r="B110" i="10"/>
  <c r="B108" i="10"/>
  <c r="B106" i="10"/>
  <c r="B104" i="10"/>
  <c r="B102" i="10"/>
  <c r="B100" i="10"/>
  <c r="B98" i="10"/>
  <c r="B96" i="10"/>
  <c r="B94" i="10"/>
  <c r="B90" i="10"/>
  <c r="B86" i="10"/>
  <c r="B84" i="10"/>
  <c r="B82" i="10"/>
  <c r="B80" i="10"/>
  <c r="B78" i="10"/>
  <c r="B74" i="10"/>
  <c r="B70" i="10"/>
  <c r="B68" i="10"/>
  <c r="B66" i="10"/>
  <c r="B64" i="10"/>
  <c r="B62" i="10"/>
  <c r="B58" i="10"/>
  <c r="B54" i="10"/>
  <c r="B52" i="10"/>
  <c r="B50" i="10"/>
  <c r="B48" i="10"/>
  <c r="L12" i="6"/>
  <c r="L11" i="6"/>
  <c r="L10" i="6"/>
  <c r="L9" i="6"/>
  <c r="L8" i="6"/>
  <c r="H11" i="6"/>
  <c r="H10" i="6"/>
  <c r="H9" i="6"/>
  <c r="P3" i="7" l="1"/>
  <c r="J15" i="6" s="1"/>
  <c r="P5" i="7"/>
  <c r="P7" i="7"/>
  <c r="P9" i="7"/>
  <c r="P11" i="7"/>
  <c r="P13" i="7"/>
  <c r="P15" i="7"/>
  <c r="P4" i="7"/>
  <c r="P6" i="7"/>
  <c r="P8" i="7"/>
  <c r="P10" i="7"/>
  <c r="P12" i="7"/>
  <c r="P14" i="7"/>
  <c r="P16" i="7"/>
  <c r="C6" i="10"/>
  <c r="C7" i="10"/>
  <c r="C8" i="10"/>
  <c r="C9" i="10"/>
  <c r="C10" i="10"/>
  <c r="C11" i="10"/>
  <c r="C12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D46" i="10" s="1"/>
  <c r="A3" i="10" l="1"/>
  <c r="E3" i="10" s="1"/>
  <c r="A4" i="10"/>
  <c r="D4" i="10" s="1"/>
  <c r="A5" i="10"/>
  <c r="E5" i="10" s="1"/>
  <c r="D6" i="10"/>
  <c r="E7" i="10"/>
  <c r="D8" i="10"/>
  <c r="E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E11" i="10"/>
  <c r="E13" i="10"/>
  <c r="E15" i="10"/>
  <c r="E17" i="10"/>
  <c r="E19" i="10"/>
  <c r="E21" i="10"/>
  <c r="E24" i="10"/>
  <c r="E26" i="10"/>
  <c r="E28" i="10"/>
  <c r="E30" i="10"/>
  <c r="E32" i="10"/>
  <c r="E34" i="10"/>
  <c r="E36" i="10"/>
  <c r="G36" i="10" s="1"/>
  <c r="B36" i="10" s="1"/>
  <c r="E38" i="10"/>
  <c r="G38" i="10" s="1"/>
  <c r="B38" i="10" s="1"/>
  <c r="E40" i="10"/>
  <c r="G40" i="10" s="1"/>
  <c r="B40" i="10" s="1"/>
  <c r="E42" i="10"/>
  <c r="G42" i="10" s="1"/>
  <c r="B42" i="10" s="1"/>
  <c r="E44" i="10"/>
  <c r="G44" i="10" s="1"/>
  <c r="B44" i="10" s="1"/>
  <c r="E46" i="10"/>
  <c r="G46" i="10" s="1"/>
  <c r="B46" i="10" s="1"/>
  <c r="C3" i="10"/>
  <c r="C4" i="10"/>
  <c r="C5" i="10"/>
  <c r="H15" i="6" l="1"/>
  <c r="E47" i="10"/>
  <c r="G47" i="10" s="1"/>
  <c r="B47" i="10" s="1"/>
  <c r="E45" i="10"/>
  <c r="G45" i="10" s="1"/>
  <c r="B45" i="10" s="1"/>
  <c r="E43" i="10"/>
  <c r="G43" i="10" s="1"/>
  <c r="B43" i="10" s="1"/>
  <c r="E41" i="10"/>
  <c r="G41" i="10" s="1"/>
  <c r="B41" i="10" s="1"/>
  <c r="E39" i="10"/>
  <c r="G39" i="10" s="1"/>
  <c r="B39" i="10" s="1"/>
  <c r="E37" i="10"/>
  <c r="G37" i="10" s="1"/>
  <c r="B37" i="10" s="1"/>
  <c r="E35" i="10"/>
  <c r="G35" i="10" s="1"/>
  <c r="B35" i="10" s="1"/>
  <c r="E33" i="10"/>
  <c r="G33" i="10" s="1"/>
  <c r="B33" i="10" s="1"/>
  <c r="E31" i="10"/>
  <c r="G31" i="10" s="1"/>
  <c r="B31" i="10" s="1"/>
  <c r="E29" i="10"/>
  <c r="G29" i="10" s="1"/>
  <c r="B29" i="10" s="1"/>
  <c r="E27" i="10"/>
  <c r="G27" i="10" s="1"/>
  <c r="B27" i="10" s="1"/>
  <c r="E25" i="10"/>
  <c r="G25" i="10" s="1"/>
  <c r="B25" i="10" s="1"/>
  <c r="E23" i="10"/>
  <c r="G23" i="10" s="1"/>
  <c r="B23" i="10" s="1"/>
  <c r="E22" i="10"/>
  <c r="G22" i="10" s="1"/>
  <c r="B22" i="10" s="1"/>
  <c r="E20" i="10"/>
  <c r="G20" i="10" s="1"/>
  <c r="B20" i="10" s="1"/>
  <c r="E18" i="10"/>
  <c r="G18" i="10" s="1"/>
  <c r="B18" i="10" s="1"/>
  <c r="E16" i="10"/>
  <c r="G16" i="10" s="1"/>
  <c r="B16" i="10" s="1"/>
  <c r="E14" i="10"/>
  <c r="G14" i="10" s="1"/>
  <c r="B14" i="10" s="1"/>
  <c r="E12" i="10"/>
  <c r="G12" i="10" s="1"/>
  <c r="B12" i="10" s="1"/>
  <c r="E8" i="10"/>
  <c r="G8" i="10" s="1"/>
  <c r="B8" i="10" s="1"/>
  <c r="E4" i="10"/>
  <c r="G4" i="10" s="1"/>
  <c r="B4" i="10" s="1"/>
  <c r="E10" i="10"/>
  <c r="G10" i="10" s="1"/>
  <c r="B10" i="10" s="1"/>
  <c r="E6" i="10"/>
  <c r="G6" i="10" s="1"/>
  <c r="B6" i="10" s="1"/>
  <c r="D9" i="10"/>
  <c r="D7" i="10"/>
  <c r="D5" i="10"/>
  <c r="D3" i="10"/>
  <c r="G34" i="10"/>
  <c r="B34" i="10" s="1"/>
  <c r="G32" i="10"/>
  <c r="B32" i="10" s="1"/>
  <c r="G30" i="10"/>
  <c r="B30" i="10" s="1"/>
  <c r="G28" i="10"/>
  <c r="B28" i="10" s="1"/>
  <c r="G26" i="10"/>
  <c r="B26" i="10" s="1"/>
  <c r="G24" i="10"/>
  <c r="B24" i="10" s="1"/>
  <c r="G21" i="10"/>
  <c r="B21" i="10" s="1"/>
  <c r="G19" i="10"/>
  <c r="B19" i="10" s="1"/>
  <c r="G17" i="10"/>
  <c r="B17" i="10" s="1"/>
  <c r="G15" i="10"/>
  <c r="B15" i="10" s="1"/>
  <c r="G13" i="10"/>
  <c r="B13" i="10" s="1"/>
  <c r="G11" i="10"/>
  <c r="B11" i="10" s="1"/>
  <c r="G9" i="10"/>
  <c r="B9" i="10" s="1"/>
  <c r="G7" i="10"/>
  <c r="B7" i="10" s="1"/>
  <c r="G5" i="10"/>
  <c r="B5" i="10" s="1"/>
  <c r="G3" i="10"/>
  <c r="B3" i="10" s="1"/>
  <c r="J3" i="10" l="1"/>
  <c r="H16" i="6"/>
  <c r="H8" i="6"/>
  <c r="H14" i="6"/>
  <c r="J11" i="6"/>
  <c r="J8" i="6" l="1"/>
  <c r="J13" i="6" l="1"/>
  <c r="B6" i="8" l="1"/>
</calcChain>
</file>

<file path=xl/sharedStrings.xml><?xml version="1.0" encoding="utf-8"?>
<sst xmlns="http://schemas.openxmlformats.org/spreadsheetml/2006/main" count="9484" uniqueCount="2012">
  <si>
    <t>Sexe</t>
  </si>
  <si>
    <t>Téléphones</t>
  </si>
  <si>
    <t>E-mail</t>
  </si>
  <si>
    <t>No identification</t>
  </si>
  <si>
    <t>Point d'alimentation</t>
  </si>
  <si>
    <t>Le comité exécutif</t>
  </si>
  <si>
    <t>Fonction</t>
  </si>
  <si>
    <t>Le comité des fontaines</t>
  </si>
  <si>
    <t>No fontaine</t>
  </si>
  <si>
    <t>Nom fontaine</t>
  </si>
  <si>
    <t>Année</t>
  </si>
  <si>
    <t xml:space="preserve">Liste des abonnés </t>
  </si>
  <si>
    <t>Secrétaire</t>
  </si>
  <si>
    <t>Années</t>
  </si>
  <si>
    <t>Nombre d'abonnés privés</t>
  </si>
  <si>
    <t>Adresse</t>
  </si>
  <si>
    <t>Nombre de consommateur</t>
  </si>
  <si>
    <t>Nom et Prénom (chef du ménage)</t>
  </si>
  <si>
    <t>Trésorier</t>
  </si>
  <si>
    <t>Président</t>
  </si>
  <si>
    <t>Collectes des redevances</t>
  </si>
  <si>
    <t>Nombre d'abonnés
des fontaines publiques</t>
  </si>
  <si>
    <t>Descriptions</t>
  </si>
  <si>
    <t>Effectifs</t>
  </si>
  <si>
    <t>Informations générales</t>
  </si>
  <si>
    <t>Nombre de fontaines</t>
  </si>
  <si>
    <t>Nom Fontaine</t>
  </si>
  <si>
    <t>Informations sur les fontaines</t>
  </si>
  <si>
    <t>Localité</t>
  </si>
  <si>
    <t>Nombre d'abonnés
desservis</t>
  </si>
  <si>
    <t>Conseiller</t>
  </si>
  <si>
    <t>CAEPA</t>
  </si>
  <si>
    <t>Retour dans l'acceuil</t>
  </si>
  <si>
    <r>
      <t>Nombre d'abonn</t>
    </r>
    <r>
      <rPr>
        <sz val="11"/>
        <color theme="1"/>
        <rFont val="Calibri"/>
        <family val="2"/>
      </rPr>
      <t>é</t>
    </r>
    <r>
      <rPr>
        <sz val="11"/>
        <color theme="1"/>
        <rFont val="Calibri"/>
        <family val="2"/>
        <scheme val="minor"/>
      </rPr>
      <t>s desservis</t>
    </r>
  </si>
  <si>
    <t>Nombre 
de consommateur</t>
  </si>
  <si>
    <t>fontaine</t>
  </si>
  <si>
    <t>Montant collecté</t>
  </si>
  <si>
    <r>
      <t>Montant pay</t>
    </r>
    <r>
      <rPr>
        <b/>
        <sz val="11"/>
        <color theme="1"/>
        <rFont val="Calibri"/>
        <family val="2"/>
      </rPr>
      <t xml:space="preserve">é </t>
    </r>
  </si>
  <si>
    <t xml:space="preserve">Solde d'ouverture </t>
  </si>
  <si>
    <t xml:space="preserve">Fond externe </t>
  </si>
  <si>
    <t xml:space="preserve">Dépenses </t>
  </si>
  <si>
    <t>Liste des fontaines</t>
  </si>
  <si>
    <t>Président (e)</t>
  </si>
  <si>
    <t xml:space="preserve"> Président</t>
  </si>
  <si>
    <t>Fontaine Fonction</t>
  </si>
  <si>
    <t>Fontaine publique</t>
  </si>
  <si>
    <r>
      <t>Nom et pr</t>
    </r>
    <r>
      <rPr>
        <b/>
        <sz val="11"/>
        <color theme="1"/>
        <rFont val="Calibri"/>
        <family val="2"/>
      </rPr>
      <t>é</t>
    </r>
    <r>
      <rPr>
        <b/>
        <sz val="11"/>
        <color theme="1"/>
        <rFont val="Times New Roman"/>
        <family val="1"/>
      </rPr>
      <t>nom</t>
    </r>
  </si>
  <si>
    <r>
      <t>Montant pay</t>
    </r>
    <r>
      <rPr>
        <b/>
        <sz val="11"/>
        <color theme="1"/>
        <rFont val="Calibri"/>
        <family val="2"/>
      </rPr>
      <t>é (HTG)</t>
    </r>
  </si>
  <si>
    <t>CIN/NIF</t>
  </si>
  <si>
    <t>Téléphone</t>
  </si>
  <si>
    <r>
      <t>Nom et Pr</t>
    </r>
    <r>
      <rPr>
        <b/>
        <sz val="11"/>
        <color theme="1"/>
        <rFont val="Calibri"/>
        <family val="2"/>
      </rPr>
      <t>é</t>
    </r>
    <r>
      <rPr>
        <b/>
        <sz val="11"/>
        <color theme="1"/>
        <rFont val="Times New Roman"/>
        <family val="1"/>
      </rPr>
      <t xml:space="preserve">nom </t>
    </r>
  </si>
  <si>
    <t>Prise privée</t>
  </si>
  <si>
    <t>fontaine fonction</t>
  </si>
  <si>
    <t>nom et prenom</t>
  </si>
  <si>
    <t>Informations sur l'état financier</t>
  </si>
  <si>
    <t>No</t>
  </si>
  <si>
    <t>Description</t>
  </si>
  <si>
    <t>Montant prévu 
(budget)</t>
  </si>
  <si>
    <t>Nombre de 
consommateur</t>
  </si>
  <si>
    <r>
      <t xml:space="preserve"> Nom et Pr</t>
    </r>
    <r>
      <rPr>
        <b/>
        <sz val="11"/>
        <color theme="1"/>
        <rFont val="Calibri"/>
        <family val="2"/>
      </rPr>
      <t>é</t>
    </r>
    <r>
      <rPr>
        <b/>
        <sz val="11"/>
        <color theme="1"/>
        <rFont val="Times New Roman"/>
        <family val="1"/>
      </rPr>
      <t xml:space="preserve">nom </t>
    </r>
  </si>
  <si>
    <t>Solde d'ouverture</t>
  </si>
  <si>
    <t>Montant prévue</t>
  </si>
  <si>
    <t>Fond externe</t>
  </si>
  <si>
    <t>Solde de fermeture</t>
  </si>
  <si>
    <t>Budget de caisse</t>
  </si>
  <si>
    <t>Taux de recouvrement (Budget)</t>
  </si>
  <si>
    <t>Taux de recouvrement (redevance)</t>
  </si>
  <si>
    <r>
      <t>Liste des d</t>
    </r>
    <r>
      <rPr>
        <b/>
        <u val="double"/>
        <sz val="11"/>
        <color theme="1"/>
        <rFont val="Calibri"/>
        <family val="2"/>
      </rPr>
      <t>é</t>
    </r>
    <r>
      <rPr>
        <b/>
        <u val="double"/>
        <sz val="11"/>
        <color theme="1"/>
        <rFont val="Times New Roman"/>
        <family val="1"/>
      </rPr>
      <t>penses et des rentr</t>
    </r>
    <r>
      <rPr>
        <b/>
        <u val="double"/>
        <sz val="11"/>
        <color theme="1"/>
        <rFont val="Calibri"/>
        <family val="2"/>
      </rPr>
      <t>é</t>
    </r>
    <r>
      <rPr>
        <b/>
        <u val="double"/>
        <sz val="11"/>
        <color theme="1"/>
        <rFont val="Times New Roman"/>
        <family val="1"/>
      </rPr>
      <t>es de fonds</t>
    </r>
  </si>
  <si>
    <t xml:space="preserve">            Acceuil</t>
  </si>
  <si>
    <t>Informations</t>
  </si>
  <si>
    <r>
      <t>Informations sur les abonn</t>
    </r>
    <r>
      <rPr>
        <b/>
        <i/>
        <sz val="12"/>
        <color theme="1"/>
        <rFont val="Calibri"/>
        <family val="2"/>
      </rPr>
      <t>é</t>
    </r>
    <r>
      <rPr>
        <b/>
        <i/>
        <sz val="12"/>
        <color theme="1"/>
        <rFont val="Times New Roman"/>
        <family val="1"/>
      </rPr>
      <t>s</t>
    </r>
  </si>
  <si>
    <t>Réalisé par Fritzno Louis, Ing.-Agr.
Janvier 2018</t>
  </si>
  <si>
    <t>Origine du fond</t>
  </si>
  <si>
    <t xml:space="preserve">Montant total collecté </t>
  </si>
  <si>
    <t>Année 2017</t>
  </si>
  <si>
    <t>Année 2018</t>
  </si>
  <si>
    <t>Année 2019</t>
  </si>
  <si>
    <t>Année 2020</t>
  </si>
  <si>
    <t>Année 2021</t>
  </si>
  <si>
    <t>Année 2022</t>
  </si>
  <si>
    <t>Année 2023</t>
  </si>
  <si>
    <t>Année 2024</t>
  </si>
  <si>
    <t>Année 2025</t>
  </si>
  <si>
    <t>Année 2027</t>
  </si>
  <si>
    <t>Année 2028</t>
  </si>
  <si>
    <t>Année 2026</t>
  </si>
  <si>
    <t>Année 2029</t>
  </si>
  <si>
    <t>Année 2030</t>
  </si>
  <si>
    <t>Qté</t>
  </si>
  <si>
    <t>Rubrique</t>
  </si>
  <si>
    <t>Unité monetaire:</t>
  </si>
  <si>
    <t>Gourde</t>
  </si>
  <si>
    <t>Prix unitaire</t>
  </si>
  <si>
    <t xml:space="preserve">Prix total </t>
  </si>
  <si>
    <t>Origine de fond</t>
  </si>
  <si>
    <t>Fond propre</t>
  </si>
  <si>
    <t>Nom et prénom</t>
  </si>
  <si>
    <t>Retour à l'acceuil</t>
  </si>
  <si>
    <t>Liste des rubriques</t>
  </si>
  <si>
    <t xml:space="preserve">Montant disponible </t>
  </si>
  <si>
    <t>Année:</t>
  </si>
  <si>
    <t>Total (Solde)</t>
  </si>
  <si>
    <t>Entrée</t>
  </si>
  <si>
    <t>Sortie</t>
  </si>
  <si>
    <t>Année: 2017</t>
  </si>
  <si>
    <t>Année: 2018</t>
  </si>
  <si>
    <t>Année: 2019</t>
  </si>
  <si>
    <t>Année: 2020</t>
  </si>
  <si>
    <t>Année: 2021</t>
  </si>
  <si>
    <t>Année: 2022</t>
  </si>
  <si>
    <t>Année: 2023</t>
  </si>
  <si>
    <t>Année: 2024</t>
  </si>
  <si>
    <t>Année: 2025</t>
  </si>
  <si>
    <t>Année: 2026</t>
  </si>
  <si>
    <t>Année: 2027</t>
  </si>
  <si>
    <t>Année: 2028</t>
  </si>
  <si>
    <t>Année: 2029</t>
  </si>
  <si>
    <t>Année: 2030</t>
  </si>
  <si>
    <r>
      <t xml:space="preserve">Aller </t>
    </r>
    <r>
      <rPr>
        <u/>
        <sz val="11"/>
        <color theme="10"/>
        <rFont val="Calibri"/>
        <family val="2"/>
      </rPr>
      <t>à</t>
    </r>
    <r>
      <rPr>
        <u/>
        <sz val="11"/>
        <color theme="10"/>
        <rFont val="Calibri"/>
        <family val="2"/>
        <scheme val="minor"/>
      </rPr>
      <t xml:space="preserve"> la Compt.</t>
    </r>
  </si>
  <si>
    <t>Aller au Budget</t>
  </si>
  <si>
    <t>Contribution des usagers pour l'année 2017</t>
  </si>
  <si>
    <t>Contribution des usagers pour l'année 2018</t>
  </si>
  <si>
    <t>Contribution des usagers pour l'année 2019</t>
  </si>
  <si>
    <t>Contribution des usagers pour l'année 2021</t>
  </si>
  <si>
    <t>Contribution des usagers pour l'année 2023</t>
  </si>
  <si>
    <t>Contribution des usagers pour l'année 2024</t>
  </si>
  <si>
    <t>Contribution des usagers pour l'année 2025</t>
  </si>
  <si>
    <t>Contribution des usagers pour l'année 2026</t>
  </si>
  <si>
    <t>Contribution des usagers pour l'année 2028</t>
  </si>
  <si>
    <t>Contribution des usagers pour l'année 2029</t>
  </si>
  <si>
    <t>Unité monétaire:</t>
  </si>
  <si>
    <t>Date</t>
  </si>
  <si>
    <t>Budget</t>
  </si>
  <si>
    <t>Unité</t>
  </si>
  <si>
    <t>Code</t>
  </si>
  <si>
    <t>Balance</t>
  </si>
  <si>
    <t>Projet</t>
  </si>
  <si>
    <t>Projet:</t>
  </si>
  <si>
    <t>Description de la rubrique</t>
  </si>
  <si>
    <t>Source</t>
  </si>
  <si>
    <t>Aller à Compt.</t>
  </si>
  <si>
    <t>Aller au budget</t>
  </si>
  <si>
    <t>Dépense</t>
  </si>
  <si>
    <t>Contribution des usagers pour l'année 2027</t>
  </si>
  <si>
    <t>Contribution des usagers pour l'année 2020</t>
  </si>
  <si>
    <t>Contribution des usagers pour l'année 2022</t>
  </si>
  <si>
    <r>
      <t xml:space="preserve">Retour </t>
    </r>
    <r>
      <rPr>
        <u/>
        <sz val="11"/>
        <color theme="10"/>
        <rFont val="Calibri"/>
        <family val="2"/>
      </rPr>
      <t>à</t>
    </r>
    <r>
      <rPr>
        <u/>
        <sz val="11"/>
        <color theme="10"/>
        <rFont val="Calibri"/>
        <family val="2"/>
        <scheme val="minor"/>
      </rPr>
      <t xml:space="preserve"> l'acceuil</t>
    </r>
  </si>
  <si>
    <r>
      <t>Liste des d</t>
    </r>
    <r>
      <rPr>
        <b/>
        <u val="double"/>
        <sz val="11"/>
        <color theme="1"/>
        <rFont val="Calibri"/>
        <family val="2"/>
      </rPr>
      <t>é</t>
    </r>
    <r>
      <rPr>
        <b/>
        <u val="double"/>
        <sz val="11"/>
        <color theme="1"/>
        <rFont val="Times New Roman"/>
        <family val="1"/>
      </rPr>
      <t>penses et des entrées de fonds</t>
    </r>
  </si>
  <si>
    <t>Total (Dépense)</t>
  </si>
  <si>
    <t>Liste des Rubriques</t>
  </si>
  <si>
    <t>Dépenses</t>
  </si>
  <si>
    <t>Total (Entrée)</t>
  </si>
  <si>
    <t xml:space="preserve"> </t>
  </si>
  <si>
    <t>TRB</t>
  </si>
  <si>
    <t>TRR</t>
  </si>
  <si>
    <t>dépenses</t>
  </si>
  <si>
    <t>TRB:</t>
  </si>
  <si>
    <t>TRR:</t>
  </si>
  <si>
    <t>Taux de Recouvrement du Budget</t>
  </si>
  <si>
    <t>Taux de Recouvrement de la Redevance</t>
  </si>
  <si>
    <t>Solde</t>
  </si>
  <si>
    <t>1.- Carte du SAEP</t>
  </si>
  <si>
    <t>2.- Courbes d'évolution des taux de recouvrement</t>
  </si>
  <si>
    <t>Liste des projets</t>
  </si>
  <si>
    <t>3.- Rapport sur les entrées, les sorties et les soldes par années pour l'ensemble des projets</t>
  </si>
  <si>
    <t>Liste des rubriques et des projets gérés par le CAEPA</t>
  </si>
  <si>
    <t>Aller à la liste</t>
  </si>
  <si>
    <t>F</t>
  </si>
  <si>
    <t>M</t>
  </si>
  <si>
    <t>Ecole Nationale</t>
  </si>
  <si>
    <t>Base de donnÉes du CAEPA de Poste Métier</t>
  </si>
  <si>
    <r>
      <t>Si</t>
    </r>
    <r>
      <rPr>
        <b/>
        <i/>
        <sz val="12"/>
        <color theme="1"/>
        <rFont val="Calibri"/>
        <family val="2"/>
      </rPr>
      <t>è</t>
    </r>
    <r>
      <rPr>
        <b/>
        <i/>
        <sz val="12"/>
        <color theme="1"/>
        <rFont val="Times New Roman"/>
        <family val="1"/>
      </rPr>
      <t>ge Social: Poste Métier, 5</t>
    </r>
    <r>
      <rPr>
        <b/>
        <i/>
        <sz val="12"/>
        <color theme="1"/>
        <rFont val="Calibri"/>
        <family val="2"/>
      </rPr>
      <t>è</t>
    </r>
    <r>
      <rPr>
        <b/>
        <i/>
        <sz val="12"/>
        <color theme="1"/>
        <rFont val="Times New Roman"/>
        <family val="1"/>
      </rPr>
      <t>me section Bas des Moustiques, Port de Paix, Nord-Ouest</t>
    </r>
  </si>
  <si>
    <t>Augustin</t>
  </si>
  <si>
    <t>Bananier Colas</t>
  </si>
  <si>
    <t>Bois Milot</t>
  </si>
  <si>
    <t>Cadace</t>
  </si>
  <si>
    <t>Eau Salée</t>
  </si>
  <si>
    <t>Fond boulé</t>
  </si>
  <si>
    <t>Fossé</t>
  </si>
  <si>
    <t>Francilia</t>
  </si>
  <si>
    <t>Lefond</t>
  </si>
  <si>
    <t>Mare grand bois</t>
  </si>
  <si>
    <t>Métayer</t>
  </si>
  <si>
    <t>Morne Palmiste</t>
  </si>
  <si>
    <t>Morne Rond</t>
  </si>
  <si>
    <t>Nan blan</t>
  </si>
  <si>
    <t>Piagon</t>
  </si>
  <si>
    <t>Poste Métier 1</t>
  </si>
  <si>
    <t>Poste Métier 2</t>
  </si>
  <si>
    <t>Rivière Moustique</t>
  </si>
  <si>
    <t>Rosette 1</t>
  </si>
  <si>
    <t>Rosette 2</t>
  </si>
  <si>
    <t>Tichal</t>
  </si>
  <si>
    <t>La Baie</t>
  </si>
  <si>
    <t>Auguslin</t>
  </si>
  <si>
    <t>Bouvard</t>
  </si>
  <si>
    <t>Fond Boulé</t>
  </si>
  <si>
    <t>Mare Grand Bois</t>
  </si>
  <si>
    <t>Poste Métier</t>
  </si>
  <si>
    <t xml:space="preserve">Rosette </t>
  </si>
  <si>
    <r>
      <t>Si</t>
    </r>
    <r>
      <rPr>
        <b/>
        <i/>
        <sz val="12"/>
        <color theme="1"/>
        <rFont val="Calibri"/>
        <family val="2"/>
      </rPr>
      <t>è</t>
    </r>
    <r>
      <rPr>
        <b/>
        <i/>
        <sz val="12"/>
        <color theme="1"/>
        <rFont val="Times New Roman"/>
        <family val="1"/>
      </rPr>
      <t>ge Social: Poste Métier, 5</t>
    </r>
    <r>
      <rPr>
        <b/>
        <i/>
        <sz val="12"/>
        <color theme="1"/>
        <rFont val="Calibri"/>
        <family val="2"/>
      </rPr>
      <t>è</t>
    </r>
    <r>
      <rPr>
        <b/>
        <i/>
        <sz val="12"/>
        <color theme="1"/>
        <rFont val="Times New Roman"/>
        <family val="1"/>
      </rPr>
      <t>me section Bas des Moustiques, Port de Paix,Nord-Ouest</t>
    </r>
  </si>
  <si>
    <t>Chrisbon Fais</t>
  </si>
  <si>
    <t>President</t>
  </si>
  <si>
    <t>Abraam Vincent</t>
  </si>
  <si>
    <t>Vice president</t>
  </si>
  <si>
    <t>Secretaire</t>
  </si>
  <si>
    <t>Sony Herard</t>
  </si>
  <si>
    <t>Tresorier</t>
  </si>
  <si>
    <t>chribon@hughus.net</t>
  </si>
  <si>
    <t>003-860-751-9</t>
  </si>
  <si>
    <t>Wilna Jean Paul Louis</t>
  </si>
  <si>
    <t>Tony Peonel</t>
  </si>
  <si>
    <t>Conseiler</t>
  </si>
  <si>
    <t>Fon.</t>
  </si>
  <si>
    <t>Salaires</t>
  </si>
  <si>
    <t>Sal.</t>
  </si>
  <si>
    <t>Investissement</t>
  </si>
  <si>
    <t>Fonctionnement</t>
  </si>
  <si>
    <t>Salaires des plombiers</t>
  </si>
  <si>
    <t>Entretien du bureau</t>
  </si>
  <si>
    <t>Deplacement</t>
  </si>
  <si>
    <t>Realisation du maison de compteur de Lefond</t>
  </si>
  <si>
    <t>Informatisation des achives</t>
  </si>
  <si>
    <t>lele p-bonne fontaine</t>
  </si>
  <si>
    <t>Administration</t>
  </si>
  <si>
    <t>Achat de pieces</t>
  </si>
  <si>
    <t>Prévisions des rentrées de fonds</t>
  </si>
  <si>
    <t>Entrées</t>
  </si>
  <si>
    <t>Cartes à vendre</t>
  </si>
  <si>
    <t>Usagers</t>
  </si>
  <si>
    <t>Redevances des usagers privées</t>
  </si>
  <si>
    <t>Nouvelles connexions</t>
  </si>
  <si>
    <t>Total (Entrées)</t>
  </si>
  <si>
    <t>Total (Dépenses)</t>
  </si>
  <si>
    <t>Total (Soldes)</t>
  </si>
  <si>
    <t>Redevances des usagers publiques</t>
  </si>
  <si>
    <t>Dettes de 2016</t>
  </si>
  <si>
    <t>Primes aux surveillants des fontaines</t>
  </si>
  <si>
    <t>Réalisatioin des combites</t>
  </si>
  <si>
    <t>Réalisation du maison compteur Lefond</t>
  </si>
  <si>
    <t>Déplacement des plombiers</t>
  </si>
  <si>
    <t>Frais reclamé par la DINEPA</t>
  </si>
  <si>
    <t>Abella Chantale</t>
  </si>
  <si>
    <t>Acceus Assonaise</t>
  </si>
  <si>
    <t>Accius Eluis</t>
  </si>
  <si>
    <t>Acène Cadestin</t>
  </si>
  <si>
    <t>Addition Claudia</t>
  </si>
  <si>
    <t xml:space="preserve">Addition Marcson </t>
  </si>
  <si>
    <t>Adeline</t>
  </si>
  <si>
    <t>Adrien Rosemond</t>
  </si>
  <si>
    <t>Agenor Cedernier</t>
  </si>
  <si>
    <t>Aimable Lavila</t>
  </si>
  <si>
    <t>Alaincy Angeline</t>
  </si>
  <si>
    <t>Alaincy Diana</t>
  </si>
  <si>
    <t>Alaincy Eranise</t>
  </si>
  <si>
    <t>Alaincy Eunithe</t>
  </si>
  <si>
    <t>Alaincy Evenel</t>
  </si>
  <si>
    <t>Alaincy Joanel</t>
  </si>
  <si>
    <t>Alaincy Julianne</t>
  </si>
  <si>
    <t>Alaincy Manius</t>
  </si>
  <si>
    <t>Alaincy Nelson</t>
  </si>
  <si>
    <t>Alaincy Rigaud</t>
  </si>
  <si>
    <t>Alaincy Roseleine</t>
  </si>
  <si>
    <t>Alceguerre Rodrique</t>
  </si>
  <si>
    <t>Alceme Viliane</t>
  </si>
  <si>
    <t>Alceus Anilia</t>
  </si>
  <si>
    <t>Alcide</t>
  </si>
  <si>
    <t>Alcinor Alceis</t>
  </si>
  <si>
    <t>Alfonce Nicolas</t>
  </si>
  <si>
    <t>Alma Elibert</t>
  </si>
  <si>
    <t>Almeya Aliya</t>
  </si>
  <si>
    <t>Almonor Apha</t>
  </si>
  <si>
    <t>Almonor Ilruc</t>
  </si>
  <si>
    <t>Alsaint Derison</t>
  </si>
  <si>
    <t>Alsaint Marie Marthe</t>
  </si>
  <si>
    <t>Altenor Arold</t>
  </si>
  <si>
    <t>Altenor Lucner</t>
  </si>
  <si>
    <t>Altenord Carole</t>
  </si>
  <si>
    <t>Altenord Marie Nicole</t>
  </si>
  <si>
    <t>Altenord Mercina</t>
  </si>
  <si>
    <t>Althéon Josué</t>
  </si>
  <si>
    <t>Altidor Iselaine</t>
  </si>
  <si>
    <t>Andre Marie Sonide</t>
  </si>
  <si>
    <t>Andre Michel</t>
  </si>
  <si>
    <t>Anessile</t>
  </si>
  <si>
    <t>Anilia Anelion</t>
  </si>
  <si>
    <t>Anjilo Farisia</t>
  </si>
  <si>
    <t>Anocene</t>
  </si>
  <si>
    <t>Aplus Daniel</t>
  </si>
  <si>
    <t>Applus Ennisso</t>
  </si>
  <si>
    <t>Applus Fedner</t>
  </si>
  <si>
    <t>Applus Fleurvil</t>
  </si>
  <si>
    <t>Applus Haivens</t>
  </si>
  <si>
    <t>Applus Idiana</t>
  </si>
  <si>
    <t>Applus Inorvil</t>
  </si>
  <si>
    <t>Applus Rose Adonia</t>
  </si>
  <si>
    <t>Arne Enock</t>
  </si>
  <si>
    <t>Atania fleuginord</t>
  </si>
  <si>
    <t>Athurin Michelda</t>
  </si>
  <si>
    <t>Atilus Alner</t>
  </si>
  <si>
    <t>Atilus Jaceline</t>
  </si>
  <si>
    <t>Atilus Kerline</t>
  </si>
  <si>
    <t>Atilus Ladine</t>
  </si>
  <si>
    <t>Atilus Lirodese</t>
  </si>
  <si>
    <t>Augustave Alianise</t>
  </si>
  <si>
    <t>Auguste Abraam</t>
  </si>
  <si>
    <t>Auguste Acheline</t>
  </si>
  <si>
    <t>Auguste Bernadette</t>
  </si>
  <si>
    <t>Auguste Cemales</t>
  </si>
  <si>
    <t>Auguste Diranier</t>
  </si>
  <si>
    <t>Auguste Emanithe</t>
  </si>
  <si>
    <t>Auguste Enson</t>
  </si>
  <si>
    <t>Auguste Erzilia</t>
  </si>
  <si>
    <t>Auguste Examan</t>
  </si>
  <si>
    <t>Auguste Frannes</t>
  </si>
  <si>
    <t>Auguste Yfranes</t>
  </si>
  <si>
    <t>Augustin Auguste</t>
  </si>
  <si>
    <t>Augustin Darisier</t>
  </si>
  <si>
    <t>Augustin Eliane</t>
  </si>
  <si>
    <t>Augustin Gilbert</t>
  </si>
  <si>
    <t>Augustin Josnel</t>
  </si>
  <si>
    <t>Augustin Magalie</t>
  </si>
  <si>
    <t>Augustin Philippe</t>
  </si>
  <si>
    <t>Augustin Roselene</t>
  </si>
  <si>
    <t>Augustin Saint Gerard</t>
  </si>
  <si>
    <t>Avenia</t>
  </si>
  <si>
    <t>Avilma Ronald</t>
  </si>
  <si>
    <t>Axilus Christiana</t>
  </si>
  <si>
    <t>Back Celise</t>
  </si>
  <si>
    <t>Baptiste Lucanes</t>
  </si>
  <si>
    <t>Baptiste Lucner</t>
  </si>
  <si>
    <t>Baptiste Marie-Jeanne</t>
  </si>
  <si>
    <t>Baptiste Ydianie</t>
  </si>
  <si>
    <t>Barelus Claire Ancia</t>
  </si>
  <si>
    <t>Basile Marie Joceline</t>
  </si>
  <si>
    <t>Beautelus Edeline</t>
  </si>
  <si>
    <t>Belfort Daniel</t>
  </si>
  <si>
    <t>Belhomme Amalia</t>
  </si>
  <si>
    <t>Belhomme Antoinette</t>
  </si>
  <si>
    <t>Belhomme Charite</t>
  </si>
  <si>
    <t>Belhomme Djomil</t>
  </si>
  <si>
    <t>Belhomme Ilruc</t>
  </si>
  <si>
    <t>Belhomme Isemene</t>
  </si>
  <si>
    <t>Belhomme Jeannette</t>
  </si>
  <si>
    <t>Belhomme Mariela</t>
  </si>
  <si>
    <t>Belhomme Mediles</t>
  </si>
  <si>
    <t>Belhomme Saintano</t>
  </si>
  <si>
    <t>Belhomme Walner</t>
  </si>
  <si>
    <t>Belhomme Yvonie</t>
  </si>
  <si>
    <t>Belizaire 1lton</t>
  </si>
  <si>
    <t>Belizaire Ancy</t>
  </si>
  <si>
    <t>Belizaire Camene</t>
  </si>
  <si>
    <t>Belizaire Celiana</t>
  </si>
  <si>
    <t>Belizaire Fekier</t>
  </si>
  <si>
    <t>Belizaire Gerome</t>
  </si>
  <si>
    <t>Belizaire Jameson</t>
  </si>
  <si>
    <t>Belizaire Jean Kadel</t>
  </si>
  <si>
    <t>Belizaire Michael</t>
  </si>
  <si>
    <t>Belizaire Ovnel</t>
  </si>
  <si>
    <t>Belizaire Ricardo</t>
  </si>
  <si>
    <t>Belizaire Richardson</t>
  </si>
  <si>
    <t>Belizaire Thorlene</t>
  </si>
  <si>
    <t>Belizaire Ysebanie</t>
  </si>
  <si>
    <t>Belony 1lbert</t>
  </si>
  <si>
    <t>Belony Angelita</t>
  </si>
  <si>
    <t>Belony Carriere</t>
  </si>
  <si>
    <t>Belony Clodette</t>
  </si>
  <si>
    <t>Belony Colbert</t>
  </si>
  <si>
    <t>Belony Evret</t>
  </si>
  <si>
    <t>Belony Fenol</t>
  </si>
  <si>
    <t>Belony Idelmise</t>
  </si>
  <si>
    <t>Belony Lorzeska</t>
  </si>
  <si>
    <t>Belony Marichale</t>
  </si>
  <si>
    <t>Belony Michenel</t>
  </si>
  <si>
    <t>Belony Milicio</t>
  </si>
  <si>
    <t>Belzince 1lgens</t>
  </si>
  <si>
    <t>Bengaz</t>
  </si>
  <si>
    <t>Benitha</t>
  </si>
  <si>
    <t>Berard Lucienne</t>
  </si>
  <si>
    <t>Bernard Lamercie</t>
  </si>
  <si>
    <t>Bernard Rochena</t>
  </si>
  <si>
    <t>Bernex</t>
  </si>
  <si>
    <t>Bethel Masilia</t>
  </si>
  <si>
    <t>Bien-Aime Eloune</t>
  </si>
  <si>
    <t>Bien-Aime Ivanes</t>
  </si>
  <si>
    <t>Bien-Aime Rosedette</t>
  </si>
  <si>
    <t>Blaise Alteon</t>
  </si>
  <si>
    <t>Blaise Lavinia</t>
  </si>
  <si>
    <t>Blaise Merilia</t>
  </si>
  <si>
    <t>Blaise Merimene</t>
  </si>
  <si>
    <t>Blaise Sainvertis</t>
  </si>
  <si>
    <t>Blaise Seritia</t>
  </si>
  <si>
    <t>Blaise Viergela</t>
  </si>
  <si>
    <t>Blaise Ylody</t>
  </si>
  <si>
    <t>Blanc Berilia</t>
  </si>
  <si>
    <t>Blanc Makilaise</t>
  </si>
  <si>
    <t>Blanc Mezianie</t>
  </si>
  <si>
    <t>Blanc Odilus</t>
  </si>
  <si>
    <t>Bonhomme 1tson</t>
  </si>
  <si>
    <t>Bonhomme Acelman</t>
  </si>
  <si>
    <t>Bonhomme Delivrance</t>
  </si>
  <si>
    <t>Bonhomme Edner</t>
  </si>
  <si>
    <t>Bonhomme Joachins</t>
  </si>
  <si>
    <t>Bonhomme Lifaite</t>
  </si>
  <si>
    <t>Bonhomme Lucanes</t>
  </si>
  <si>
    <t>Bonhomme Nicaisse</t>
  </si>
  <si>
    <t>Bonhomme Robinson</t>
  </si>
  <si>
    <t>Bonhomme Serady</t>
  </si>
  <si>
    <t>Bonhomme Wadeline</t>
  </si>
  <si>
    <t>Bonhomme Yvette</t>
  </si>
  <si>
    <t>Bonhommme Marilene</t>
  </si>
  <si>
    <t>Borgela Edithe</t>
  </si>
  <si>
    <t>Bouco Iselio</t>
  </si>
  <si>
    <t>Bouco Saintene</t>
  </si>
  <si>
    <t>Bovi Alno</t>
  </si>
  <si>
    <t>Branchedor Flodna</t>
  </si>
  <si>
    <t>Branchedor Floricia</t>
  </si>
  <si>
    <t>Branchedor Irinna</t>
  </si>
  <si>
    <t>Branchedor Nickenson</t>
  </si>
  <si>
    <t>Branchedor Oricier</t>
  </si>
  <si>
    <t>Breus Amoncia</t>
  </si>
  <si>
    <t>Breus Aniel</t>
  </si>
  <si>
    <t>Breus Enacel</t>
  </si>
  <si>
    <t>Breus Iterlande</t>
  </si>
  <si>
    <t>Breus Jumelle</t>
  </si>
  <si>
    <t>Breus Osnel</t>
  </si>
  <si>
    <t>Breus Stazile</t>
  </si>
  <si>
    <t>Bricius Bricette</t>
  </si>
  <si>
    <t>Britus 1slet</t>
  </si>
  <si>
    <t>Britus Altres</t>
  </si>
  <si>
    <t>Britus Exanor</t>
  </si>
  <si>
    <t>Britus Ylaria</t>
  </si>
  <si>
    <t>Bruce 1deline</t>
  </si>
  <si>
    <t>Bruce Ansernio</t>
  </si>
  <si>
    <t>Bruce Cherizar</t>
  </si>
  <si>
    <t>Bruce Colimond</t>
  </si>
  <si>
    <t>Bruce Estenio</t>
  </si>
  <si>
    <t>Bruce Gastha</t>
  </si>
  <si>
    <t>Bruce Joceline</t>
  </si>
  <si>
    <t>Bruce Ylbrenor</t>
  </si>
  <si>
    <t>Brucette Ynoser</t>
  </si>
  <si>
    <t>Brusius Saintalia</t>
  </si>
  <si>
    <t>Brutus Desilia</t>
  </si>
  <si>
    <t>Cadestin Isemalia</t>
  </si>
  <si>
    <t>Cadestin Morales</t>
  </si>
  <si>
    <t>Cadet Dieudius</t>
  </si>
  <si>
    <t>Cadet Emmanuel</t>
  </si>
  <si>
    <t>Cadet Mertilus</t>
  </si>
  <si>
    <t>Calus Jeronel</t>
  </si>
  <si>
    <t>Camelia</t>
  </si>
  <si>
    <t>Camitha Morame</t>
  </si>
  <si>
    <t>Canes Herdilus</t>
  </si>
  <si>
    <t>Canis Eliame</t>
  </si>
  <si>
    <t>Casseus Walner</t>
  </si>
  <si>
    <t>Ceius Michelet</t>
  </si>
  <si>
    <t>Celestin Cevanie</t>
  </si>
  <si>
    <t>Celestin Fritznel</t>
  </si>
  <si>
    <t>celestin yousemika</t>
  </si>
  <si>
    <t>Celidieu Belzince</t>
  </si>
  <si>
    <t>Celouis Edee</t>
  </si>
  <si>
    <t>Cenat Guerna</t>
  </si>
  <si>
    <t>Cenatis St Termise</t>
  </si>
  <si>
    <t>Cerisier Savenie</t>
  </si>
  <si>
    <t>Ceront Sainsulia</t>
  </si>
  <si>
    <t>Certilus Livecia</t>
  </si>
  <si>
    <t>Cesar Antonio</t>
  </si>
  <si>
    <t>Cesar Celanie</t>
  </si>
  <si>
    <t>Cesar Cerlio</t>
  </si>
  <si>
    <t>Cesar Gaston</t>
  </si>
  <si>
    <t>Cesar Idophete</t>
  </si>
  <si>
    <t>Cesar Ilfranise</t>
  </si>
  <si>
    <t>Cesar Kesner</t>
  </si>
  <si>
    <t>Cesar Lorania</t>
  </si>
  <si>
    <t>Cesar Maline</t>
  </si>
  <si>
    <t>Cesar Marc Donald</t>
  </si>
  <si>
    <t>Cesar Marguerite</t>
  </si>
  <si>
    <t>Cesar Oramise</t>
  </si>
  <si>
    <t>Cesar Romain</t>
  </si>
  <si>
    <t>Cesar Roseda</t>
  </si>
  <si>
    <t>Cesar Roseline</t>
  </si>
  <si>
    <t>Cesar Silvina</t>
  </si>
  <si>
    <t>Cesar Sonese</t>
  </si>
  <si>
    <t>Cesar Walquin</t>
  </si>
  <si>
    <t>Cesar Ydeja</t>
  </si>
  <si>
    <t>Ceus Yvonne</t>
  </si>
  <si>
    <t>Cezar Jacques Silia</t>
  </si>
  <si>
    <t>Charles 1lson</t>
  </si>
  <si>
    <t>Charles Alisena</t>
  </si>
  <si>
    <t>Charles Amelie</t>
  </si>
  <si>
    <t>Charles Dorelia</t>
  </si>
  <si>
    <t>Charles Ideja</t>
  </si>
  <si>
    <t>Charles Iseberne</t>
  </si>
  <si>
    <t>Charles Kenold</t>
  </si>
  <si>
    <t>Charles Larenia</t>
  </si>
  <si>
    <t>Charles Monicia</t>
  </si>
  <si>
    <t>Charles Perdy</t>
  </si>
  <si>
    <t>Charlot Hermisena</t>
  </si>
  <si>
    <t>Charlotin Felix</t>
  </si>
  <si>
    <t>Cherisbon Frais</t>
  </si>
  <si>
    <t>Cherisma 1slene</t>
  </si>
  <si>
    <t>Cherisme Kentama</t>
  </si>
  <si>
    <t>Cherisme Vivranne</t>
  </si>
  <si>
    <t>Cherizar Diana</t>
  </si>
  <si>
    <t>Cherizar Marc-Fransly</t>
  </si>
  <si>
    <t>Cherizar Parisien</t>
  </si>
  <si>
    <t>Cherizar Rose Danie</t>
  </si>
  <si>
    <t>Cherubin Alitis</t>
  </si>
  <si>
    <t>Cherubin Britus</t>
  </si>
  <si>
    <t>Cherubin Cherizena</t>
  </si>
  <si>
    <t>Cherubin Delier</t>
  </si>
  <si>
    <t>Cherubin Delly</t>
  </si>
  <si>
    <t>Cherubin Erlande</t>
  </si>
  <si>
    <t>Cherubin Helene</t>
  </si>
  <si>
    <t>Cherubin Jacson</t>
  </si>
  <si>
    <t>Cherubin Lisianie</t>
  </si>
  <si>
    <t>Cherubin Nanotte</t>
  </si>
  <si>
    <t>Cherubin Talerant</t>
  </si>
  <si>
    <t>Cherubin Therancia</t>
  </si>
  <si>
    <t>Cherubin Yvenie</t>
  </si>
  <si>
    <t>Chery Celina</t>
  </si>
  <si>
    <t>Chery Nervilus</t>
  </si>
  <si>
    <t>Chimane</t>
  </si>
  <si>
    <t>Choute 1deline</t>
  </si>
  <si>
    <t>Choute Anerose</t>
  </si>
  <si>
    <t>choute Autancia</t>
  </si>
  <si>
    <t>Choute Bienne</t>
  </si>
  <si>
    <t>Choute Clebert</t>
  </si>
  <si>
    <t>Choute Elianise</t>
  </si>
  <si>
    <t>Choute Esenie</t>
  </si>
  <si>
    <t>Choute Lucnet</t>
  </si>
  <si>
    <t>Choute Merzelia</t>
  </si>
  <si>
    <t>Choute Vereus</t>
  </si>
  <si>
    <t>Choute Walky</t>
  </si>
  <si>
    <t>Choute Watson</t>
  </si>
  <si>
    <t>Cimeus Maritaine</t>
  </si>
  <si>
    <t>Cireuis 1tson</t>
  </si>
  <si>
    <t>Cireuis Serslie</t>
  </si>
  <si>
    <t>Cireuis Sirelia</t>
  </si>
  <si>
    <t>Cius Kerby</t>
  </si>
  <si>
    <t>Cius Silamene</t>
  </si>
  <si>
    <t>Clautide</t>
  </si>
  <si>
    <t>Clervoir Isalia</t>
  </si>
  <si>
    <t>Clervoir Jessila</t>
  </si>
  <si>
    <t>Clervoir Marianie</t>
  </si>
  <si>
    <t>Clervoir Melila</t>
  </si>
  <si>
    <t>Clervoir Sainvilien</t>
  </si>
  <si>
    <t>Clodette</t>
  </si>
  <si>
    <t>Closène Cedestin</t>
  </si>
  <si>
    <t>Comet Rukenson</t>
  </si>
  <si>
    <t>Comete Ermilia</t>
  </si>
  <si>
    <t>Comete Isemene</t>
  </si>
  <si>
    <t>Comete Josiane</t>
  </si>
  <si>
    <t>Comete Marianie</t>
  </si>
  <si>
    <t>Comete Mimose</t>
  </si>
  <si>
    <t>Comete Oxone</t>
  </si>
  <si>
    <t>Comete Santha</t>
  </si>
  <si>
    <t>Croyance Deliere</t>
  </si>
  <si>
    <t>Croyance Filisia</t>
  </si>
  <si>
    <t>Croyance Medilia</t>
  </si>
  <si>
    <t>Croyance Meliana</t>
  </si>
  <si>
    <t>Croyance Oliance</t>
  </si>
  <si>
    <t>Dacely Aline</t>
  </si>
  <si>
    <t>Dacely Dejanne</t>
  </si>
  <si>
    <t>Dacely Jean Ely</t>
  </si>
  <si>
    <t xml:space="preserve">Dalien </t>
  </si>
  <si>
    <t>Daniel Gabrielle</t>
  </si>
  <si>
    <t>Daniel Jean Louis</t>
  </si>
  <si>
    <t>Darisier Eline</t>
  </si>
  <si>
    <t>Darisier Elnisia</t>
  </si>
  <si>
    <t>Dasty Wolguens</t>
  </si>
  <si>
    <t>Debrine Madeline</t>
  </si>
  <si>
    <t>Delcine Anelie</t>
  </si>
  <si>
    <t>Delcine Claudelle</t>
  </si>
  <si>
    <t>Delcine Constantin</t>
  </si>
  <si>
    <t>Delcine Dorelus</t>
  </si>
  <si>
    <t>Delcine Dorvilia</t>
  </si>
  <si>
    <t>Delcine Dovilien</t>
  </si>
  <si>
    <t>Delcine Elamise</t>
  </si>
  <si>
    <t>Delcine Elvanie</t>
  </si>
  <si>
    <t>Delcine Inazia</t>
  </si>
  <si>
    <t>Delcine Jocelyn</t>
  </si>
  <si>
    <t>Delcine Johnson</t>
  </si>
  <si>
    <t>Delcine Juliana</t>
  </si>
  <si>
    <t>Delcine Laurenssaint</t>
  </si>
  <si>
    <t>Delcine Madelisine</t>
  </si>
  <si>
    <t>Delcine Marie Yolande</t>
  </si>
  <si>
    <t>Delcine Marinaise</t>
  </si>
  <si>
    <t>Delcine Melia</t>
  </si>
  <si>
    <t>Delcine Mercina</t>
  </si>
  <si>
    <t>Delcine Michelot</t>
  </si>
  <si>
    <t>Delcine Odancia</t>
  </si>
  <si>
    <t>Delcine Volrick</t>
  </si>
  <si>
    <t>Delcine Yolande</t>
  </si>
  <si>
    <t>Delhomme Rolene</t>
  </si>
  <si>
    <t>Delius Suzela</t>
  </si>
  <si>
    <t>Delune Carida</t>
  </si>
  <si>
    <t>Denis Adonia</t>
  </si>
  <si>
    <t>Denis Devanes</t>
  </si>
  <si>
    <t>Denisard Tervilien</t>
  </si>
  <si>
    <t>Denor Amos</t>
  </si>
  <si>
    <t>Dereme Alcine</t>
  </si>
  <si>
    <t>Dereme Alisnet</t>
  </si>
  <si>
    <t>Dereme Bernadette</t>
  </si>
  <si>
    <t>Dereme Enel</t>
  </si>
  <si>
    <t>Dereme Marc Chenet</t>
  </si>
  <si>
    <t>Dereme Nesly</t>
  </si>
  <si>
    <t>Dereme Presnel</t>
  </si>
  <si>
    <t>Dereme Roselene</t>
  </si>
  <si>
    <t>Dereme Rosinette</t>
  </si>
  <si>
    <t>Dereme Tresitile</t>
  </si>
  <si>
    <t>Dereme Yolette</t>
  </si>
  <si>
    <t>Dereme Ysiamene</t>
  </si>
  <si>
    <t>Deris Juldert</t>
  </si>
  <si>
    <t>Derisma Celanie</t>
  </si>
  <si>
    <t>Derisma Dominique</t>
  </si>
  <si>
    <t>Derisma Odina</t>
  </si>
  <si>
    <t>Derival Eliza</t>
  </si>
  <si>
    <t>Dernier Litonia</t>
  </si>
  <si>
    <t>Derosier Mercidieu</t>
  </si>
  <si>
    <t>Dervice Erancia</t>
  </si>
  <si>
    <t>Dervice Ivenie</t>
  </si>
  <si>
    <t>Dervice Mergela</t>
  </si>
  <si>
    <t>Dervice Pejulus</t>
  </si>
  <si>
    <t>Dervice Pelicier</t>
  </si>
  <si>
    <t>Dervice Sonel</t>
  </si>
  <si>
    <t>Dervil Choubenka</t>
  </si>
  <si>
    <t>Dervil Keslin</t>
  </si>
  <si>
    <t>Dervis Eliferne</t>
  </si>
  <si>
    <t>Deshomme Registre</t>
  </si>
  <si>
    <t>Deshomme Saint Gerard</t>
  </si>
  <si>
    <t xml:space="preserve">Desimeme Alceme </t>
  </si>
  <si>
    <t>Desinord Kethlene</t>
  </si>
  <si>
    <t>Desinord Lavila</t>
  </si>
  <si>
    <t>Desir Amantide</t>
  </si>
  <si>
    <t>Desir Dejanine</t>
  </si>
  <si>
    <t>Desir Edeline</t>
  </si>
  <si>
    <t>Desir Erick</t>
  </si>
  <si>
    <t>Desir Henry</t>
  </si>
  <si>
    <t>Desir Pierreline</t>
  </si>
  <si>
    <t>Desma Joineste</t>
  </si>
  <si>
    <t>Desroches Durosier</t>
  </si>
  <si>
    <t>Dessimis Erlande</t>
  </si>
  <si>
    <t>Dessinis Joyeuse</t>
  </si>
  <si>
    <t>Destine M. Alfrance</t>
  </si>
  <si>
    <t>Destinord Melila</t>
  </si>
  <si>
    <t>Devaliere Daniel</t>
  </si>
  <si>
    <t>Devaliere Leodia</t>
  </si>
  <si>
    <t>Devaliere Lilia</t>
  </si>
  <si>
    <t>Devaliere Loubert</t>
  </si>
  <si>
    <t>Devaliere Sainraliste</t>
  </si>
  <si>
    <t>Dieufait</t>
  </si>
  <si>
    <t>Dieurestil Lounet</t>
  </si>
  <si>
    <t>Dieuricel Dieurila</t>
  </si>
  <si>
    <t>Direny 1lith</t>
  </si>
  <si>
    <t>Direny Egenet</t>
  </si>
  <si>
    <t>Direny Eugene</t>
  </si>
  <si>
    <t>Direny Langener</t>
  </si>
  <si>
    <t>Direny Paulette</t>
  </si>
  <si>
    <t>Direny Roselene</t>
  </si>
  <si>
    <t>Direny Verona</t>
  </si>
  <si>
    <t>Direny Ydonia</t>
  </si>
  <si>
    <t>Dolce Alcene</t>
  </si>
  <si>
    <t>Dolcine Pierrina</t>
  </si>
  <si>
    <t>Donacien Olivie</t>
  </si>
  <si>
    <t>Dorcelu Divelia</t>
  </si>
  <si>
    <t>Dorcelus Dieulifene</t>
  </si>
  <si>
    <t>Dorcely Marie-Ange</t>
  </si>
  <si>
    <t>Dorcius Rosenette</t>
  </si>
  <si>
    <t>Dordoy Parpoute</t>
  </si>
  <si>
    <t>Dorelus 1sny</t>
  </si>
  <si>
    <t>Dorelus Clomene</t>
  </si>
  <si>
    <t>Dorelus Doniker</t>
  </si>
  <si>
    <t>Dorelus Esny</t>
  </si>
  <si>
    <t>Dorelus Esperandieu</t>
  </si>
  <si>
    <t>Dorelus Evens</t>
  </si>
  <si>
    <t>Dorelus Ivenia</t>
  </si>
  <si>
    <t>Dorelus Lejeune</t>
  </si>
  <si>
    <t>Dorelus Pelanise</t>
  </si>
  <si>
    <t>Dorelus Philicia</t>
  </si>
  <si>
    <t>Dorelus Rosemalie</t>
  </si>
  <si>
    <t>Doresca Acelson</t>
  </si>
  <si>
    <t>Doresca Alcius</t>
  </si>
  <si>
    <t>Doresca Alice</t>
  </si>
  <si>
    <t>Doresca Merzela</t>
  </si>
  <si>
    <t>Doresca Mezelene</t>
  </si>
  <si>
    <t>Doresca Michelet</t>
  </si>
  <si>
    <t>Doresca Sainridieu</t>
  </si>
  <si>
    <t>Doresca Silancia</t>
  </si>
  <si>
    <t>Doresca Youvelie</t>
  </si>
  <si>
    <t>Dorestin Merite</t>
  </si>
  <si>
    <t>Dormeus Germaine</t>
  </si>
  <si>
    <t>Dorsaint Samuel</t>
  </si>
  <si>
    <t>Dorsainvil Dieula</t>
  </si>
  <si>
    <t>Dorsainvil Dieutha</t>
  </si>
  <si>
    <t>Dorsainvil Extreme</t>
  </si>
  <si>
    <t>Dorsainvil Geral</t>
  </si>
  <si>
    <t>Dorsainvil Odanie</t>
  </si>
  <si>
    <t>Dorsainvil Sionel</t>
  </si>
  <si>
    <t>Dorssaint Nestor</t>
  </si>
  <si>
    <t>Dorssil Yfania</t>
  </si>
  <si>
    <t>Dorval Emanie</t>
  </si>
  <si>
    <t>Dorvil Clotide</t>
  </si>
  <si>
    <t>Dorvilus Inecles</t>
  </si>
  <si>
    <t>Dorvilus Rose Marie</t>
  </si>
  <si>
    <t>Douceur Amirese</t>
  </si>
  <si>
    <t>Doute Emanaise</t>
  </si>
  <si>
    <t xml:space="preserve">Douvilus 1lner </t>
  </si>
  <si>
    <t>Dubreus Silvina</t>
  </si>
  <si>
    <t>Ductan Cedilia</t>
  </si>
  <si>
    <t>Ductan Phophito</t>
  </si>
  <si>
    <t>Dugard Lucienne</t>
  </si>
  <si>
    <t>Dugas Idieula</t>
  </si>
  <si>
    <t>Dugas Jeannette</t>
  </si>
  <si>
    <t>Dugas Orel</t>
  </si>
  <si>
    <t>Dugat</t>
  </si>
  <si>
    <t>Dumel Munothe</t>
  </si>
  <si>
    <t>Dumerve Edilia</t>
  </si>
  <si>
    <t xml:space="preserve">Dunave Gedelien </t>
  </si>
  <si>
    <t>Dureny Dopheny</t>
  </si>
  <si>
    <t>Dureny Gilner</t>
  </si>
  <si>
    <t>Dureny Jesula</t>
  </si>
  <si>
    <t>Dureny Joseline</t>
  </si>
  <si>
    <t>Dureny Jucles</t>
  </si>
  <si>
    <t>Duval Emilien</t>
  </si>
  <si>
    <t>Eliassaint 1lner</t>
  </si>
  <si>
    <t>Elide</t>
  </si>
  <si>
    <t>Elidot Lyanne</t>
  </si>
  <si>
    <t>Elise Exancia</t>
  </si>
  <si>
    <t>Elisee Esnel</t>
  </si>
  <si>
    <t>Elisee Kesny</t>
  </si>
  <si>
    <t>Elouidor Anove</t>
  </si>
  <si>
    <t>Elouidor Celondieu</t>
  </si>
  <si>
    <t>Elouidor Dyony</t>
  </si>
  <si>
    <t>Elouidor Nerilet</t>
  </si>
  <si>
    <t>Elouidor Rene</t>
  </si>
  <si>
    <t>Eltinor Dieufort</t>
  </si>
  <si>
    <t>Elusme Eluscane</t>
  </si>
  <si>
    <t>Ema Nerlide</t>
  </si>
  <si>
    <t>Emmanuel</t>
  </si>
  <si>
    <t>Emmanuel Cherloune</t>
  </si>
  <si>
    <t>Emmanuel Melidia</t>
  </si>
  <si>
    <t>Erne Salimie</t>
  </si>
  <si>
    <t>Escalien Rosenie</t>
  </si>
  <si>
    <t>Esperant Celestin</t>
  </si>
  <si>
    <t>Esperant Rositha</t>
  </si>
  <si>
    <t>Esterny Leondese</t>
  </si>
  <si>
    <t>Esterny Tison</t>
  </si>
  <si>
    <t>Estima Naphtalie</t>
  </si>
  <si>
    <t>Estime Marc Darline</t>
  </si>
  <si>
    <t>Etienne  Oscar</t>
  </si>
  <si>
    <t>Etienne Azilia</t>
  </si>
  <si>
    <t>Etienne Elourde</t>
  </si>
  <si>
    <t>Etienne Livabon</t>
  </si>
  <si>
    <t>Etienne Miselene</t>
  </si>
  <si>
    <t>Etienne Yfolest</t>
  </si>
  <si>
    <t>Etude Sainna</t>
  </si>
  <si>
    <t>Eugene Aman</t>
  </si>
  <si>
    <t>Eugene Celianne</t>
  </si>
  <si>
    <t>Eugene Vilfrard</t>
  </si>
  <si>
    <t>Evariste Lena</t>
  </si>
  <si>
    <t>Evariste Lenes</t>
  </si>
  <si>
    <t>Exael Amonaise</t>
  </si>
  <si>
    <t>Exael Anette</t>
  </si>
  <si>
    <t>Exael Bernave</t>
  </si>
  <si>
    <t>Exael Eticia</t>
  </si>
  <si>
    <t>Exael Exales</t>
  </si>
  <si>
    <t>Exael Exilhomme</t>
  </si>
  <si>
    <t>Exael Imelia</t>
  </si>
  <si>
    <t>Exael kenston</t>
  </si>
  <si>
    <t>Exael Resinette</t>
  </si>
  <si>
    <t>Exael Saintanaise</t>
  </si>
  <si>
    <t>Exalien Eclesiaste</t>
  </si>
  <si>
    <t>Exalien Odette</t>
  </si>
  <si>
    <t>Exalien Revenie</t>
  </si>
  <si>
    <t>Exantis Antoinette</t>
  </si>
  <si>
    <t>Exavier Palila</t>
  </si>
  <si>
    <t>Exceuis Jean Robert</t>
  </si>
  <si>
    <t>Exidor Clesidor</t>
  </si>
  <si>
    <t>Exila</t>
  </si>
  <si>
    <t>Falestin Nazilia</t>
  </si>
  <si>
    <t>Fede Felisia</t>
  </si>
  <si>
    <t>Felius Edeline</t>
  </si>
  <si>
    <t>Fenelon Inevese</t>
  </si>
  <si>
    <t>Ferne Mervelia</t>
  </si>
  <si>
    <t>Fertilus Joaline</t>
  </si>
  <si>
    <t>Fleremi Fleujuste</t>
  </si>
  <si>
    <t>Fleuginord Godner</t>
  </si>
  <si>
    <t>Fleurant David</t>
  </si>
  <si>
    <t>Fleurant Marie-Jeanne</t>
  </si>
  <si>
    <t>Fleuregiste Robenson</t>
  </si>
  <si>
    <t>Fleureme Helinese</t>
  </si>
  <si>
    <t>Fleurestil Derilia</t>
  </si>
  <si>
    <t>Fleurestil Siliana</t>
  </si>
  <si>
    <t>Fleuridor Acephie</t>
  </si>
  <si>
    <t>Fleurilus Flicien</t>
  </si>
  <si>
    <t>Fleurimond Fania</t>
  </si>
  <si>
    <t>Fleurimond Rosela</t>
  </si>
  <si>
    <t>Fleurimond Terilien</t>
  </si>
  <si>
    <t>Fleurinord Magalie</t>
  </si>
  <si>
    <t>Fleurisier Dieucibon</t>
  </si>
  <si>
    <t>Fleurisier Fledilus</t>
  </si>
  <si>
    <t>Fleurisier Monitha</t>
  </si>
  <si>
    <t>Fleurisma Fleurisnet</t>
  </si>
  <si>
    <t>Fleurisma Silvetha</t>
  </si>
  <si>
    <t>Fleurisma Ylersse</t>
  </si>
  <si>
    <t>Fleurissaint Betania</t>
  </si>
  <si>
    <t>Fleurissaint Elines</t>
  </si>
  <si>
    <t>Fleurissaint Ermilie</t>
  </si>
  <si>
    <t>Fleurissaint Jossy</t>
  </si>
  <si>
    <t>Fleurissaint Salifait</t>
  </si>
  <si>
    <t>FleurJuste Saint-Rulest</t>
  </si>
  <si>
    <t>Florvil Erlanne</t>
  </si>
  <si>
    <t>Florvil Jameson</t>
  </si>
  <si>
    <t>Forence Ifossa</t>
  </si>
  <si>
    <t>Forestal Giselle</t>
  </si>
  <si>
    <t>Forestal Remiles</t>
  </si>
  <si>
    <t>Fortina Charlotin</t>
  </si>
  <si>
    <t>Francois 1lman</t>
  </si>
  <si>
    <t>Francois Berbert</t>
  </si>
  <si>
    <t>Francois Celicia</t>
  </si>
  <si>
    <t>Francois Deriles</t>
  </si>
  <si>
    <t>Francois Dieucel</t>
  </si>
  <si>
    <t>Francois Dieufran</t>
  </si>
  <si>
    <t>Francois Elanie</t>
  </si>
  <si>
    <t>Francois Eliana</t>
  </si>
  <si>
    <t>Francois Ersilia</t>
  </si>
  <si>
    <t>Francois Francilia</t>
  </si>
  <si>
    <t>Francois Francy</t>
  </si>
  <si>
    <t>Francois Gerard</t>
  </si>
  <si>
    <t>Francois Gerisnel</t>
  </si>
  <si>
    <t>Francois Jacso</t>
  </si>
  <si>
    <t>Francois Julianie</t>
  </si>
  <si>
    <t>Francois Julina</t>
  </si>
  <si>
    <t>Francois Marlene</t>
  </si>
  <si>
    <t>Francois Merisena</t>
  </si>
  <si>
    <t>Francois Nadie</t>
  </si>
  <si>
    <t>Francois Oriles</t>
  </si>
  <si>
    <t>Francois Rose-Marie</t>
  </si>
  <si>
    <t>Francois Rosemene</t>
  </si>
  <si>
    <t>Francois Silociane</t>
  </si>
  <si>
    <t>Francy Jonacy</t>
  </si>
  <si>
    <t>Frocher Saintilia</t>
  </si>
  <si>
    <t>Gasner</t>
  </si>
  <si>
    <t>Gedelien Clorene</t>
  </si>
  <si>
    <t>Gedelien Kethelie</t>
  </si>
  <si>
    <t>Gedelien Melianie</t>
  </si>
  <si>
    <t>Gedeon Renold</t>
  </si>
  <si>
    <t>Gedeum Mexene</t>
  </si>
  <si>
    <t>Geffrard Cessilia</t>
  </si>
  <si>
    <t>Geffrard Conseptia</t>
  </si>
  <si>
    <t>Geffrard Fredno</t>
  </si>
  <si>
    <t>Gelin Ezique</t>
  </si>
  <si>
    <t>Gelin Geneck</t>
  </si>
  <si>
    <t xml:space="preserve">Georges Celianise </t>
  </si>
  <si>
    <t>Georges Elibert</t>
  </si>
  <si>
    <t>Georges Elvitha</t>
  </si>
  <si>
    <t>Georges Ermancia</t>
  </si>
  <si>
    <t>Gerald Chelna</t>
  </si>
  <si>
    <t>Gerald Louseline</t>
  </si>
  <si>
    <t>Gerisma Sainterese</t>
  </si>
  <si>
    <t>Germinal Therese</t>
  </si>
  <si>
    <t>Germinal Ydenise</t>
  </si>
  <si>
    <t>Gerneus Claudia</t>
  </si>
  <si>
    <t>Glorieuse</t>
  </si>
  <si>
    <t>Guerqueur Dashly</t>
  </si>
  <si>
    <t>Guerrelus Adieunie</t>
  </si>
  <si>
    <t>Guerrelus Anese</t>
  </si>
  <si>
    <t>Guerrelus Dilercieu</t>
  </si>
  <si>
    <t>Guerrelus Eliancel</t>
  </si>
  <si>
    <t>Guerrelus Laznique</t>
  </si>
  <si>
    <t>Guerrier Amantine</t>
  </si>
  <si>
    <t>Guerrier Eliana</t>
  </si>
  <si>
    <t>Guerrier Gilianie</t>
  </si>
  <si>
    <t>Guerrier Maela</t>
  </si>
  <si>
    <t>Guerrier Michelet</t>
  </si>
  <si>
    <t>Guerrier Ydanise</t>
  </si>
  <si>
    <t>Guerrier Ysenolia</t>
  </si>
  <si>
    <t>Gustave 1lfrid</t>
  </si>
  <si>
    <t>Gustave Sainvictor</t>
  </si>
  <si>
    <t>Henry Baruch</t>
  </si>
  <si>
    <t>Henry Belony</t>
  </si>
  <si>
    <t>Henry Devaliere</t>
  </si>
  <si>
    <t>Henry Ducamel</t>
  </si>
  <si>
    <t xml:space="preserve">Henry Fresnel </t>
  </si>
  <si>
    <t>Henry Inelet</t>
  </si>
  <si>
    <t>Henry Norlie</t>
  </si>
  <si>
    <t>Henry Saint Ginel</t>
  </si>
  <si>
    <t>Henry Sermilia</t>
  </si>
  <si>
    <t>Herard Christian</t>
  </si>
  <si>
    <t>Herard Dimervil</t>
  </si>
  <si>
    <t>Herard Eliane</t>
  </si>
  <si>
    <t>Herard Estelle</t>
  </si>
  <si>
    <t xml:space="preserve">Herard Marckenson </t>
  </si>
  <si>
    <t>Herard Marie-Ange</t>
  </si>
  <si>
    <t>Herard Natilia</t>
  </si>
  <si>
    <t>Herard Nisson</t>
  </si>
  <si>
    <t>Herard Renand</t>
  </si>
  <si>
    <t>Herard Rodjino</t>
  </si>
  <si>
    <t>Herard Rose Manie</t>
  </si>
  <si>
    <t>Honora Exante</t>
  </si>
  <si>
    <t>Honorat Gerard</t>
  </si>
  <si>
    <t>Honorat Vanessa</t>
  </si>
  <si>
    <t>Honore Abner</t>
  </si>
  <si>
    <t>Honore Acelina</t>
  </si>
  <si>
    <t>Honore Angeline</t>
  </si>
  <si>
    <t>Honore Anne Salimise</t>
  </si>
  <si>
    <t>Honore Aunel</t>
  </si>
  <si>
    <t>Honore Auriol</t>
  </si>
  <si>
    <t>Honore Chenie</t>
  </si>
  <si>
    <t>Honore Christianne</t>
  </si>
  <si>
    <t>Honore Claudette</t>
  </si>
  <si>
    <t>Honore Darlene</t>
  </si>
  <si>
    <t>Honore Devince</t>
  </si>
  <si>
    <t>Honore Elana</t>
  </si>
  <si>
    <t>Honore Elda</t>
  </si>
  <si>
    <t>Honore Eliciene</t>
  </si>
  <si>
    <t>Honore Elisiane</t>
  </si>
  <si>
    <t>Honore Fedeline</t>
  </si>
  <si>
    <t>Honore Gadner</t>
  </si>
  <si>
    <t>Honore Guimel</t>
  </si>
  <si>
    <t>Honore Heleine</t>
  </si>
  <si>
    <t>Honore Immacula</t>
  </si>
  <si>
    <t>Honore Janine</t>
  </si>
  <si>
    <t>Honore Jean Rosny</t>
  </si>
  <si>
    <t>Honore Ketlie</t>
  </si>
  <si>
    <t>Honore Liderne</t>
  </si>
  <si>
    <t>Honore Lose</t>
  </si>
  <si>
    <t>Honore Louisana</t>
  </si>
  <si>
    <t>Honore Magalie</t>
  </si>
  <si>
    <t>Honore Marie Louise</t>
  </si>
  <si>
    <t>Honore Marie Therese</t>
  </si>
  <si>
    <t>Honore Marilene</t>
  </si>
  <si>
    <t>Honore Micheline</t>
  </si>
  <si>
    <t>Honore Nanette</t>
  </si>
  <si>
    <t>Honore Pheder</t>
  </si>
  <si>
    <t>Honore Robinson</t>
  </si>
  <si>
    <t>Honore Rosena</t>
  </si>
  <si>
    <t>Honore Saintilia</t>
  </si>
  <si>
    <t>Honore Savenie</t>
  </si>
  <si>
    <t>Honore Silphida</t>
  </si>
  <si>
    <t>Honore Wolnie</t>
  </si>
  <si>
    <t>Hyppolite Viola</t>
  </si>
  <si>
    <t>Idejeanne</t>
  </si>
  <si>
    <t>Ilfrard Chrismithe</t>
  </si>
  <si>
    <t>Ilfrard Ducilia</t>
  </si>
  <si>
    <t>Ilfrard Florine</t>
  </si>
  <si>
    <t>Ilfrard Frazilia</t>
  </si>
  <si>
    <t>Ilfrard Jean-Brunel</t>
  </si>
  <si>
    <t>Ilfrard Maclaude</t>
  </si>
  <si>
    <t>Ilfrard Michel-Ange</t>
  </si>
  <si>
    <t>Ilfrard Rolain</t>
  </si>
  <si>
    <t>Ilfrard Sylvanie</t>
  </si>
  <si>
    <t>Imbert Eribert</t>
  </si>
  <si>
    <t>Inalia</t>
  </si>
  <si>
    <t>Irena Belhomme</t>
  </si>
  <si>
    <t>Israel Cherisson</t>
  </si>
  <si>
    <t>Issemat Suzette</t>
  </si>
  <si>
    <t>Izrael Isemena</t>
  </si>
  <si>
    <t>Jacques Georgette</t>
  </si>
  <si>
    <t>Jacques Jacqueline</t>
  </si>
  <si>
    <t>Jacques Marie-Claire</t>
  </si>
  <si>
    <t>Jacques Roland</t>
  </si>
  <si>
    <t>Jasmin Suzela</t>
  </si>
  <si>
    <t>Jean 1laine</t>
  </si>
  <si>
    <t>Jean 1lda</t>
  </si>
  <si>
    <t>Jean 1liere</t>
  </si>
  <si>
    <t>Jean 1sbert</t>
  </si>
  <si>
    <t>Jean 1sdet</t>
  </si>
  <si>
    <t>Jean 1sler</t>
  </si>
  <si>
    <t>Jean Alveyenne</t>
  </si>
  <si>
    <t>Jean Angelet</t>
  </si>
  <si>
    <t>Jean Aniel</t>
  </si>
  <si>
    <t>Jean Baptiste Analouise</t>
  </si>
  <si>
    <t>Jean Baptiste Chalnet</t>
  </si>
  <si>
    <t>Jean Baptiste Dieumene</t>
  </si>
  <si>
    <t>Jean Baptiste Dieunouca</t>
  </si>
  <si>
    <t>Jean Baptiste Eldieu</t>
  </si>
  <si>
    <t>Jean Baptiste Erosenie</t>
  </si>
  <si>
    <t>Jean Baptiste Euguensy</t>
  </si>
  <si>
    <t>Jean Baptiste Exilia</t>
  </si>
  <si>
    <t>Jean Baptiste Inelta</t>
  </si>
  <si>
    <t>Jean Baptiste Janes</t>
  </si>
  <si>
    <t>Jean Baptiste Larisnet</t>
  </si>
  <si>
    <t>Jean Baptiste Limenes</t>
  </si>
  <si>
    <t>Jean Baptiste Merzeline</t>
  </si>
  <si>
    <t>Jean Baptiste Myola</t>
  </si>
  <si>
    <t>Jean Baptiste Rose Darline</t>
  </si>
  <si>
    <t>Jean Baptiste Rosenie</t>
  </si>
  <si>
    <t>Jean Baptiste Saint Dieu Nodet</t>
  </si>
  <si>
    <t>Jean Belony</t>
  </si>
  <si>
    <t>Jean Benitha</t>
  </si>
  <si>
    <t>Jean Bensky</t>
  </si>
  <si>
    <t>Jean Billie</t>
  </si>
  <si>
    <t>Jean Canes</t>
  </si>
  <si>
    <t>Jean Carisena</t>
  </si>
  <si>
    <t>Jean Charles Prelisile</t>
  </si>
  <si>
    <t>Jean Clonise</t>
  </si>
  <si>
    <t>Jean Clovice</t>
  </si>
  <si>
    <t>Jean Croyance</t>
  </si>
  <si>
    <t>Jean David</t>
  </si>
  <si>
    <t>Jean Dieunes</t>
  </si>
  <si>
    <t>Jean Dorcilien</t>
  </si>
  <si>
    <t>Jean Enitha</t>
  </si>
  <si>
    <t>Jean Erileste</t>
  </si>
  <si>
    <t>Jean Fanaise</t>
  </si>
  <si>
    <t>Jean Fedeline</t>
  </si>
  <si>
    <t>Jean Firilia</t>
  </si>
  <si>
    <t>Jean Fresnel</t>
  </si>
  <si>
    <t>Jean Gilbert</t>
  </si>
  <si>
    <t>Jean Gloria</t>
  </si>
  <si>
    <t>Jean Janise</t>
  </si>
  <si>
    <t>Jean Jeannette</t>
  </si>
  <si>
    <t>Jean Jeanty</t>
  </si>
  <si>
    <t>Jean Jonathan</t>
  </si>
  <si>
    <t>Jean Jones</t>
  </si>
  <si>
    <t>Jean Loudie</t>
  </si>
  <si>
    <t>Jean Louis</t>
  </si>
  <si>
    <t>Jean Louis 1delene</t>
  </si>
  <si>
    <t>Jean Louis 1lnet</t>
  </si>
  <si>
    <t>Jean Louis 1lter</t>
  </si>
  <si>
    <t>Jean Louis Alinstase</t>
  </si>
  <si>
    <t>Jean Louis Alinzia</t>
  </si>
  <si>
    <t>Jean Louis Analia</t>
  </si>
  <si>
    <t>Jean Louis Augusta</t>
  </si>
  <si>
    <t>Jean Louis Delfrand</t>
  </si>
  <si>
    <t>Jean Louis Denise</t>
  </si>
  <si>
    <t>Jean Louis Edna</t>
  </si>
  <si>
    <t>Jean Louis Elifrand</t>
  </si>
  <si>
    <t>Jean Louis Eltha</t>
  </si>
  <si>
    <t>Jean Louis Enides</t>
  </si>
  <si>
    <t>Jean Louis Febenise</t>
  </si>
  <si>
    <t>Jean Louis Fernise</t>
  </si>
  <si>
    <t>Jean Louis Frimance</t>
  </si>
  <si>
    <t>Jean Louis Ilianco</t>
  </si>
  <si>
    <t>Jean Louis Iphernise</t>
  </si>
  <si>
    <t>Jean Louis Jemilien</t>
  </si>
  <si>
    <t>Jean Louis Johnny</t>
  </si>
  <si>
    <t>Jean Louis Lephanet</t>
  </si>
  <si>
    <t>Jean Louis Louisa</t>
  </si>
  <si>
    <t>Jean Louis Lures</t>
  </si>
  <si>
    <t>Jean Louis Melissaint</t>
  </si>
  <si>
    <t>Jean Louis Odinette</t>
  </si>
  <si>
    <t>Jean Louis Olive</t>
  </si>
  <si>
    <t>Jean Louis Orphelin</t>
  </si>
  <si>
    <t>Jean Louis Roselene</t>
  </si>
  <si>
    <t>Jean Louis Rosemitha</t>
  </si>
  <si>
    <t>Jean Louis Sadrack</t>
  </si>
  <si>
    <t>Jean Louis Sainta</t>
  </si>
  <si>
    <t>Jean Louis Saintiler</t>
  </si>
  <si>
    <t>Jean Louis Yderlio</t>
  </si>
  <si>
    <t>Jean Louis Youvens</t>
  </si>
  <si>
    <t>Jean Louis Yralia</t>
  </si>
  <si>
    <t>Jean Lucader</t>
  </si>
  <si>
    <t>Jean Luita</t>
  </si>
  <si>
    <t>Jean Lukanes</t>
  </si>
  <si>
    <t>Jean Marie Gertha</t>
  </si>
  <si>
    <t>Jean Marie Yolande</t>
  </si>
  <si>
    <t>Jean Maritene</t>
  </si>
  <si>
    <t>Jean Marthe Ferla</t>
  </si>
  <si>
    <t>Jean Medina</t>
  </si>
  <si>
    <t>Jean Melancia</t>
  </si>
  <si>
    <t>Jean Meliana</t>
  </si>
  <si>
    <t>Jean Michelet</t>
  </si>
  <si>
    <t>Jean Mickael</t>
  </si>
  <si>
    <t>Jean Nervard</t>
  </si>
  <si>
    <t>Jean Nocles</t>
  </si>
  <si>
    <t>Jean Nodius</t>
  </si>
  <si>
    <t>Jean Orianne</t>
  </si>
  <si>
    <t>Jean Pasidieu</t>
  </si>
  <si>
    <t>Jean Paul 1lna</t>
  </si>
  <si>
    <t>Jean Paul Camelita</t>
  </si>
  <si>
    <t>Jean Paul Eluicia</t>
  </si>
  <si>
    <t>Jean Paul Eurene</t>
  </si>
  <si>
    <t>Jean Paul Julienne</t>
  </si>
  <si>
    <t>Jean Pauline</t>
  </si>
  <si>
    <t>Jean Ronel Timolien</t>
  </si>
  <si>
    <t>Jean Rosanie</t>
  </si>
  <si>
    <t>Jean Rose-Danie</t>
  </si>
  <si>
    <t>Jean Roselene</t>
  </si>
  <si>
    <t>Jean Rosemanne</t>
  </si>
  <si>
    <t>Jean Saint Julien</t>
  </si>
  <si>
    <t>Jean Saint-Vilien</t>
  </si>
  <si>
    <t>Jean Salimon</t>
  </si>
  <si>
    <t>Jean Serida</t>
  </si>
  <si>
    <t>Jean Similia</t>
  </si>
  <si>
    <t>Jean Simon Verona</t>
  </si>
  <si>
    <t>Jean Soilnet</t>
  </si>
  <si>
    <t>Jean Telicier</t>
  </si>
  <si>
    <t>Jean Tiyan</t>
  </si>
  <si>
    <t>Jean Vekencia</t>
  </si>
  <si>
    <t>Jean Vil Adlin</t>
  </si>
  <si>
    <t>Jean Vil Ana</t>
  </si>
  <si>
    <t>Jean vil Andelsie</t>
  </si>
  <si>
    <t>Jean Vil Dorcilia</t>
  </si>
  <si>
    <t>Jean Vil Eleine</t>
  </si>
  <si>
    <t>Jean vil Elibin</t>
  </si>
  <si>
    <t>Jean Vil Eriter</t>
  </si>
  <si>
    <t>Jean Vil Ilter</t>
  </si>
  <si>
    <t>Jean Vil Imanise</t>
  </si>
  <si>
    <t>Jean Vil Irlande</t>
  </si>
  <si>
    <t>Jean Vil Iseleine</t>
  </si>
  <si>
    <t>Jean vil Loise</t>
  </si>
  <si>
    <t>Jean Vil Navie</t>
  </si>
  <si>
    <t>Jean Vil Penet</t>
  </si>
  <si>
    <t>Jean Vil Rapide</t>
  </si>
  <si>
    <t>Jean Vil Sidet</t>
  </si>
  <si>
    <t>Jean Vil Siliane</t>
  </si>
  <si>
    <t>Jean Vil Yanithe</t>
  </si>
  <si>
    <t>Jean Vil Ydalithe</t>
  </si>
  <si>
    <t>Jean Waltenet</t>
  </si>
  <si>
    <t xml:space="preserve">Jean welnou </t>
  </si>
  <si>
    <t>Jean Ydamise</t>
  </si>
  <si>
    <t>Jean Ylones</t>
  </si>
  <si>
    <t>Jean Yolene</t>
  </si>
  <si>
    <t>Jean Ytelet</t>
  </si>
  <si>
    <t>Jean-Baptiste Dieudonne</t>
  </si>
  <si>
    <t>Jean-Baptiste Dieunel</t>
  </si>
  <si>
    <t>Jean-Claude Eliassaint</t>
  </si>
  <si>
    <t>Jean-Louis Anaise</t>
  </si>
  <si>
    <t>Jean-Louis Enel</t>
  </si>
  <si>
    <t>Jean-Louis Jeanliska</t>
  </si>
  <si>
    <t>Jean-Paul Marc-Ernest</t>
  </si>
  <si>
    <t>Jean-Philippe Alisena</t>
  </si>
  <si>
    <t>Jeantinor Silancieu</t>
  </si>
  <si>
    <t>Jeantinord Edvela</t>
  </si>
  <si>
    <t>Jeanty Abnet</t>
  </si>
  <si>
    <t>Jeanty Bernard</t>
  </si>
  <si>
    <t>Jeanvil Ainese</t>
  </si>
  <si>
    <t>Jeanvil Anseline</t>
  </si>
  <si>
    <t>Jeanvil Charitable</t>
  </si>
  <si>
    <t>Jeanvil Danise</t>
  </si>
  <si>
    <t>Jeanvil Dovia</t>
  </si>
  <si>
    <t>Jeanvil Edna</t>
  </si>
  <si>
    <t>Jean-vil Luckema</t>
  </si>
  <si>
    <t>Jeanvil Manie</t>
  </si>
  <si>
    <t>Jeanvil Naselene</t>
  </si>
  <si>
    <t>Jeanvil Palila</t>
  </si>
  <si>
    <t>Jeanvil Rony</t>
  </si>
  <si>
    <t>Jeanvil Setamise</t>
  </si>
  <si>
    <t>Jeanvil Virgilia</t>
  </si>
  <si>
    <t>Jeanvil Vitilia</t>
  </si>
  <si>
    <t>Jeune Fracky</t>
  </si>
  <si>
    <t>Jeune Ivenie</t>
  </si>
  <si>
    <t>Joacilien Celvoua</t>
  </si>
  <si>
    <t>Joassaint Ydalbert</t>
  </si>
  <si>
    <t>Joceline</t>
  </si>
  <si>
    <t xml:space="preserve">Jonassaint Anecson </t>
  </si>
  <si>
    <t>Jonassaint Guerlande</t>
  </si>
  <si>
    <t xml:space="preserve">Joseph </t>
  </si>
  <si>
    <t>Joseph 1lcina</t>
  </si>
  <si>
    <t>Joseph 1lner</t>
  </si>
  <si>
    <t>Joseph Adrien</t>
  </si>
  <si>
    <t>Joseph Albert</t>
  </si>
  <si>
    <t>Joseph Ancia</t>
  </si>
  <si>
    <t>Joseph Antoinette</t>
  </si>
  <si>
    <t>Joseph Antonia</t>
  </si>
  <si>
    <t xml:space="preserve">Joseph Aurilien </t>
  </si>
  <si>
    <t>Joseph Camelite</t>
  </si>
  <si>
    <t>Joseph Charles</t>
  </si>
  <si>
    <t>Joseph Claselia</t>
  </si>
  <si>
    <t>Joseph Colbert</t>
  </si>
  <si>
    <t>Joseph Condilia</t>
  </si>
  <si>
    <t>Joseph Daniel</t>
  </si>
  <si>
    <t>Joseph David</t>
  </si>
  <si>
    <t>Joseph Diana</t>
  </si>
  <si>
    <t>Joseph Dieunes</t>
  </si>
  <si>
    <t>Joseph Elsinia</t>
  </si>
  <si>
    <t>Joseph Emanise</t>
  </si>
  <si>
    <t>Joseph Eniket</t>
  </si>
  <si>
    <t>Joseph Enose</t>
  </si>
  <si>
    <t>Joseph Enuel</t>
  </si>
  <si>
    <t>Joseph Esperandieu</t>
  </si>
  <si>
    <t>Joseph Eveline</t>
  </si>
  <si>
    <t>Joseph Fragelus</t>
  </si>
  <si>
    <t>Joseph Gary</t>
  </si>
  <si>
    <t>Joseph Gesny</t>
  </si>
  <si>
    <t>Joseph Guerline</t>
  </si>
  <si>
    <t>Joseph Honorat</t>
  </si>
  <si>
    <t>Joseph Irolien</t>
  </si>
  <si>
    <t>Joseph Isalia</t>
  </si>
  <si>
    <t>Joseph Isemene</t>
  </si>
  <si>
    <t>Joseph Ivania</t>
  </si>
  <si>
    <t>Joseph Jeffly</t>
  </si>
  <si>
    <t>Joseph Joissaint</t>
  </si>
  <si>
    <t>Joseph Juliane</t>
  </si>
  <si>
    <t>Joseph Julienne</t>
  </si>
  <si>
    <t>Joseph Julnie</t>
  </si>
  <si>
    <t>Joseph Juslene</t>
  </si>
  <si>
    <t xml:space="preserve">Joseph Levilus </t>
  </si>
  <si>
    <t>Joseph Liotide</t>
  </si>
  <si>
    <t>Joseph Macanise</t>
  </si>
  <si>
    <t>Joseph Mariana</t>
  </si>
  <si>
    <t>Joseph Marie Therese</t>
  </si>
  <si>
    <t>Joseph Meseline</t>
  </si>
  <si>
    <t>Joseph Monese</t>
  </si>
  <si>
    <t>Joseph naderge</t>
  </si>
  <si>
    <t>Joseph Odney</t>
  </si>
  <si>
    <t>Joseph Olanise</t>
  </si>
  <si>
    <t>Joseph Olvine</t>
  </si>
  <si>
    <t>Joseph Renese</t>
  </si>
  <si>
    <t>Joseph Roselia</t>
  </si>
  <si>
    <t>Joseph Rosemene</t>
  </si>
  <si>
    <t>Joseph Rosette</t>
  </si>
  <si>
    <t>Joseph Rositha</t>
  </si>
  <si>
    <t>Joseph Saintelene</t>
  </si>
  <si>
    <t>Joseph Saintia</t>
  </si>
  <si>
    <t>Joseph Sainvilus</t>
  </si>
  <si>
    <t>Joseph Sidalise</t>
  </si>
  <si>
    <t>Joseph Sidonise</t>
  </si>
  <si>
    <t>Joseph Silamene</t>
  </si>
  <si>
    <t>Joseph Silenise</t>
  </si>
  <si>
    <t>Joseph Silvina</t>
  </si>
  <si>
    <t>Joseph Sualnet</t>
  </si>
  <si>
    <t>Joseph Sylvain</t>
  </si>
  <si>
    <t>Joseph Sylvanie</t>
  </si>
  <si>
    <t>Joseph Vacnet</t>
  </si>
  <si>
    <t>Joseph Verelia</t>
  </si>
  <si>
    <t>Joseph Wadeline</t>
  </si>
  <si>
    <t>Joseph Ycenel</t>
  </si>
  <si>
    <t>Joseph Ylnet</t>
  </si>
  <si>
    <t>Joseph Yvelier</t>
  </si>
  <si>
    <t>Julceus Adilia</t>
  </si>
  <si>
    <t>Jules Rochenel</t>
  </si>
  <si>
    <t>Jules Rosemane</t>
  </si>
  <si>
    <t>Jules Vilce</t>
  </si>
  <si>
    <t>Julien Marise</t>
  </si>
  <si>
    <t>Julien Oregne</t>
  </si>
  <si>
    <t>Junia Cadestin</t>
  </si>
  <si>
    <t>Juste Elires</t>
  </si>
  <si>
    <t>Justin Adeline</t>
  </si>
  <si>
    <t>Justin Clamise</t>
  </si>
  <si>
    <t>Justin Dieulinord</t>
  </si>
  <si>
    <t>Justin Ermilie</t>
  </si>
  <si>
    <t>Justlien Ophilia</t>
  </si>
  <si>
    <t>Labranche Erguens</t>
  </si>
  <si>
    <t>Lafleur Lamicie</t>
  </si>
  <si>
    <t>Lafleur Lodes</t>
  </si>
  <si>
    <t>Lafleur Seldieu</t>
  </si>
  <si>
    <t>Lafrance Tony</t>
  </si>
  <si>
    <t>Laguerre Islet</t>
  </si>
  <si>
    <t>Laguerre Serana</t>
  </si>
  <si>
    <t>Larisena</t>
  </si>
  <si>
    <t>Larock Alnette</t>
  </si>
  <si>
    <t>Latteleur Odes</t>
  </si>
  <si>
    <t>Laurandieu</t>
  </si>
  <si>
    <t>Laurant Asna</t>
  </si>
  <si>
    <t>Laurant Lucane</t>
  </si>
  <si>
    <t>Laurant Thelafrance</t>
  </si>
  <si>
    <t>Laurent Altenord</t>
  </si>
  <si>
    <t>Laurent Alterion</t>
  </si>
  <si>
    <t>Laurent Antoinise</t>
  </si>
  <si>
    <t>Laurent Cenerphise</t>
  </si>
  <si>
    <t>Laurent Christianne</t>
  </si>
  <si>
    <t>Laurent Elikes</t>
  </si>
  <si>
    <t>Laurent Gerome</t>
  </si>
  <si>
    <t>Laurent Gracieuse</t>
  </si>
  <si>
    <t>Laurent Isny</t>
  </si>
  <si>
    <t>Laurent Junel</t>
  </si>
  <si>
    <t>Laurent Rose Marie</t>
  </si>
  <si>
    <t>Laurent Therese</t>
  </si>
  <si>
    <t xml:space="preserve">Lebrun Acephie </t>
  </si>
  <si>
    <t>Lebrun Elider</t>
  </si>
  <si>
    <t>Lebrun Elifaite</t>
  </si>
  <si>
    <t>Lebrun Josias</t>
  </si>
  <si>
    <t>Lebrun Tanis</t>
  </si>
  <si>
    <t>Lebrun Ynelio</t>
  </si>
  <si>
    <t>Lebrun Yvana</t>
  </si>
  <si>
    <t>Leveille Financia</t>
  </si>
  <si>
    <t>Leveille Gladithe</t>
  </si>
  <si>
    <t>Leveille Junette</t>
  </si>
  <si>
    <t>Levoyant Renold</t>
  </si>
  <si>
    <t>Lexi Marilia</t>
  </si>
  <si>
    <t>Liberis Dieulet</t>
  </si>
  <si>
    <t>Libun Melanes</t>
  </si>
  <si>
    <t>Licianie</t>
  </si>
  <si>
    <t>Liene</t>
  </si>
  <si>
    <t>Lilianne</t>
  </si>
  <si>
    <t>Lilly Raymonde</t>
  </si>
  <si>
    <t>Liste Lidiane</t>
  </si>
  <si>
    <t>Liste Onira</t>
  </si>
  <si>
    <t>Loricier Amose</t>
  </si>
  <si>
    <t>Louiceus Ermilia</t>
  </si>
  <si>
    <t>Louidor Elanise</t>
  </si>
  <si>
    <t>Louidor Ermisena</t>
  </si>
  <si>
    <t>Louidor Melisena</t>
  </si>
  <si>
    <t>Louima Derizia</t>
  </si>
  <si>
    <t>Louis Celeret</t>
  </si>
  <si>
    <t>Louis Celisane</t>
  </si>
  <si>
    <t>Louis Cerilus</t>
  </si>
  <si>
    <t>Louis Desilia</t>
  </si>
  <si>
    <t>Louis Dosilien</t>
  </si>
  <si>
    <t>Louis Gene Lorantha</t>
  </si>
  <si>
    <t>Louis Iliofert</t>
  </si>
  <si>
    <t>Louis Inocent</t>
  </si>
  <si>
    <t>Louis Jodelene</t>
  </si>
  <si>
    <t>Louis Lorisia</t>
  </si>
  <si>
    <t>Louis Louisena</t>
  </si>
  <si>
    <t>Louis Merzilia</t>
  </si>
  <si>
    <t>Louis Suzette</t>
  </si>
  <si>
    <t>Louis-Jean Celifort</t>
  </si>
  <si>
    <t>Louissaint 1delene</t>
  </si>
  <si>
    <t>Louissaint Ceralien</t>
  </si>
  <si>
    <t>Louissaint Elianise</t>
  </si>
  <si>
    <t>Louissaint Ilianise</t>
  </si>
  <si>
    <t>Louissaint Jean Eluvens</t>
  </si>
  <si>
    <t>Louissaint Judeline</t>
  </si>
  <si>
    <t>Louissaint Lelio</t>
  </si>
  <si>
    <t>Louissaint Macula</t>
  </si>
  <si>
    <t>Louissaint Rita</t>
  </si>
  <si>
    <t>Louissaint Theyo</t>
  </si>
  <si>
    <t>Lovady Anrilus</t>
  </si>
  <si>
    <t>Lubin 1thlene</t>
  </si>
  <si>
    <t>Lubin Bernise</t>
  </si>
  <si>
    <t>Lubin Christine</t>
  </si>
  <si>
    <t>Lubin Clerveau</t>
  </si>
  <si>
    <t>Lubin Elina</t>
  </si>
  <si>
    <t>Lubin Germilus</t>
  </si>
  <si>
    <t>Lubin Gertha</t>
  </si>
  <si>
    <t>Lubin Loulou</t>
  </si>
  <si>
    <t>Lubin Nicalbert</t>
  </si>
  <si>
    <t>Lucien Israel</t>
  </si>
  <si>
    <t>Luckmane</t>
  </si>
  <si>
    <t>Ludovic</t>
  </si>
  <si>
    <t>Macius Celina</t>
  </si>
  <si>
    <t>Maidelus</t>
  </si>
  <si>
    <t>Marc Ernest</t>
  </si>
  <si>
    <t>Marc Fadeleine</t>
  </si>
  <si>
    <t>Marc Fideline</t>
  </si>
  <si>
    <t>Marc Marie-Lourde</t>
  </si>
  <si>
    <t>Marc Ofanise</t>
  </si>
  <si>
    <t>Marc Sylvie</t>
  </si>
  <si>
    <t>Marc Ynoles</t>
  </si>
  <si>
    <t>Marceleine</t>
  </si>
  <si>
    <t>Mareus Fransnel</t>
  </si>
  <si>
    <t>Mareus Tyson</t>
  </si>
  <si>
    <t>Marie-Lourde</t>
  </si>
  <si>
    <t>Martial Odinel</t>
  </si>
  <si>
    <t>Martial Yndrique</t>
  </si>
  <si>
    <t>Matayer Chegnier</t>
  </si>
  <si>
    <t xml:space="preserve">Maxena Elisena </t>
  </si>
  <si>
    <t>Maxilien Germaine</t>
  </si>
  <si>
    <t>Maxira Macso</t>
  </si>
  <si>
    <t>Meance Linda</t>
  </si>
  <si>
    <t>Meance Telidieu</t>
  </si>
  <si>
    <t>Meda Saitilia</t>
  </si>
  <si>
    <t>Meilleur Tales</t>
  </si>
  <si>
    <t>Melandieu</t>
  </si>
  <si>
    <t>Melanie</t>
  </si>
  <si>
    <t>Meleus Merite</t>
  </si>
  <si>
    <t>Merisier Legenel</t>
  </si>
  <si>
    <t>Merisier Merina</t>
  </si>
  <si>
    <t>Merisier Phiselia</t>
  </si>
  <si>
    <t>Merzius Amalia</t>
  </si>
  <si>
    <t>Merzius Liverno</t>
  </si>
  <si>
    <t>Mesadieu Rosette</t>
  </si>
  <si>
    <t>Metayer Adrienne</t>
  </si>
  <si>
    <t>Metayer Elnise</t>
  </si>
  <si>
    <t>Metayer Halisema</t>
  </si>
  <si>
    <t>Metayer Irotine</t>
  </si>
  <si>
    <t>Metelus Basseline</t>
  </si>
  <si>
    <t>Meus Gladysse</t>
  </si>
  <si>
    <t>Meyance Nathalie</t>
  </si>
  <si>
    <t>Micheca</t>
  </si>
  <si>
    <t>Michel 1lfrid</t>
  </si>
  <si>
    <t>Michel Desimeme</t>
  </si>
  <si>
    <t>Michel Edith</t>
  </si>
  <si>
    <t>Michel Francina</t>
  </si>
  <si>
    <t>Michel Ilamene</t>
  </si>
  <si>
    <t>Michel Silviane</t>
  </si>
  <si>
    <t>Milfort  Sylvain</t>
  </si>
  <si>
    <t>Milfort 1lsonne</t>
  </si>
  <si>
    <t>Milon Ylomene</t>
  </si>
  <si>
    <t>Mme Adilien Metayer</t>
  </si>
  <si>
    <t>Mme Andre Lemonsonne</t>
  </si>
  <si>
    <t>Mme Anivens Noel</t>
  </si>
  <si>
    <t>Mme Arines Sama</t>
  </si>
  <si>
    <t>Mme Brunel Auguste</t>
  </si>
  <si>
    <t>Mme Celestin Telcius</t>
  </si>
  <si>
    <t>Mme charles Diragne</t>
  </si>
  <si>
    <t>Mme Cherizar sepsil</t>
  </si>
  <si>
    <t>Mme Clervoir Mevorsy</t>
  </si>
  <si>
    <t>Mme Comete Blondese</t>
  </si>
  <si>
    <t>Mme Decius Ville</t>
  </si>
  <si>
    <t>Mme Desirien Joseph</t>
  </si>
  <si>
    <t>Mme Dieuricel Polinis</t>
  </si>
  <si>
    <t>Mme Dieuseul Honore</t>
  </si>
  <si>
    <t>Mme Dificilus Cesar</t>
  </si>
  <si>
    <t>Mme Direl Thelusme</t>
  </si>
  <si>
    <t>Mme Dironel Tony</t>
  </si>
  <si>
    <t>Mme Divenor Charles</t>
  </si>
  <si>
    <t>Mme Dorsainvil Ramongue</t>
  </si>
  <si>
    <t>Mme Ducamel Henry</t>
  </si>
  <si>
    <t>Mme Edner Jean Paul</t>
  </si>
  <si>
    <t>Mme Elisien Honore</t>
  </si>
  <si>
    <t>Mme Ertilus Gerelus</t>
  </si>
  <si>
    <t>Mme Estalet Jean</t>
  </si>
  <si>
    <t>Mme Fadine Mortimer</t>
  </si>
  <si>
    <t>Mme Farius Mortimer</t>
  </si>
  <si>
    <t>Mme Gerno Honore</t>
  </si>
  <si>
    <t>Mme Gesner Gedeon</t>
  </si>
  <si>
    <t>Mme Gracius 1svelt</t>
  </si>
  <si>
    <t>Mme Ilson Jean</t>
  </si>
  <si>
    <t>Mme Jean Judithe</t>
  </si>
  <si>
    <t>Mme Jesnet St Vil</t>
  </si>
  <si>
    <t>Mme Joel Joseph</t>
  </si>
  <si>
    <t>Mme Joinel Dorcely</t>
  </si>
  <si>
    <t>Mme Lejeune Dorelus</t>
  </si>
  <si>
    <t>Mme Libre Lafleur</t>
  </si>
  <si>
    <t>Mme Lyrot Ottarus</t>
  </si>
  <si>
    <t>Mme Marc-Antoine Tidor</t>
  </si>
  <si>
    <t>Mme Marcelin Honore</t>
  </si>
  <si>
    <t>Mme Mercidieu Jean</t>
  </si>
  <si>
    <t>Mme Michel Clara</t>
  </si>
  <si>
    <t>Mme Michel Fleurinord</t>
  </si>
  <si>
    <t>Mme Mortimer 1lio</t>
  </si>
  <si>
    <t>Mme Noel Esteker</t>
  </si>
  <si>
    <t>Mme Oxone Momiste</t>
  </si>
  <si>
    <t>Mme Pierre Assemichel</t>
  </si>
  <si>
    <t>Mme Pierre Henrio</t>
  </si>
  <si>
    <t>Mme Pierre Piercius</t>
  </si>
  <si>
    <t>Mme Rebert Diveny</t>
  </si>
  <si>
    <t xml:space="preserve">Mme Rijackson Honore </t>
  </si>
  <si>
    <t>Mme Saintil Sainvilien</t>
  </si>
  <si>
    <t>Mme Selanes Sorel</t>
  </si>
  <si>
    <t>Mme Tanis Auguste</t>
  </si>
  <si>
    <t>Mme Tervilien Cherubin</t>
  </si>
  <si>
    <t>Mme Tonton</t>
  </si>
  <si>
    <t>Mme vertis Metayer</t>
  </si>
  <si>
    <t>Mme vilce Vagner</t>
  </si>
  <si>
    <t>Mme Yonel Sainvil</t>
  </si>
  <si>
    <t>Moise 1lly</t>
  </si>
  <si>
    <t>Moise Fanelise</t>
  </si>
  <si>
    <t>Momiste Jean Marck</t>
  </si>
  <si>
    <t>Mompremier Dorcilia</t>
  </si>
  <si>
    <t>Mondelus Anilien</t>
  </si>
  <si>
    <t>Monestime Roselene</t>
  </si>
  <si>
    <t>Morame Acephie</t>
  </si>
  <si>
    <t>Morice Gilner</t>
  </si>
  <si>
    <t>Mortimer 1liane</t>
  </si>
  <si>
    <t>Mortimer Acnel</t>
  </si>
  <si>
    <t>Mortimer Adienie</t>
  </si>
  <si>
    <t>Mortimer Almatide</t>
  </si>
  <si>
    <t>Mortimer Bernadette</t>
  </si>
  <si>
    <t>Mortimer Celida</t>
  </si>
  <si>
    <t>Mortimer Chedeline</t>
  </si>
  <si>
    <t>Mortimer Deja</t>
  </si>
  <si>
    <t>Mortimer Esther</t>
  </si>
  <si>
    <t>Mortimer Farilia</t>
  </si>
  <si>
    <t>Mortimer Francois</t>
  </si>
  <si>
    <t>Mortimer Genese</t>
  </si>
  <si>
    <t>Mortimer Icelene</t>
  </si>
  <si>
    <t>Mortimer Isemera</t>
  </si>
  <si>
    <t>Mortimer Jeannette</t>
  </si>
  <si>
    <t>Mortimer Jesula</t>
  </si>
  <si>
    <t>Mortimer Jocelyn</t>
  </si>
  <si>
    <t>Mortimer Jonel</t>
  </si>
  <si>
    <t>Mortimer Lucienne</t>
  </si>
  <si>
    <t>Mortimer Marceline</t>
  </si>
  <si>
    <t>Mortimer Melidaire</t>
  </si>
  <si>
    <t>Mortimer Misselene</t>
  </si>
  <si>
    <t>Mortimer Obny</t>
  </si>
  <si>
    <t>Mortimer Obrillant</t>
  </si>
  <si>
    <t>Mortimer Rony</t>
  </si>
  <si>
    <t>Mortimer Rosmain</t>
  </si>
  <si>
    <t>Mortimer Sidonaise</t>
  </si>
  <si>
    <t>Mortimer Silionet</t>
  </si>
  <si>
    <t>Mortimer Tchaly</t>
  </si>
  <si>
    <t>Mortimer Vernio</t>
  </si>
  <si>
    <t>Mural Sylvanie</t>
  </si>
  <si>
    <t>Nelson Carole</t>
  </si>
  <si>
    <t>Noel Albert</t>
  </si>
  <si>
    <t>Noel Alcide</t>
  </si>
  <si>
    <t>Noel Aliane</t>
  </si>
  <si>
    <t>Noel Aliya</t>
  </si>
  <si>
    <t>Noel Amonique</t>
  </si>
  <si>
    <t>Noel Beatrice</t>
  </si>
  <si>
    <t>Noel Bezanie</t>
  </si>
  <si>
    <t>Noel Chael</t>
  </si>
  <si>
    <t>Noel Cholistin</t>
  </si>
  <si>
    <t>Noel Christian</t>
  </si>
  <si>
    <t>Noel Cleomene</t>
  </si>
  <si>
    <t>Noel Dieudonne</t>
  </si>
  <si>
    <t>Noel Dieu-meme</t>
  </si>
  <si>
    <t>Noel Djino</t>
  </si>
  <si>
    <t>Noel Dorcilia</t>
  </si>
  <si>
    <t>Noel Echelin</t>
  </si>
  <si>
    <t>Noel Eliver</t>
  </si>
  <si>
    <t>Noel Enel</t>
  </si>
  <si>
    <t>Noel Erlande</t>
  </si>
  <si>
    <t>Noel Eulet</t>
  </si>
  <si>
    <t>Noel Franchil</t>
  </si>
  <si>
    <t>Noel Henrisme</t>
  </si>
  <si>
    <t>Noel Idovic</t>
  </si>
  <si>
    <t>Noel Ilexan</t>
  </si>
  <si>
    <t>Noel Ilianise</t>
  </si>
  <si>
    <t>Noel Irlande</t>
  </si>
  <si>
    <t>Noel Jean Maxo</t>
  </si>
  <si>
    <t>Noel Jolette</t>
  </si>
  <si>
    <t xml:space="preserve">Noel Julie </t>
  </si>
  <si>
    <t>Noel Laudace</t>
  </si>
  <si>
    <t>Noel Lopinia</t>
  </si>
  <si>
    <t>Noel Lucas</t>
  </si>
  <si>
    <t>Noel Melina</t>
  </si>
  <si>
    <t>Noel Menzima</t>
  </si>
  <si>
    <t>Noel Nelson</t>
  </si>
  <si>
    <t>Noel Nerilene</t>
  </si>
  <si>
    <t>Noel Ochanel</t>
  </si>
  <si>
    <t>Noel Odiles</t>
  </si>
  <si>
    <t>Noel Odina</t>
  </si>
  <si>
    <t>Noel Philomene</t>
  </si>
  <si>
    <t>Noel Raymonde</t>
  </si>
  <si>
    <t xml:space="preserve">Noel Rilien </t>
  </si>
  <si>
    <t>Noel Rochenel</t>
  </si>
  <si>
    <t>Noel Romithe</t>
  </si>
  <si>
    <t>Noel Rony</t>
  </si>
  <si>
    <t>Noel Rosemitha</t>
  </si>
  <si>
    <t xml:space="preserve">Noel Rosilia </t>
  </si>
  <si>
    <t>Noel Rositha</t>
  </si>
  <si>
    <t>Noel Sainsuraine</t>
  </si>
  <si>
    <t>Noel Samerique</t>
  </si>
  <si>
    <t>Noel Samilien</t>
  </si>
  <si>
    <t>Noel Sanithe</t>
  </si>
  <si>
    <t>Noel Timothee</t>
  </si>
  <si>
    <t>Noel Vinol</t>
  </si>
  <si>
    <t>Noel Ydalia</t>
  </si>
  <si>
    <t>Noel Yonel</t>
  </si>
  <si>
    <t>Noel Yverna</t>
  </si>
  <si>
    <t>Noelien Guilandese</t>
  </si>
  <si>
    <t>Nombre Madeleine</t>
  </si>
  <si>
    <t>Norcine Yolna</t>
  </si>
  <si>
    <t>Norde Jean Wesly</t>
  </si>
  <si>
    <t>Norde Oversane</t>
  </si>
  <si>
    <t>Norelien Aldefrance</t>
  </si>
  <si>
    <t>Norelien Ancy</t>
  </si>
  <si>
    <t>Norelien Jean Claude</t>
  </si>
  <si>
    <t>Norelien Nojilus</t>
  </si>
  <si>
    <t>Norelien Saintana</t>
  </si>
  <si>
    <t>Norelien Verilia</t>
  </si>
  <si>
    <t>Norelus Bentoule</t>
  </si>
  <si>
    <t>Norelus Telina</t>
  </si>
  <si>
    <t>Norsine Avilaine</t>
  </si>
  <si>
    <t>Odette Bruce</t>
  </si>
  <si>
    <t>Olancia estama</t>
  </si>
  <si>
    <t>Olibrice Oriles</t>
  </si>
  <si>
    <t>Orelien</t>
  </si>
  <si>
    <t>Orelien Renold</t>
  </si>
  <si>
    <t>Orelien Rose</t>
  </si>
  <si>
    <t>Orelus Francker</t>
  </si>
  <si>
    <t>Orelus Holken</t>
  </si>
  <si>
    <t>Oscar Marie Claudette</t>
  </si>
  <si>
    <t>Otaris Imelda</t>
  </si>
  <si>
    <t>Otarus Hymonia</t>
  </si>
  <si>
    <t>Otarus Junel</t>
  </si>
  <si>
    <t>Ottaris John Peter</t>
  </si>
  <si>
    <t>Ottaris Previlus</t>
  </si>
  <si>
    <t>Ottarus Brunel</t>
  </si>
  <si>
    <t>Ottarus Hossilia</t>
  </si>
  <si>
    <t>Ottarus Merzilie</t>
  </si>
  <si>
    <t>Ottarus Rosny</t>
  </si>
  <si>
    <t>Paul Amelia</t>
  </si>
  <si>
    <t>Paul Anisette</t>
  </si>
  <si>
    <t>Paul Benita</t>
  </si>
  <si>
    <t>Paul Dales</t>
  </si>
  <si>
    <t>Paul Darline</t>
  </si>
  <si>
    <t>Paul Fonia</t>
  </si>
  <si>
    <t>Paul Helene</t>
  </si>
  <si>
    <t>Paul Jean manes</t>
  </si>
  <si>
    <t>Paul Lifaite</t>
  </si>
  <si>
    <t>Paul Marinette</t>
  </si>
  <si>
    <t>Paul Olincia</t>
  </si>
  <si>
    <t>Paul Silvina</t>
  </si>
  <si>
    <t>Paul Veyo</t>
  </si>
  <si>
    <t>Paul Violene</t>
  </si>
  <si>
    <t>Petigene Ivonia</t>
  </si>
  <si>
    <t>Petit Altagras</t>
  </si>
  <si>
    <t>Petit Camitha</t>
  </si>
  <si>
    <t>Petit Genilia</t>
  </si>
  <si>
    <t>Petit Gilbert</t>
  </si>
  <si>
    <t>Petit Marie</t>
  </si>
  <si>
    <t>Petit Oliana</t>
  </si>
  <si>
    <t>Petit Onizia</t>
  </si>
  <si>
    <t>Petit Sandra</t>
  </si>
  <si>
    <t>Petit Yvenia</t>
  </si>
  <si>
    <t>Petit-Frere Charilien</t>
  </si>
  <si>
    <t>Petit-frere Idony</t>
  </si>
  <si>
    <t>Petit-Frere Luckny</t>
  </si>
  <si>
    <t>Petit-Frere Macedene</t>
  </si>
  <si>
    <t>Petit-Frere Toucheny</t>
  </si>
  <si>
    <t>Petit-Homme Chinita</t>
  </si>
  <si>
    <t>Petit-Jean Leonel</t>
  </si>
  <si>
    <t>Phable Saintanese</t>
  </si>
  <si>
    <t>Pharisien Angelene</t>
  </si>
  <si>
    <t>Pierrant Leonel</t>
  </si>
  <si>
    <t>Pierre Acelphin</t>
  </si>
  <si>
    <t>Pierre Alicier</t>
  </si>
  <si>
    <t>Pierre Aloune</t>
  </si>
  <si>
    <t>Pierre Angelina</t>
  </si>
  <si>
    <t>Pierre Aniel</t>
  </si>
  <si>
    <t>Pierre Assonia</t>
  </si>
  <si>
    <t>Pierre Bensly</t>
  </si>
  <si>
    <t>Pierre Canelia</t>
  </si>
  <si>
    <t>Pierre Celisia</t>
  </si>
  <si>
    <t>Pierre Charles 1lmithe</t>
  </si>
  <si>
    <t>Pierre Claude</t>
  </si>
  <si>
    <t>Pierre Dalien</t>
  </si>
  <si>
    <t>Pierre Derival</t>
  </si>
  <si>
    <t>Pierre Erlens</t>
  </si>
  <si>
    <t>Pierre Fleurilia</t>
  </si>
  <si>
    <t>Pierre Fleurilien</t>
  </si>
  <si>
    <t>Pierre Florene</t>
  </si>
  <si>
    <t>Pierre Fritzmont</t>
  </si>
  <si>
    <t>Pierre Gladys</t>
  </si>
  <si>
    <t>Pierre Guenord</t>
  </si>
  <si>
    <t>Pierre Ideja</t>
  </si>
  <si>
    <t>Pierre Iderlien</t>
  </si>
  <si>
    <t>Pierre Ilianise</t>
  </si>
  <si>
    <t>Pierre Iranor</t>
  </si>
  <si>
    <t>Pierre Isedra</t>
  </si>
  <si>
    <t>Pierre Iselda</t>
  </si>
  <si>
    <t>Pierre Jean Francois</t>
  </si>
  <si>
    <t>Pierre Jean Rulest</t>
  </si>
  <si>
    <t>Pierre Julienne</t>
  </si>
  <si>
    <t>Pierre kimel</t>
  </si>
  <si>
    <t>Pierre Lucmane</t>
  </si>
  <si>
    <t>Pierre Marila</t>
  </si>
  <si>
    <t>Pierre Mariose</t>
  </si>
  <si>
    <t>Pierre Markenes</t>
  </si>
  <si>
    <t>Pierre Maselia</t>
  </si>
  <si>
    <t>Pierre Michelet</t>
  </si>
  <si>
    <t>Pierre Milicia</t>
  </si>
  <si>
    <t>Pierre Mirline</t>
  </si>
  <si>
    <t>Pierre Morange</t>
  </si>
  <si>
    <t>Pierre Nerline</t>
  </si>
  <si>
    <t>Pierre Philipo</t>
  </si>
  <si>
    <t>Pierre Philippe Alimptia</t>
  </si>
  <si>
    <t>Pierre philippe Camelitha</t>
  </si>
  <si>
    <t>Pierre Philippe Edithe</t>
  </si>
  <si>
    <t>Pierre Philippe Henry</t>
  </si>
  <si>
    <t>Pierre Philippe Jean Romel</t>
  </si>
  <si>
    <t>Pierre Philippe Johnny</t>
  </si>
  <si>
    <t>Pierre Philippe Josemitha</t>
  </si>
  <si>
    <t>Pierre Philippe Lavasseur</t>
  </si>
  <si>
    <t>Pierre Philippe Lideja</t>
  </si>
  <si>
    <t>Pierre Philippe Magalie</t>
  </si>
  <si>
    <t>Pierre Philippe Merveline</t>
  </si>
  <si>
    <t>Pierre philippe Orius</t>
  </si>
  <si>
    <t>Pierre Philippe Topsot</t>
  </si>
  <si>
    <t>Pierre Philippe Zalicia</t>
  </si>
  <si>
    <t>Pierre Rochenel</t>
  </si>
  <si>
    <t>Pierre Rosalie</t>
  </si>
  <si>
    <t>Pierre Saint Eronel</t>
  </si>
  <si>
    <t>Pierre Sainvilis</t>
  </si>
  <si>
    <t>Pierre Semoine</t>
  </si>
  <si>
    <t>Pierre setaman</t>
  </si>
  <si>
    <t>Pierre Sistra</t>
  </si>
  <si>
    <t>Pierre Sitana</t>
  </si>
  <si>
    <t>Pierre Thelusme</t>
  </si>
  <si>
    <t>Pierre Therese</t>
  </si>
  <si>
    <t>Pierre Udson</t>
  </si>
  <si>
    <t>Pierre Vanite</t>
  </si>
  <si>
    <t>Pierre Versan</t>
  </si>
  <si>
    <t>Pierre Vilote</t>
  </si>
  <si>
    <t>Pierre Yroselin</t>
  </si>
  <si>
    <t>Pierre Yvonia</t>
  </si>
  <si>
    <t>Pierre-Louis Ceraman</t>
  </si>
  <si>
    <t>Pirame Chalina</t>
  </si>
  <si>
    <t>Placide Jean-Robert</t>
  </si>
  <si>
    <t>Placide Michelet</t>
  </si>
  <si>
    <t>Plilogene Kerline</t>
  </si>
  <si>
    <t>Policarpe Dahana</t>
  </si>
  <si>
    <t>Policarpe Fidelia</t>
  </si>
  <si>
    <t>Polis Marie Denise</t>
  </si>
  <si>
    <t>Polis Sainjulia</t>
  </si>
  <si>
    <t>Poly Alinese</t>
  </si>
  <si>
    <t>Poly Matdala</t>
  </si>
  <si>
    <t>Predelus Celissa</t>
  </si>
  <si>
    <t>Predelus Merison</t>
  </si>
  <si>
    <t>Predelus Ruben</t>
  </si>
  <si>
    <t>Predenat Gesnet</t>
  </si>
  <si>
    <t>Predenat Jean Robert</t>
  </si>
  <si>
    <t>Predenat Orius</t>
  </si>
  <si>
    <t>Prenelus Viergelie</t>
  </si>
  <si>
    <t>Preslet</t>
  </si>
  <si>
    <t>Presume Kenson</t>
  </si>
  <si>
    <t>Previl Salimie</t>
  </si>
  <si>
    <t>Previlon</t>
  </si>
  <si>
    <t>Previlus Boniface</t>
  </si>
  <si>
    <t>Previlus Brunel</t>
  </si>
  <si>
    <t>Previlus Lickse</t>
  </si>
  <si>
    <t>Relis Eliana</t>
  </si>
  <si>
    <t>Renard Erline</t>
  </si>
  <si>
    <t>Renard Fednet</t>
  </si>
  <si>
    <t>Renard Julie</t>
  </si>
  <si>
    <t>Renard Lavenia</t>
  </si>
  <si>
    <t>Renard Sadieu</t>
  </si>
  <si>
    <t>Renard Saintanaise</t>
  </si>
  <si>
    <t>Renard Theranise</t>
  </si>
  <si>
    <t>Renard Yvonette</t>
  </si>
  <si>
    <t>Roc Gabriel</t>
  </si>
  <si>
    <t>Roseline</t>
  </si>
  <si>
    <t>Rose-Marthe</t>
  </si>
  <si>
    <t>Rosina</t>
  </si>
  <si>
    <t>Sainna Emilienne</t>
  </si>
  <si>
    <t>Sainsurain Auquel</t>
  </si>
  <si>
    <t>Sainsurain Rochenel</t>
  </si>
  <si>
    <t xml:space="preserve">Sainsurain Rosalia </t>
  </si>
  <si>
    <t>Saint Juste Henry Max</t>
  </si>
  <si>
    <t>Saint Juste Saint Julien</t>
  </si>
  <si>
    <t>Saint Pierre Adilet</t>
  </si>
  <si>
    <t>Saintanie</t>
  </si>
  <si>
    <t>Saint-Fleur Locny</t>
  </si>
  <si>
    <t>Saint-Fleur Yvon</t>
  </si>
  <si>
    <t>Saintil 1lgens</t>
  </si>
  <si>
    <t>Saintil Altagrace</t>
  </si>
  <si>
    <t>Saintil Celissa</t>
  </si>
  <si>
    <t>Saintil Clorene</t>
  </si>
  <si>
    <t>Saintil Dieulifaite</t>
  </si>
  <si>
    <t>Saintil Elisma</t>
  </si>
  <si>
    <t>Saintil Ezline</t>
  </si>
  <si>
    <t>Saintil Fritzlet</t>
  </si>
  <si>
    <t>Saintil Henry</t>
  </si>
  <si>
    <t>Saintil Inecia</t>
  </si>
  <si>
    <t>Saintil Joceline</t>
  </si>
  <si>
    <t>Saintil Kencia</t>
  </si>
  <si>
    <t>Saintil Lovena</t>
  </si>
  <si>
    <t>Saintil Marthe Faila</t>
  </si>
  <si>
    <t>Saintil Maudira</t>
  </si>
  <si>
    <t>Saintil Micheline</t>
  </si>
  <si>
    <t>Saintil Mitha</t>
  </si>
  <si>
    <t>Saintil Paulette</t>
  </si>
  <si>
    <t>Saintil Rosemarthe</t>
  </si>
  <si>
    <t>Saintil Saintalise</t>
  </si>
  <si>
    <t>Saintil Thervilien</t>
  </si>
  <si>
    <t>Saintil Wedky</t>
  </si>
  <si>
    <t>Saintil Ylnet</t>
  </si>
  <si>
    <t>Saint-Louis Silianie</t>
  </si>
  <si>
    <t>Saint-Vil 1shy</t>
  </si>
  <si>
    <t>Saintvil Celisena</t>
  </si>
  <si>
    <t>Saint-vil Daniel</t>
  </si>
  <si>
    <t>Saint-Vil Lerisson</t>
  </si>
  <si>
    <t>Sainval Andaise</t>
  </si>
  <si>
    <t>Sainvil Adelina</t>
  </si>
  <si>
    <t>Sainvil Alisena</t>
  </si>
  <si>
    <t>Sainvil Alphonse</t>
  </si>
  <si>
    <t>Sainvil Aniece</t>
  </si>
  <si>
    <t>Sainvil Anne-Marie</t>
  </si>
  <si>
    <t>Sainvil Archil</t>
  </si>
  <si>
    <t>Sainvil Buchener</t>
  </si>
  <si>
    <t>Sainvil Cledanor</t>
  </si>
  <si>
    <t>Sainvil David</t>
  </si>
  <si>
    <t>Sainvil Desilien</t>
  </si>
  <si>
    <t>Sainvil Duroque</t>
  </si>
  <si>
    <t>Sainvil Elandie</t>
  </si>
  <si>
    <t>Sainvil Eliane</t>
  </si>
  <si>
    <t>Sainvil Ernry</t>
  </si>
  <si>
    <t>Sainvil Fervilus</t>
  </si>
  <si>
    <t>Sainvil Fracklin</t>
  </si>
  <si>
    <t>Sainvil Franck</t>
  </si>
  <si>
    <t>Sainvil Francois Lucas</t>
  </si>
  <si>
    <t>Sainvil Germanie</t>
  </si>
  <si>
    <t>Sainvil Guerla</t>
  </si>
  <si>
    <t>Sainvil Jean-Claude</t>
  </si>
  <si>
    <t>Sainvil Jenelia</t>
  </si>
  <si>
    <t>Sainvil Lafortune</t>
  </si>
  <si>
    <t>Sainvil Leridoine</t>
  </si>
  <si>
    <t>Sainvil Lucner</t>
  </si>
  <si>
    <t>Sainvil Marilaine</t>
  </si>
  <si>
    <t>Sainvil Maxo</t>
  </si>
  <si>
    <t>Sainvil Michelet</t>
  </si>
  <si>
    <t>Sainvil Nervilus</t>
  </si>
  <si>
    <t>Sainvil Ozral</t>
  </si>
  <si>
    <t>Sainvil Petion</t>
  </si>
  <si>
    <t>Sainvil Rinder</t>
  </si>
  <si>
    <t>Sainvil Rosemene</t>
  </si>
  <si>
    <t>Sainvil Salnave</t>
  </si>
  <si>
    <t>Sainvil Saphete</t>
  </si>
  <si>
    <t>Sainvil Tervilia</t>
  </si>
  <si>
    <t>Sainvil Theogene</t>
  </si>
  <si>
    <t>Sainvil Verizile</t>
  </si>
  <si>
    <t>Sainvil Wanso</t>
  </si>
  <si>
    <t>Sainvil Wenson</t>
  </si>
  <si>
    <t>Salomon Cheldine</t>
  </si>
  <si>
    <t>Salomon Denis</t>
  </si>
  <si>
    <t>Salomon Meprisia</t>
  </si>
  <si>
    <t>Samson 1lner</t>
  </si>
  <si>
    <t>Sanel</t>
  </si>
  <si>
    <t>Selin Cirilia</t>
  </si>
  <si>
    <t>Serrier Gennia</t>
  </si>
  <si>
    <t>Sidrack Madianie</t>
  </si>
  <si>
    <t>Sidrack Princesse</t>
  </si>
  <si>
    <t>Sifrard Nadilia</t>
  </si>
  <si>
    <t>Silancia</t>
  </si>
  <si>
    <t>Siliana</t>
  </si>
  <si>
    <t>Silvariste Louisainie</t>
  </si>
  <si>
    <t>Simecent Elaise</t>
  </si>
  <si>
    <t>Simon Veronique</t>
  </si>
  <si>
    <t>Sistrat Sisana</t>
  </si>
  <si>
    <t>Sorel Natacha</t>
  </si>
  <si>
    <t>Tanis</t>
  </si>
  <si>
    <t>Tanis Aliese</t>
  </si>
  <si>
    <t>Tanis Claudia</t>
  </si>
  <si>
    <t>Tanis Ediyen</t>
  </si>
  <si>
    <t>Tanis Fertilus</t>
  </si>
  <si>
    <t>Tanis Gilbert</t>
  </si>
  <si>
    <t>Tanis Remilia</t>
  </si>
  <si>
    <t>Tanis Rivel</t>
  </si>
  <si>
    <t>Tanis Silfida</t>
  </si>
  <si>
    <t>Tanis Velanie</t>
  </si>
  <si>
    <t>Tanus Fristzmon</t>
  </si>
  <si>
    <t>Tanus Mariane</t>
  </si>
  <si>
    <t>Tasienne</t>
  </si>
  <si>
    <t>Tchaly Direny</t>
  </si>
  <si>
    <t>Telcy Amones</t>
  </si>
  <si>
    <t>Telcy Dukens</t>
  </si>
  <si>
    <t>Telcy Edner</t>
  </si>
  <si>
    <t>Telcy Elonise</t>
  </si>
  <si>
    <t>Telcy Fausner</t>
  </si>
  <si>
    <t>Telcy Geriles</t>
  </si>
  <si>
    <t>Telcy Jean Robert</t>
  </si>
  <si>
    <t>Telcy Odine</t>
  </si>
  <si>
    <t>Telcy Older</t>
  </si>
  <si>
    <t>Telcy Osiana</t>
  </si>
  <si>
    <t>Telcy Phenera</t>
  </si>
  <si>
    <t>Telus Marida</t>
  </si>
  <si>
    <t>Telusma Veonick</t>
  </si>
  <si>
    <t>Tervilen Cherubin</t>
  </si>
  <si>
    <t>Thama Rosimene</t>
  </si>
  <si>
    <t>Thelusme Micheline</t>
  </si>
  <si>
    <t>Thervil Melila</t>
  </si>
  <si>
    <t>Thiena Brilly</t>
  </si>
  <si>
    <t>Thiena Gama</t>
  </si>
  <si>
    <t>Thiena Henry Johnley</t>
  </si>
  <si>
    <t>Thiena Jacky</t>
  </si>
  <si>
    <t>Thiena John</t>
  </si>
  <si>
    <t>Thomas Aletude</t>
  </si>
  <si>
    <t>Thomas Bentchoul</t>
  </si>
  <si>
    <t>Thomas Dikenson</t>
  </si>
  <si>
    <t>Thomas Eglarase</t>
  </si>
  <si>
    <t>Thomas Gina</t>
  </si>
  <si>
    <t>Thomas Isemose</t>
  </si>
  <si>
    <t>Thomas Julienne</t>
  </si>
  <si>
    <t>Thomas Laurensia</t>
  </si>
  <si>
    <t>Thomas Lorvina</t>
  </si>
  <si>
    <t>Thomas Resitha</t>
  </si>
  <si>
    <t>Thomas Vierge</t>
  </si>
  <si>
    <t>Tiboss Henry</t>
  </si>
  <si>
    <t>Tichery Louiselia</t>
  </si>
  <si>
    <t>Tide Anelia</t>
  </si>
  <si>
    <t>Tilidor Alteric</t>
  </si>
  <si>
    <t>Tilus Anetide</t>
  </si>
  <si>
    <t>Timothee Clorene</t>
  </si>
  <si>
    <t>Timothee Florana</t>
  </si>
  <si>
    <t>Timothee Gelide</t>
  </si>
  <si>
    <t>Timothee Sainvilia</t>
  </si>
  <si>
    <t>Timothee Silvana</t>
  </si>
  <si>
    <t>Tise</t>
  </si>
  <si>
    <t>Tiyoda</t>
  </si>
  <si>
    <t>Toussaint 1sman</t>
  </si>
  <si>
    <t>Toussaint Amonaise</t>
  </si>
  <si>
    <t>Toussaint Annerose</t>
  </si>
  <si>
    <t>Toussaint Claudia</t>
  </si>
  <si>
    <t>Toussaint Fanise</t>
  </si>
  <si>
    <t>Toussaint Fernande</t>
  </si>
  <si>
    <t>Toussaint Isemene</t>
  </si>
  <si>
    <t>Toussaint Jean 1lson</t>
  </si>
  <si>
    <t>Toussaint Lovanie</t>
  </si>
  <si>
    <t>Toussaint Marie Djinie</t>
  </si>
  <si>
    <t>Toussaint Merina</t>
  </si>
  <si>
    <t>Toussaint Moise</t>
  </si>
  <si>
    <t>Toussaint Rosena</t>
  </si>
  <si>
    <t>Toussaint Saintales</t>
  </si>
  <si>
    <t>Toussaint Saintane</t>
  </si>
  <si>
    <t>Toyo Elna</t>
  </si>
  <si>
    <t>Tyda 1slet</t>
  </si>
  <si>
    <t>Vaguener Milien</t>
  </si>
  <si>
    <t>Vainqueur Ermilia</t>
  </si>
  <si>
    <t>Vainqueur Ernest</t>
  </si>
  <si>
    <t>Vainqueur Gildet</t>
  </si>
  <si>
    <t>Vainqueur Lady</t>
  </si>
  <si>
    <t>Vainqueur Marie-Elsiane</t>
  </si>
  <si>
    <t>Vainqueur Merline</t>
  </si>
  <si>
    <t>Vainqueur Risinette</t>
  </si>
  <si>
    <t>Vainqueur Saint Rilus</t>
  </si>
  <si>
    <t>Valcin Merzelia</t>
  </si>
  <si>
    <t>Valcin Vanita</t>
  </si>
  <si>
    <t>Valcourt Ernicia</t>
  </si>
  <si>
    <t>Valsin Madeleine</t>
  </si>
  <si>
    <t>Veniel</t>
  </si>
  <si>
    <t>Verneus Acedrole</t>
  </si>
  <si>
    <t>Vertus Linda</t>
  </si>
  <si>
    <t>Vertus Vitelia</t>
  </si>
  <si>
    <t>Victor Bisnick</t>
  </si>
  <si>
    <t>Victor Senec</t>
  </si>
  <si>
    <t>Vilbrun Salimie</t>
  </si>
  <si>
    <t>Vilce Lafontaine</t>
  </si>
  <si>
    <t>Vilce Macianie</t>
  </si>
  <si>
    <t>Vilce Manifase</t>
  </si>
  <si>
    <t>Vilce Marilene</t>
  </si>
  <si>
    <t>Vilce Mideline</t>
  </si>
  <si>
    <t>Vilce Monitha</t>
  </si>
  <si>
    <t>Vilce Telia</t>
  </si>
  <si>
    <t>Vilce Venel</t>
  </si>
  <si>
    <t>Vilce Waldeck</t>
  </si>
  <si>
    <t>Vildor Analia</t>
  </si>
  <si>
    <t>Vilfrard Abel</t>
  </si>
  <si>
    <t>Vilfrard Inadese</t>
  </si>
  <si>
    <t>Vilfrard Jean-Remy</t>
  </si>
  <si>
    <t>Vilfrard Ronald</t>
  </si>
  <si>
    <t>Vilfrard Suzette</t>
  </si>
  <si>
    <t>Vilsaint Miladieu</t>
  </si>
  <si>
    <t>Vilsaint Sadieu</t>
  </si>
  <si>
    <t>Viltinor Eximene</t>
  </si>
  <si>
    <t>Viltinor Eximond</t>
  </si>
  <si>
    <t>Viltinor Leonie</t>
  </si>
  <si>
    <t>Viltinor Norvela</t>
  </si>
  <si>
    <t>Vincent Abraam</t>
  </si>
  <si>
    <t>Vincent Alida</t>
  </si>
  <si>
    <t>Vincent Bertrale</t>
  </si>
  <si>
    <t>Vincent David</t>
  </si>
  <si>
    <t>Vincent Edouassaint</t>
  </si>
  <si>
    <t>Vincent Juvena</t>
  </si>
  <si>
    <t>Vincent Laurentia</t>
  </si>
  <si>
    <t>Vincent Victoria</t>
  </si>
  <si>
    <t>Virgile Fertulien</t>
  </si>
  <si>
    <t>Vita</t>
  </si>
  <si>
    <t>Vixamar Antoinette</t>
  </si>
  <si>
    <t>Vixamar Celina</t>
  </si>
  <si>
    <t>Vixamar Elianise</t>
  </si>
  <si>
    <t>Vixamar Sabina</t>
  </si>
  <si>
    <t>Zephir Exandier</t>
  </si>
  <si>
    <t>Zilie Cadestin</t>
  </si>
  <si>
    <t>Viviane Altenor</t>
  </si>
  <si>
    <t>kat kafou</t>
  </si>
  <si>
    <t>Fonfret</t>
  </si>
  <si>
    <t>Metayer</t>
  </si>
  <si>
    <t>Guillaume</t>
  </si>
  <si>
    <t>Dicius</t>
  </si>
  <si>
    <t>Vital</t>
  </si>
  <si>
    <t>Rosette</t>
  </si>
  <si>
    <t>Bassin Gayak</t>
  </si>
  <si>
    <t>Kaporal</t>
  </si>
  <si>
    <t>Digotri 1</t>
  </si>
  <si>
    <t>Morne Ron</t>
  </si>
  <si>
    <t>Nan bad</t>
  </si>
  <si>
    <t>Morne palmiste</t>
  </si>
  <si>
    <t>Malendo</t>
  </si>
  <si>
    <t>Riviere Moustique</t>
  </si>
  <si>
    <t>Morne Angle</t>
  </si>
  <si>
    <t>Ti toma</t>
  </si>
  <si>
    <t>Nanpwa</t>
  </si>
  <si>
    <t>Bwa Pikan</t>
  </si>
  <si>
    <t>Devaliere</t>
  </si>
  <si>
    <t>Odije</t>
  </si>
  <si>
    <t>Twou Solda</t>
  </si>
  <si>
    <t>Digotri</t>
  </si>
  <si>
    <t>Kamichel</t>
  </si>
  <si>
    <t>Mabezine</t>
  </si>
  <si>
    <t>La Saline</t>
  </si>
  <si>
    <t>Bwablan</t>
  </si>
  <si>
    <t>Nan Gata</t>
  </si>
  <si>
    <t>Nan moras</t>
  </si>
  <si>
    <t>Kerol</t>
  </si>
  <si>
    <t>Magranbwa 1</t>
  </si>
  <si>
    <t>Nan yout</t>
  </si>
  <si>
    <t>Terre Pistache</t>
  </si>
  <si>
    <t>Kalbasye</t>
  </si>
  <si>
    <t>Fonboule</t>
  </si>
  <si>
    <t>Savanne rase</t>
  </si>
  <si>
    <t>Djimbi</t>
  </si>
  <si>
    <t>Digotri 2</t>
  </si>
  <si>
    <t>Kakatote</t>
  </si>
  <si>
    <t>Verde</t>
  </si>
  <si>
    <t>Jak Mopa</t>
  </si>
  <si>
    <t>Ti gayak</t>
  </si>
  <si>
    <t>Nan Lom</t>
  </si>
  <si>
    <t>Nan boule</t>
  </si>
  <si>
    <t>Mare Paroke</t>
  </si>
  <si>
    <t>Fond perot</t>
  </si>
  <si>
    <t>AUTRES</t>
  </si>
  <si>
    <t>SOUS</t>
  </si>
  <si>
    <t>Katkafou</t>
  </si>
  <si>
    <t>Morne won</t>
  </si>
  <si>
    <t>Wonpwen</t>
  </si>
  <si>
    <t>katkafou</t>
  </si>
  <si>
    <t>Caporale</t>
  </si>
  <si>
    <t>Wout simetyè</t>
  </si>
  <si>
    <t>Won pwen</t>
  </si>
  <si>
    <t>Poste métier 2</t>
  </si>
  <si>
    <t>Wout simetyé</t>
  </si>
  <si>
    <t>Poste métier 1</t>
  </si>
  <si>
    <t>Idelene</t>
  </si>
  <si>
    <t>Iliam Stephene</t>
  </si>
  <si>
    <t>Iliam Theline</t>
  </si>
  <si>
    <t>Illiam 1kenson</t>
  </si>
  <si>
    <t>Illiam Aberge</t>
  </si>
  <si>
    <t>Illiam Ansernio</t>
  </si>
  <si>
    <t>Iliam Dieula</t>
  </si>
  <si>
    <t>Iliam Lexidan</t>
  </si>
  <si>
    <t>Iliam Leximene</t>
  </si>
  <si>
    <t>Iliam Lucnet</t>
  </si>
  <si>
    <t>Ilso Eliance</t>
  </si>
  <si>
    <t>Ilsonne</t>
  </si>
  <si>
    <t>KatKafou</t>
  </si>
  <si>
    <t>Trésorier des fontaines</t>
  </si>
  <si>
    <t>Réalisation des combites</t>
  </si>
  <si>
    <r>
      <t>Sous M</t>
    </r>
    <r>
      <rPr>
        <sz val="11"/>
        <color theme="1"/>
        <rFont val="Calibri"/>
        <family val="2"/>
      </rPr>
      <t>òn</t>
    </r>
  </si>
  <si>
    <t>Bouvardrd</t>
  </si>
  <si>
    <t>Morne Dalès</t>
  </si>
  <si>
    <t>Inv.</t>
  </si>
  <si>
    <t>MYP</t>
  </si>
  <si>
    <t>Comité d'Approvisionnement d'Eau Potable et D'Assainissement</t>
  </si>
  <si>
    <t>Comité d'Approvisionnement en Eau Potable et d'Assainissement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</si>
</sst>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* #,##0.00_);_(* \(#,##0.00\);_(* &quot;-&quot;??_);_(@_)"/>
    <numFmt numFmtId="165" formatCode="_ * #,##0.00_)[$G-3C0C]_ ;_ * \(#,##0.00\)[$G-3C0C]_ ;_ * &quot;-&quot;??_)[$G-3C0C]_ ;_ @_ "/>
    <numFmt numFmtId="166" formatCode="#,##0.00[$G-3C0C]"/>
    <numFmt numFmtId="167" formatCode="m/d/yy;@"/>
    <numFmt numFmtId="168" formatCode="dd/mm/yy;@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2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theme="1"/>
      <name val="Calibri"/>
      <family val="2"/>
    </font>
    <font>
      <b/>
      <i/>
      <sz val="12"/>
      <color rgb="FFC00000"/>
      <name val="Segoe UI Semibold"/>
      <family val="2"/>
    </font>
    <font>
      <sz val="11"/>
      <color rgb="FFC00000"/>
      <name val="Segoe UI Semibold"/>
      <family val="2"/>
    </font>
    <font>
      <u/>
      <sz val="11"/>
      <color theme="10"/>
      <name val="Calibri"/>
      <family val="2"/>
      <scheme val="minor"/>
    </font>
    <font>
      <b/>
      <sz val="14"/>
      <color theme="0"/>
      <name val="Times New Roman"/>
      <family val="1"/>
    </font>
    <font>
      <sz val="11"/>
      <color rgb="FF000000"/>
      <name val="Calibri"/>
      <family val="2"/>
    </font>
    <font>
      <b/>
      <sz val="11"/>
      <color theme="3"/>
      <name val="Times New Roman"/>
      <family val="1"/>
    </font>
    <font>
      <sz val="11"/>
      <color theme="3"/>
      <name val="Times New Roman"/>
      <family val="1"/>
    </font>
    <font>
      <b/>
      <u val="double"/>
      <sz val="11"/>
      <color theme="1"/>
      <name val="Times New Roman"/>
      <family val="1"/>
    </font>
    <font>
      <b/>
      <u val="double"/>
      <sz val="12"/>
      <color theme="1"/>
      <name val="Times New Roman"/>
      <family val="1"/>
    </font>
    <font>
      <u/>
      <sz val="11"/>
      <color theme="10"/>
      <name val="Calibri"/>
      <family val="2"/>
    </font>
    <font>
      <b/>
      <u val="double"/>
      <sz val="11"/>
      <color theme="1"/>
      <name val="Calibri"/>
      <family val="2"/>
    </font>
    <font>
      <sz val="14"/>
      <color theme="1"/>
      <name val="Old English Text MT"/>
      <family val="4"/>
    </font>
    <font>
      <b/>
      <i/>
      <sz val="11"/>
      <color rgb="FFC00000"/>
      <name val="Segoe UI Semibold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lgerian"/>
      <family val="5"/>
    </font>
    <font>
      <i/>
      <sz val="11"/>
      <color rgb="FFC00000"/>
      <name val="Segoe UI Semibold"/>
      <family val="2"/>
    </font>
    <font>
      <sz val="10"/>
      <color theme="1"/>
      <name val="Calibri"/>
      <family val="2"/>
      <scheme val="minor"/>
    </font>
    <font>
      <b/>
      <sz val="11"/>
      <color theme="3" tint="0.59999389629810485"/>
      <name val="Times New Roman"/>
      <family val="1"/>
    </font>
    <font>
      <sz val="11"/>
      <color theme="3" tint="0.59999389629810485"/>
      <name val="Calibri"/>
      <family val="2"/>
      <scheme val="minor"/>
    </font>
    <font>
      <b/>
      <u val="double"/>
      <sz val="14"/>
      <color theme="1"/>
      <name val="Times New Roman"/>
      <family val="1"/>
    </font>
    <font>
      <u/>
      <sz val="11"/>
      <color theme="3" tint="0.59999389629810485"/>
      <name val="Calibri"/>
      <family val="2"/>
      <scheme val="minor"/>
    </font>
    <font>
      <b/>
      <u val="double"/>
      <sz val="11"/>
      <color theme="3" tint="0.59999389629810485"/>
      <name val="Times New Roman"/>
      <family val="1"/>
    </font>
    <font>
      <b/>
      <sz val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 val="double"/>
      <sz val="22"/>
      <color theme="1"/>
      <name val="Times New Roman"/>
      <family val="1"/>
    </font>
    <font>
      <b/>
      <sz val="16"/>
      <color theme="1"/>
      <name val="Times New Roman"/>
      <family val="1"/>
    </font>
    <font>
      <b/>
      <u val="double"/>
      <sz val="16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</patternFill>
    </fill>
    <fill>
      <patternFill patternType="solid">
        <fgColor theme="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228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/>
    <xf numFmtId="0" fontId="2" fillId="0" borderId="0" xfId="0" applyFont="1" applyBorder="1"/>
    <xf numFmtId="0" fontId="2" fillId="0" borderId="0" xfId="0" applyFont="1"/>
    <xf numFmtId="0" fontId="1" fillId="0" borderId="0" xfId="0" applyFont="1"/>
    <xf numFmtId="0" fontId="2" fillId="2" borderId="0" xfId="0" applyFont="1" applyFill="1" applyBorder="1"/>
    <xf numFmtId="0" fontId="2" fillId="2" borderId="0" xfId="0" applyFont="1" applyFill="1"/>
    <xf numFmtId="0" fontId="2" fillId="2" borderId="4" xfId="0" applyFont="1" applyFill="1" applyBorder="1"/>
    <xf numFmtId="0" fontId="2" fillId="2" borderId="5" xfId="0" applyFont="1" applyFill="1" applyBorder="1"/>
    <xf numFmtId="0" fontId="0" fillId="2" borderId="0" xfId="0" applyFill="1"/>
    <xf numFmtId="0" fontId="1" fillId="0" borderId="0" xfId="0" applyFont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2" fillId="5" borderId="0" xfId="0" applyFont="1" applyFill="1"/>
    <xf numFmtId="0" fontId="3" fillId="5" borderId="0" xfId="0" applyFont="1" applyFill="1" applyAlignment="1"/>
    <xf numFmtId="0" fontId="2" fillId="5" borderId="0" xfId="0" applyFont="1" applyFill="1" applyBorder="1"/>
    <xf numFmtId="0" fontId="1" fillId="5" borderId="0" xfId="0" applyFont="1" applyFill="1"/>
    <xf numFmtId="0" fontId="7" fillId="5" borderId="0" xfId="0" applyFont="1" applyFill="1" applyBorder="1" applyAlignment="1"/>
    <xf numFmtId="0" fontId="0" fillId="5" borderId="0" xfId="0" applyFill="1"/>
    <xf numFmtId="0" fontId="10" fillId="6" borderId="0" xfId="3"/>
    <xf numFmtId="0" fontId="10" fillId="6" borderId="0" xfId="3" applyBorder="1"/>
    <xf numFmtId="0" fontId="14" fillId="5" borderId="0" xfId="4" applyFill="1" applyBorder="1"/>
    <xf numFmtId="0" fontId="14" fillId="2" borderId="0" xfId="4" applyFill="1" applyBorder="1"/>
    <xf numFmtId="0" fontId="14" fillId="2" borderId="0" xfId="4" applyFill="1"/>
    <xf numFmtId="0" fontId="0" fillId="0" borderId="8" xfId="0" applyFont="1" applyBorder="1"/>
    <xf numFmtId="0" fontId="7" fillId="2" borderId="0" xfId="0" applyFont="1" applyFill="1" applyBorder="1" applyAlignment="1">
      <alignment horizontal="center"/>
    </xf>
    <xf numFmtId="0" fontId="10" fillId="2" borderId="0" xfId="3" applyFill="1" applyBorder="1"/>
    <xf numFmtId="0" fontId="9" fillId="2" borderId="0" xfId="3" applyFont="1" applyFill="1" applyBorder="1" applyAlignment="1">
      <alignment horizontal="center"/>
    </xf>
    <xf numFmtId="0" fontId="10" fillId="2" borderId="0" xfId="3" applyFill="1" applyBorder="1" applyAlignment="1"/>
    <xf numFmtId="0" fontId="10" fillId="2" borderId="0" xfId="3" applyFill="1"/>
    <xf numFmtId="0" fontId="1" fillId="4" borderId="9" xfId="0" applyFont="1" applyFill="1" applyBorder="1" applyAlignment="1">
      <alignment horizontal="right"/>
    </xf>
    <xf numFmtId="0" fontId="1" fillId="4" borderId="9" xfId="0" applyFont="1" applyFill="1" applyBorder="1" applyAlignment="1">
      <alignment horizontal="right" wrapText="1"/>
    </xf>
    <xf numFmtId="0" fontId="1" fillId="4" borderId="11" xfId="0" applyFont="1" applyFill="1" applyBorder="1" applyAlignment="1">
      <alignment horizontal="right"/>
    </xf>
    <xf numFmtId="0" fontId="1" fillId="4" borderId="9" xfId="0" applyFont="1" applyFill="1" applyBorder="1" applyAlignment="1">
      <alignment horizontal="right" vertical="center"/>
    </xf>
    <xf numFmtId="0" fontId="1" fillId="4" borderId="17" xfId="0" applyFont="1" applyFill="1" applyBorder="1" applyAlignment="1">
      <alignment horizontal="right"/>
    </xf>
    <xf numFmtId="0" fontId="12" fillId="8" borderId="10" xfId="0" applyFont="1" applyFill="1" applyBorder="1" applyAlignment="1" applyProtection="1">
      <protection locked="0"/>
    </xf>
    <xf numFmtId="0" fontId="1" fillId="3" borderId="17" xfId="0" applyFont="1" applyFill="1" applyBorder="1"/>
    <xf numFmtId="0" fontId="1" fillId="4" borderId="19" xfId="0" applyFont="1" applyFill="1" applyBorder="1" applyAlignment="1">
      <alignment horizontal="right"/>
    </xf>
    <xf numFmtId="0" fontId="10" fillId="2" borderId="0" xfId="0" applyFont="1" applyFill="1"/>
    <xf numFmtId="0" fontId="14" fillId="5" borderId="0" xfId="4" applyFill="1"/>
    <xf numFmtId="0" fontId="2" fillId="0" borderId="0" xfId="0" applyFont="1" applyProtection="1">
      <protection locked="0"/>
    </xf>
    <xf numFmtId="0" fontId="2" fillId="0" borderId="0" xfId="0" applyFont="1" applyFill="1"/>
    <xf numFmtId="43" fontId="0" fillId="0" borderId="0" xfId="1" applyFont="1"/>
    <xf numFmtId="0" fontId="0" fillId="0" borderId="0" xfId="0" applyProtection="1">
      <protection locked="0"/>
    </xf>
    <xf numFmtId="0" fontId="2" fillId="5" borderId="0" xfId="0" applyFont="1" applyFill="1" applyAlignment="1">
      <alignment horizontal="right"/>
    </xf>
    <xf numFmtId="0" fontId="15" fillId="6" borderId="0" xfId="3" applyFont="1" applyBorder="1" applyAlignment="1">
      <alignment horizontal="center"/>
    </xf>
    <xf numFmtId="0" fontId="0" fillId="0" borderId="3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1" fillId="0" borderId="20" xfId="0" applyFont="1" applyBorder="1" applyAlignment="1">
      <alignment horizontal="center" vertical="center"/>
    </xf>
    <xf numFmtId="0" fontId="1" fillId="0" borderId="20" xfId="0" applyFont="1" applyBorder="1" applyAlignment="1">
      <alignment wrapText="1"/>
    </xf>
    <xf numFmtId="0" fontId="1" fillId="0" borderId="0" xfId="0" applyFont="1" applyFill="1"/>
    <xf numFmtId="0" fontId="1" fillId="0" borderId="1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5" fillId="6" borderId="0" xfId="3" applyFont="1" applyBorder="1" applyAlignment="1"/>
    <xf numFmtId="0" fontId="1" fillId="4" borderId="21" xfId="0" applyFont="1" applyFill="1" applyBorder="1" applyAlignment="1">
      <alignment horizontal="right"/>
    </xf>
    <xf numFmtId="0" fontId="1" fillId="4" borderId="3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center" vertical="center"/>
    </xf>
    <xf numFmtId="0" fontId="13" fillId="8" borderId="23" xfId="0" applyFont="1" applyFill="1" applyBorder="1" applyProtection="1">
      <protection locked="0"/>
    </xf>
    <xf numFmtId="0" fontId="13" fillId="8" borderId="24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horizontal="center"/>
    </xf>
    <xf numFmtId="0" fontId="19" fillId="5" borderId="0" xfId="0" applyFont="1" applyFill="1" applyBorder="1" applyAlignment="1">
      <alignment horizontal="right"/>
    </xf>
    <xf numFmtId="0" fontId="20" fillId="5" borderId="0" xfId="0" applyFont="1" applyFill="1" applyAlignment="1"/>
    <xf numFmtId="0" fontId="0" fillId="0" borderId="0" xfId="0" applyProtection="1"/>
    <xf numFmtId="0" fontId="1" fillId="4" borderId="9" xfId="0" applyFont="1" applyFill="1" applyBorder="1" applyAlignment="1">
      <alignment horizontal="right" vertical="center" wrapText="1"/>
    </xf>
    <xf numFmtId="0" fontId="0" fillId="0" borderId="0" xfId="1" applyNumberFormat="1" applyFont="1"/>
    <xf numFmtId="2" fontId="0" fillId="0" borderId="0" xfId="1" applyNumberFormat="1" applyFont="1"/>
    <xf numFmtId="0" fontId="24" fillId="8" borderId="10" xfId="0" applyFont="1" applyFill="1" applyBorder="1" applyAlignment="1" applyProtection="1">
      <alignment horizontal="center"/>
      <protection locked="0"/>
    </xf>
    <xf numFmtId="0" fontId="24" fillId="2" borderId="10" xfId="0" applyFont="1" applyFill="1" applyBorder="1" applyAlignment="1">
      <alignment horizontal="center"/>
    </xf>
    <xf numFmtId="0" fontId="24" fillId="2" borderId="10" xfId="0" applyFont="1" applyFill="1" applyBorder="1" applyAlignment="1">
      <alignment horizontal="center" vertical="center"/>
    </xf>
    <xf numFmtId="0" fontId="24" fillId="2" borderId="18" xfId="0" applyFont="1" applyFill="1" applyBorder="1" applyAlignment="1">
      <alignment horizontal="center"/>
    </xf>
    <xf numFmtId="0" fontId="2" fillId="0" borderId="0" xfId="0" applyFont="1" applyAlignment="1" applyProtection="1">
      <alignment horizontal="right"/>
      <protection locked="0"/>
    </xf>
    <xf numFmtId="0" fontId="17" fillId="0" borderId="0" xfId="0" applyFont="1" applyFill="1"/>
    <xf numFmtId="0" fontId="18" fillId="0" borderId="0" xfId="0" applyFont="1" applyFill="1"/>
    <xf numFmtId="0" fontId="25" fillId="5" borderId="0" xfId="0" applyFont="1" applyFill="1" applyAlignment="1">
      <alignment horizontal="right" vertical="center"/>
    </xf>
    <xf numFmtId="0" fontId="20" fillId="5" borderId="0" xfId="0" applyFont="1" applyFill="1" applyAlignment="1">
      <alignment horizontal="right"/>
    </xf>
    <xf numFmtId="0" fontId="1" fillId="7" borderId="7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right"/>
    </xf>
    <xf numFmtId="0" fontId="3" fillId="5" borderId="0" xfId="0" applyFont="1" applyFill="1" applyAlignment="1">
      <alignment horizontal="left"/>
    </xf>
    <xf numFmtId="0" fontId="1" fillId="0" borderId="0" xfId="0" applyFont="1" applyFill="1" applyBorder="1"/>
    <xf numFmtId="0" fontId="1" fillId="10" borderId="0" xfId="0" applyFont="1" applyFill="1" applyBorder="1"/>
    <xf numFmtId="0" fontId="1" fillId="7" borderId="31" xfId="0" applyFont="1" applyFill="1" applyBorder="1" applyAlignment="1">
      <alignment horizontal="center"/>
    </xf>
    <xf numFmtId="0" fontId="2" fillId="0" borderId="3" xfId="0" applyFont="1" applyBorder="1"/>
    <xf numFmtId="0" fontId="2" fillId="0" borderId="2" xfId="0" applyFont="1" applyBorder="1" applyProtection="1">
      <protection locked="0"/>
    </xf>
    <xf numFmtId="0" fontId="2" fillId="0" borderId="7" xfId="0" applyFont="1" applyBorder="1" applyProtection="1">
      <protection locked="0"/>
    </xf>
    <xf numFmtId="0" fontId="2" fillId="0" borderId="21" xfId="0" applyFont="1" applyBorder="1"/>
    <xf numFmtId="0" fontId="2" fillId="0" borderId="21" xfId="0" applyFont="1" applyBorder="1" applyProtection="1">
      <protection locked="0"/>
    </xf>
    <xf numFmtId="0" fontId="2" fillId="0" borderId="32" xfId="0" applyFont="1" applyBorder="1" applyProtection="1">
      <protection locked="0"/>
    </xf>
    <xf numFmtId="0" fontId="1" fillId="7" borderId="2" xfId="0" applyFont="1" applyFill="1" applyBorder="1" applyAlignment="1">
      <alignment horizontal="center"/>
    </xf>
    <xf numFmtId="0" fontId="24" fillId="8" borderId="2" xfId="0" applyFont="1" applyFill="1" applyBorder="1" applyAlignment="1" applyProtection="1">
      <alignment horizontal="center"/>
      <protection locked="0"/>
    </xf>
    <xf numFmtId="9" fontId="28" fillId="2" borderId="10" xfId="2" applyFont="1" applyFill="1" applyBorder="1" applyAlignment="1">
      <alignment horizontal="center"/>
    </xf>
    <xf numFmtId="9" fontId="28" fillId="2" borderId="16" xfId="2" applyFont="1" applyFill="1" applyBorder="1" applyAlignment="1">
      <alignment horizontal="center"/>
    </xf>
    <xf numFmtId="0" fontId="1" fillId="3" borderId="32" xfId="0" applyFont="1" applyFill="1" applyBorder="1"/>
    <xf numFmtId="0" fontId="12" fillId="2" borderId="2" xfId="0" applyFont="1" applyFill="1" applyBorder="1" applyAlignment="1">
      <alignment horizontal="center"/>
    </xf>
    <xf numFmtId="0" fontId="12" fillId="2" borderId="35" xfId="0" applyFont="1" applyFill="1" applyBorder="1" applyAlignment="1">
      <alignment horizontal="center" wrapText="1"/>
    </xf>
    <xf numFmtId="0" fontId="12" fillId="2" borderId="2" xfId="0" applyFont="1" applyFill="1" applyBorder="1" applyAlignment="1">
      <alignment horizontal="center" vertical="center"/>
    </xf>
    <xf numFmtId="0" fontId="12" fillId="2" borderId="36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right" wrapText="1"/>
    </xf>
    <xf numFmtId="0" fontId="1" fillId="4" borderId="22" xfId="0" applyFont="1" applyFill="1" applyBorder="1" applyAlignment="1">
      <alignment horizontal="right" vertical="center"/>
    </xf>
    <xf numFmtId="0" fontId="1" fillId="4" borderId="37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right"/>
    </xf>
    <xf numFmtId="0" fontId="26" fillId="0" borderId="0" xfId="0" applyFont="1"/>
    <xf numFmtId="0" fontId="3" fillId="5" borderId="33" xfId="0" applyFont="1" applyFill="1" applyBorder="1" applyAlignment="1">
      <alignment horizontal="right"/>
    </xf>
    <xf numFmtId="0" fontId="26" fillId="9" borderId="33" xfId="0" applyFont="1" applyFill="1" applyBorder="1" applyAlignment="1" applyProtection="1">
      <alignment horizontal="center"/>
      <protection locked="0"/>
    </xf>
    <xf numFmtId="0" fontId="26" fillId="5" borderId="38" xfId="0" applyFont="1" applyFill="1" applyBorder="1"/>
    <xf numFmtId="0" fontId="19" fillId="5" borderId="0" xfId="0" applyFont="1" applyFill="1"/>
    <xf numFmtId="0" fontId="19" fillId="5" borderId="0" xfId="0" applyFont="1" applyFill="1" applyAlignment="1">
      <alignment horizontal="center"/>
    </xf>
    <xf numFmtId="0" fontId="19" fillId="5" borderId="0" xfId="0" applyFont="1" applyFill="1" applyBorder="1" applyAlignment="1">
      <alignment horizontal="center"/>
    </xf>
    <xf numFmtId="0" fontId="0" fillId="0" borderId="0" xfId="0" applyNumberFormat="1" applyProtection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0" fontId="26" fillId="2" borderId="38" xfId="0" applyFont="1" applyFill="1" applyBorder="1"/>
    <xf numFmtId="0" fontId="0" fillId="2" borderId="0" xfId="0" applyFill="1" applyProtection="1">
      <protection locked="0"/>
    </xf>
    <xf numFmtId="0" fontId="26" fillId="2" borderId="0" xfId="0" applyFont="1" applyFill="1"/>
    <xf numFmtId="0" fontId="0" fillId="2" borderId="0" xfId="0" applyFill="1" applyProtection="1"/>
    <xf numFmtId="0" fontId="29" fillId="2" borderId="0" xfId="0" applyFont="1" applyFill="1" applyAlignment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0" xfId="0" applyFill="1" applyAlignment="1"/>
    <xf numFmtId="0" fontId="0" fillId="11" borderId="0" xfId="0" applyFill="1" applyProtection="1"/>
    <xf numFmtId="0" fontId="0" fillId="11" borderId="0" xfId="0" applyNumberFormat="1" applyFill="1" applyProtection="1"/>
    <xf numFmtId="4" fontId="0" fillId="0" borderId="0" xfId="0" applyNumberFormat="1"/>
    <xf numFmtId="164" fontId="0" fillId="11" borderId="0" xfId="0" applyNumberFormat="1" applyFill="1" applyProtection="1"/>
    <xf numFmtId="164" fontId="0" fillId="2" borderId="0" xfId="0" applyNumberFormat="1" applyFill="1" applyProtection="1">
      <protection locked="0"/>
    </xf>
    <xf numFmtId="164" fontId="0" fillId="2" borderId="0" xfId="0" applyNumberFormat="1" applyFill="1" applyAlignment="1" applyProtection="1">
      <protection locked="0"/>
    </xf>
    <xf numFmtId="4" fontId="0" fillId="0" borderId="0" xfId="0" applyNumberFormat="1" applyProtection="1">
      <protection locked="0"/>
    </xf>
    <xf numFmtId="4" fontId="0" fillId="0" borderId="0" xfId="0" applyNumberFormat="1" applyProtection="1"/>
    <xf numFmtId="0" fontId="30" fillId="5" borderId="0" xfId="0" applyFont="1" applyFill="1"/>
    <xf numFmtId="0" fontId="31" fillId="5" borderId="0" xfId="0" applyFont="1" applyFill="1"/>
    <xf numFmtId="43" fontId="0" fillId="0" borderId="0" xfId="0" applyNumberFormat="1"/>
    <xf numFmtId="164" fontId="0" fillId="0" borderId="0" xfId="0" applyNumberFormat="1"/>
    <xf numFmtId="165" fontId="24" fillId="2" borderId="12" xfId="0" applyNumberFormat="1" applyFont="1" applyFill="1" applyBorder="1" applyAlignment="1">
      <alignment horizontal="center"/>
    </xf>
    <xf numFmtId="165" fontId="24" fillId="2" borderId="16" xfId="0" applyNumberFormat="1" applyFont="1" applyFill="1" applyBorder="1" applyAlignment="1">
      <alignment horizontal="center" vertical="center"/>
    </xf>
    <xf numFmtId="166" fontId="28" fillId="2" borderId="10" xfId="1" applyNumberFormat="1" applyFont="1" applyFill="1" applyBorder="1" applyAlignment="1">
      <alignment horizontal="center"/>
    </xf>
    <xf numFmtId="4" fontId="26" fillId="2" borderId="33" xfId="0" applyNumberFormat="1" applyFont="1" applyFill="1" applyBorder="1"/>
    <xf numFmtId="164" fontId="0" fillId="11" borderId="0" xfId="0" applyNumberFormat="1" applyFill="1" applyBorder="1" applyProtection="1"/>
    <xf numFmtId="167" fontId="1" fillId="0" borderId="0" xfId="0" applyNumberFormat="1" applyFont="1" applyBorder="1" applyAlignment="1">
      <alignment vertical="center"/>
    </xf>
    <xf numFmtId="0" fontId="26" fillId="0" borderId="0" xfId="0" applyFont="1" applyProtection="1">
      <protection locked="0"/>
    </xf>
    <xf numFmtId="4" fontId="26" fillId="0" borderId="0" xfId="0" applyNumberFormat="1" applyFont="1" applyProtection="1">
      <protection locked="0"/>
    </xf>
    <xf numFmtId="168" fontId="29" fillId="2" borderId="0" xfId="0" applyNumberFormat="1" applyFont="1" applyFill="1" applyAlignment="1" applyProtection="1">
      <protection locked="0"/>
    </xf>
    <xf numFmtId="0" fontId="0" fillId="0" borderId="0" xfId="0" applyFont="1" applyFill="1"/>
    <xf numFmtId="0" fontId="0" fillId="2" borderId="0" xfId="0" applyFont="1" applyFill="1" applyAlignment="1" applyProtection="1">
      <protection locked="0"/>
    </xf>
    <xf numFmtId="0" fontId="29" fillId="2" borderId="0" xfId="0" applyFont="1" applyFill="1" applyAlignment="1" applyProtection="1"/>
    <xf numFmtId="0" fontId="26" fillId="3" borderId="0" xfId="0" applyFont="1" applyFill="1" applyProtection="1"/>
    <xf numFmtId="0" fontId="26" fillId="3" borderId="0" xfId="0" applyFont="1" applyFill="1" applyAlignment="1" applyProtection="1">
      <alignment horizontal="left"/>
    </xf>
    <xf numFmtId="164" fontId="26" fillId="3" borderId="0" xfId="0" applyNumberFormat="1" applyFont="1" applyFill="1" applyProtection="1"/>
    <xf numFmtId="164" fontId="0" fillId="3" borderId="0" xfId="0" applyNumberFormat="1" applyFill="1" applyProtection="1"/>
    <xf numFmtId="0" fontId="29" fillId="3" borderId="0" xfId="0" applyFont="1" applyFill="1" applyProtection="1"/>
    <xf numFmtId="0" fontId="0" fillId="3" borderId="0" xfId="0" applyFont="1" applyFill="1" applyProtection="1"/>
    <xf numFmtId="0" fontId="29" fillId="3" borderId="0" xfId="0" applyFont="1" applyFill="1" applyAlignment="1" applyProtection="1"/>
    <xf numFmtId="0" fontId="0" fillId="3" borderId="0" xfId="0" applyFill="1" applyAlignment="1" applyProtection="1"/>
    <xf numFmtId="164" fontId="0" fillId="3" borderId="0" xfId="0" applyNumberFormat="1" applyFill="1" applyAlignment="1" applyProtection="1"/>
    <xf numFmtId="0" fontId="33" fillId="5" borderId="0" xfId="4" applyFont="1" applyFill="1"/>
    <xf numFmtId="0" fontId="34" fillId="5" borderId="0" xfId="0" applyFont="1" applyFill="1" applyBorder="1" applyAlignment="1">
      <alignment horizontal="center"/>
    </xf>
    <xf numFmtId="0" fontId="32" fillId="5" borderId="0" xfId="0" applyFont="1" applyFill="1" applyAlignment="1"/>
    <xf numFmtId="0" fontId="36" fillId="0" borderId="0" xfId="0" applyFont="1" applyFill="1" applyBorder="1" applyProtection="1">
      <protection locked="0"/>
    </xf>
    <xf numFmtId="0" fontId="36" fillId="0" borderId="0" xfId="0" applyFont="1" applyProtection="1">
      <protection locked="0"/>
    </xf>
    <xf numFmtId="0" fontId="36" fillId="0" borderId="0" xfId="0" applyFont="1" applyFill="1" applyProtection="1">
      <protection locked="0"/>
    </xf>
    <xf numFmtId="0" fontId="26" fillId="9" borderId="39" xfId="0" applyFont="1" applyFill="1" applyBorder="1" applyAlignment="1" applyProtection="1">
      <alignment horizontal="center"/>
      <protection locked="0"/>
    </xf>
    <xf numFmtId="0" fontId="26" fillId="2" borderId="33" xfId="0" applyFont="1" applyFill="1" applyBorder="1"/>
    <xf numFmtId="0" fontId="35" fillId="5" borderId="33" xfId="0" applyFont="1" applyFill="1" applyBorder="1" applyAlignment="1">
      <alignment horizontal="right"/>
    </xf>
    <xf numFmtId="0" fontId="29" fillId="2" borderId="0" xfId="0" applyFont="1" applyFill="1" applyProtection="1">
      <protection locked="0"/>
    </xf>
    <xf numFmtId="9" fontId="0" fillId="0" borderId="0" xfId="2" applyFont="1"/>
    <xf numFmtId="164" fontId="26" fillId="5" borderId="33" xfId="0" applyNumberFormat="1" applyFont="1" applyFill="1" applyBorder="1"/>
    <xf numFmtId="0" fontId="37" fillId="2" borderId="0" xfId="0" applyFont="1" applyFill="1" applyAlignment="1"/>
    <xf numFmtId="0" fontId="37" fillId="2" borderId="0" xfId="0" applyFont="1" applyFill="1" applyAlignment="1">
      <alignment vertical="center"/>
    </xf>
    <xf numFmtId="0" fontId="2" fillId="0" borderId="0" xfId="0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2" fontId="2" fillId="0" borderId="0" xfId="0" applyNumberFormat="1" applyFont="1" applyBorder="1" applyProtection="1">
      <protection locked="0"/>
    </xf>
    <xf numFmtId="166" fontId="24" fillId="2" borderId="10" xfId="1" applyNumberFormat="1" applyFont="1" applyFill="1" applyBorder="1" applyAlignment="1">
      <alignment horizontal="center"/>
    </xf>
    <xf numFmtId="166" fontId="28" fillId="2" borderId="10" xfId="1" applyNumberFormat="1" applyFont="1" applyFill="1" applyBorder="1" applyAlignment="1">
      <alignment horizontal="center" vertical="center"/>
    </xf>
    <xf numFmtId="166" fontId="28" fillId="2" borderId="18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10" fillId="2" borderId="0" xfId="0" applyFont="1" applyFill="1" applyBorder="1"/>
    <xf numFmtId="0" fontId="9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26" fillId="2" borderId="0" xfId="0" applyFont="1" applyFill="1" applyBorder="1"/>
    <xf numFmtId="0" fontId="36" fillId="12" borderId="2" xfId="0" applyFont="1" applyFill="1" applyBorder="1" applyAlignment="1" applyProtection="1">
      <alignment horizontal="center"/>
    </xf>
    <xf numFmtId="0" fontId="36" fillId="0" borderId="2" xfId="0" applyFont="1" applyBorder="1" applyAlignment="1" applyProtection="1">
      <alignment horizontal="center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26" fillId="0" borderId="1" xfId="0" applyFont="1" applyFill="1" applyBorder="1"/>
    <xf numFmtId="0" fontId="26" fillId="0" borderId="1" xfId="0" applyFont="1" applyBorder="1"/>
    <xf numFmtId="0" fontId="0" fillId="0" borderId="0" xfId="0" applyFont="1" applyFill="1" applyBorder="1" applyProtection="1"/>
    <xf numFmtId="0" fontId="0" fillId="0" borderId="1" xfId="0" applyNumberFormat="1" applyFont="1" applyFill="1" applyBorder="1" applyProtection="1"/>
    <xf numFmtId="0" fontId="0" fillId="0" borderId="6" xfId="0" applyNumberFormat="1" applyFont="1" applyFill="1" applyBorder="1" applyProtection="1"/>
    <xf numFmtId="168" fontId="26" fillId="2" borderId="0" xfId="0" applyNumberFormat="1" applyFont="1" applyFill="1" applyProtection="1">
      <protection locked="0"/>
    </xf>
    <xf numFmtId="168" fontId="29" fillId="2" borderId="0" xfId="0" applyNumberFormat="1" applyFont="1" applyFill="1" applyProtection="1">
      <protection locked="0"/>
    </xf>
    <xf numFmtId="0" fontId="14" fillId="0" borderId="0" xfId="4"/>
    <xf numFmtId="0" fontId="26" fillId="3" borderId="0" xfId="0" applyFont="1" applyFill="1" applyProtection="1">
      <protection locked="0"/>
    </xf>
    <xf numFmtId="0" fontId="29" fillId="3" borderId="0" xfId="0" applyFont="1" applyFill="1" applyProtection="1">
      <protection locked="0"/>
    </xf>
    <xf numFmtId="0" fontId="29" fillId="3" borderId="0" xfId="0" applyFont="1" applyFill="1" applyAlignment="1" applyProtection="1">
      <protection locked="0"/>
    </xf>
    <xf numFmtId="0" fontId="36" fillId="12" borderId="0" xfId="0" applyFont="1" applyFill="1" applyBorder="1" applyProtection="1"/>
    <xf numFmtId="0" fontId="36" fillId="12" borderId="0" xfId="0" applyFont="1" applyFill="1" applyProtection="1"/>
    <xf numFmtId="0" fontId="27" fillId="2" borderId="25" xfId="0" applyFont="1" applyFill="1" applyBorder="1" applyAlignment="1">
      <alignment horizontal="center"/>
    </xf>
    <xf numFmtId="0" fontId="27" fillId="2" borderId="26" xfId="0" applyFont="1" applyFill="1" applyBorder="1" applyAlignment="1">
      <alignment horizontal="center"/>
    </xf>
    <xf numFmtId="0" fontId="27" fillId="2" borderId="27" xfId="0" applyFont="1" applyFill="1" applyBorder="1" applyAlignment="1">
      <alignment horizontal="center"/>
    </xf>
    <xf numFmtId="0" fontId="23" fillId="2" borderId="4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/>
    </xf>
    <xf numFmtId="0" fontId="23" fillId="2" borderId="28" xfId="0" applyFont="1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23" fillId="2" borderId="29" xfId="0" applyFont="1" applyFill="1" applyBorder="1" applyAlignment="1">
      <alignment horizontal="center"/>
    </xf>
    <xf numFmtId="0" fontId="23" fillId="2" borderId="30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15" fillId="6" borderId="0" xfId="3" applyFont="1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39" fillId="5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/>
    </xf>
    <xf numFmtId="0" fontId="38" fillId="13" borderId="32" xfId="0" applyFont="1" applyFill="1" applyBorder="1" applyAlignment="1">
      <alignment horizontal="center" vertical="center"/>
    </xf>
    <xf numFmtId="0" fontId="38" fillId="13" borderId="35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37" fillId="2" borderId="0" xfId="0" applyFont="1" applyFill="1" applyAlignment="1">
      <alignment horizontal="center"/>
    </xf>
    <xf numFmtId="0" fontId="37" fillId="2" borderId="0" xfId="0" applyFont="1" applyFill="1" applyAlignment="1">
      <alignment horizontal="left" vertical="center"/>
    </xf>
    <xf numFmtId="0" fontId="39" fillId="2" borderId="0" xfId="0" applyFont="1" applyFill="1" applyAlignment="1">
      <alignment horizontal="center" vertical="center"/>
    </xf>
  </cellXfs>
  <cellStyles count="5">
    <cellStyle name="Accent6" xfId="3" builtinId="49"/>
    <cellStyle name="Lien hypertexte" xfId="4" builtinId="8"/>
    <cellStyle name="Milliers" xfId="1" builtinId="3"/>
    <cellStyle name="Normal" xfId="0" builtinId="0"/>
    <cellStyle name="Pourcentage" xfId="2" builtinId="5"/>
  </cellStyles>
  <dxfs count="3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</font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/>
      </font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protection locked="0" hidden="0"/>
    </dxf>
    <dxf>
      <border outline="0">
        <top style="thin">
          <color indexed="64"/>
        </top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Times New Roman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4" formatCode="#,##0.00"/>
    </dxf>
    <dxf>
      <numFmt numFmtId="0" formatCode="General"/>
      <fill>
        <patternFill patternType="solid">
          <fgColor indexed="64"/>
          <bgColor theme="5" tint="0.79998168889431442"/>
        </patternFill>
      </fill>
      <protection locked="1" hidden="0"/>
    </dxf>
    <dxf>
      <fill>
        <patternFill patternType="solid">
          <fgColor indexed="64"/>
          <bgColor theme="5" tint="0.7999816888943144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numFmt numFmtId="164" formatCode="_(* #,##0.00_);_(* \(#,##0.00\);_(* &quot;-&quot;??_);_(@_)"/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/mm/yy;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>
          <fgColor indexed="64"/>
          <bgColor theme="0"/>
        </patternFill>
      </fill>
    </dxf>
    <dxf>
      <numFmt numFmtId="164" formatCode="_(* #,##0.00_);_(* \(#,##0.00\);_(* &quot;-&quot;??_);_(@_)"/>
      <fill>
        <patternFill patternType="solid">
          <fgColor indexed="64"/>
          <bgColor theme="5" tint="0.79998168889431442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4" formatCode="#,##0.00"/>
      <protection locked="1" hidden="0"/>
    </dxf>
    <dxf>
      <numFmt numFmtId="4" formatCode="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sz="14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Évolution des taux de recouvrement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691505025286475E-2"/>
          <c:y val="0.11058210328896906"/>
          <c:w val="0.94427403891586725"/>
          <c:h val="0.68106779960414476"/>
        </c:manualLayout>
      </c:layout>
      <c:lineChart>
        <c:grouping val="standard"/>
        <c:varyColors val="0"/>
        <c:ser>
          <c:idx val="0"/>
          <c:order val="0"/>
          <c:tx>
            <c:strRef>
              <c:f>Stockage!$O$2</c:f>
              <c:strCache>
                <c:ptCount val="1"/>
                <c:pt idx="0">
                  <c:v>TRB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Stockage!$H$3:$H$16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Stockage!$O$3:$O$16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606-42C6-B3A3-28A6FB2BBD52}"/>
            </c:ext>
          </c:extLst>
        </c:ser>
        <c:ser>
          <c:idx val="1"/>
          <c:order val="1"/>
          <c:tx>
            <c:strRef>
              <c:f>Stockage!$P$2</c:f>
              <c:strCache>
                <c:ptCount val="1"/>
                <c:pt idx="0">
                  <c:v>TRR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Stockage!$H$3:$H$16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Stockage!$P$3:$P$16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606-42C6-B3A3-28A6FB2BBD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327667424"/>
        <c:axId val="-1327664160"/>
      </c:lineChart>
      <c:catAx>
        <c:axId val="-132766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Année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7664160"/>
        <c:crosses val="autoZero"/>
        <c:auto val="1"/>
        <c:lblAlgn val="ctr"/>
        <c:lblOffset val="100"/>
        <c:noMultiLvlLbl val="0"/>
      </c:catAx>
      <c:valAx>
        <c:axId val="-1327664160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Pourcentage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-132766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>
                <a:latin typeface="Times New Roman" panose="02020603050405020304" pitchFamily="18" charset="0"/>
                <a:cs typeface="Times New Roman" panose="02020603050405020304" pitchFamily="18" charset="0"/>
              </a:rPr>
              <a:t>Rapport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Listes!$E$14</c:f>
              <c:strCache>
                <c:ptCount val="1"/>
                <c:pt idx="0">
                  <c:v>Entrée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Listes!$D$15:$D$28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Listes!$E$15:$E$28</c:f>
              <c:numCache>
                <c:formatCode>General</c:formatCode>
                <c:ptCount val="14"/>
                <c:pt idx="0">
                  <c:v>238770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99-417D-A9A6-A575CD7EA1AD}"/>
            </c:ext>
          </c:extLst>
        </c:ser>
        <c:ser>
          <c:idx val="1"/>
          <c:order val="1"/>
          <c:tx>
            <c:strRef>
              <c:f>Listes!$F$14</c:f>
              <c:strCache>
                <c:ptCount val="1"/>
                <c:pt idx="0">
                  <c:v>Sortie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Listes!$D$15:$D$28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Listes!$F$15:$F$28</c:f>
              <c:numCache>
                <c:formatCode>General</c:formatCode>
                <c:ptCount val="14"/>
                <c:pt idx="0">
                  <c:v>166900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99-417D-A9A6-A575CD7EA1AD}"/>
            </c:ext>
          </c:extLst>
        </c:ser>
        <c:ser>
          <c:idx val="2"/>
          <c:order val="2"/>
          <c:tx>
            <c:strRef>
              <c:f>Listes!$G$14</c:f>
              <c:strCache>
                <c:ptCount val="1"/>
                <c:pt idx="0">
                  <c:v>Solde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Listes!$D$15:$D$28</c:f>
              <c:numCache>
                <c:formatCode>General</c:formatCode>
                <c:ptCount val="1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</c:numCache>
            </c:numRef>
          </c:cat>
          <c:val>
            <c:numRef>
              <c:f>Listes!$G$15:$G$28</c:f>
              <c:numCache>
                <c:formatCode>General</c:formatCode>
                <c:ptCount val="14"/>
                <c:pt idx="0">
                  <c:v>71870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499-417D-A9A6-A575CD7EA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27669056"/>
        <c:axId val="-1327668512"/>
      </c:barChart>
      <c:catAx>
        <c:axId val="-1327669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Année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7668512"/>
        <c:crosses val="autoZero"/>
        <c:auto val="1"/>
        <c:lblAlgn val="ctr"/>
        <c:lblOffset val="100"/>
        <c:noMultiLvlLbl val="0"/>
      </c:catAx>
      <c:valAx>
        <c:axId val="-13276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montant (htg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276690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011119064662384"/>
          <c:y val="0.1725191270847993"/>
          <c:w val="6.0797900262467189E-2"/>
          <c:h val="0.16812066242901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Redevance!A1"/><Relationship Id="rId7" Type="http://schemas.openxmlformats.org/officeDocument/2006/relationships/image" Target="../media/image1.png"/><Relationship Id="rId2" Type="http://schemas.openxmlformats.org/officeDocument/2006/relationships/hyperlink" Target="#liste_des_abonn&#233;s!A1"/><Relationship Id="rId1" Type="http://schemas.openxmlformats.org/officeDocument/2006/relationships/hyperlink" Target="#Compt.!A1"/><Relationship Id="rId6" Type="http://schemas.openxmlformats.org/officeDocument/2006/relationships/hyperlink" Target="#Budget!A1"/><Relationship Id="rId11" Type="http://schemas.openxmlformats.org/officeDocument/2006/relationships/hyperlink" Target="#Listes!A1"/><Relationship Id="rId5" Type="http://schemas.openxmlformats.org/officeDocument/2006/relationships/hyperlink" Target="#COF!A1"/><Relationship Id="rId10" Type="http://schemas.openxmlformats.org/officeDocument/2006/relationships/hyperlink" Target="#Carte!A1"/><Relationship Id="rId4" Type="http://schemas.openxmlformats.org/officeDocument/2006/relationships/hyperlink" Target="#CE_et_liste_fontaines!A1"/><Relationship Id="rId9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4</xdr:row>
      <xdr:rowOff>123825</xdr:rowOff>
    </xdr:from>
    <xdr:to>
      <xdr:col>5</xdr:col>
      <xdr:colOff>66675</xdr:colOff>
      <xdr:row>19</xdr:row>
      <xdr:rowOff>95250</xdr:rowOff>
    </xdr:to>
    <xdr:sp macro="" textlink="">
      <xdr:nvSpPr>
        <xdr:cNvPr id="5" name="Rectangle 4"/>
        <xdr:cNvSpPr/>
      </xdr:nvSpPr>
      <xdr:spPr>
        <a:xfrm>
          <a:off x="57149" y="933450"/>
          <a:ext cx="2543176" cy="3448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1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029" sz="1100"/>
        </a:p>
      </xdr:txBody>
    </xdr:sp>
    <xdr:clientData/>
  </xdr:twoCellAnchor>
  <xdr:twoCellAnchor>
    <xdr:from>
      <xdr:col>0</xdr:col>
      <xdr:colOff>238126</xdr:colOff>
      <xdr:row>7</xdr:row>
      <xdr:rowOff>142875</xdr:rowOff>
    </xdr:from>
    <xdr:to>
      <xdr:col>2</xdr:col>
      <xdr:colOff>66675</xdr:colOff>
      <xdr:row>9</xdr:row>
      <xdr:rowOff>304800</xdr:rowOff>
    </xdr:to>
    <xdr:sp macro="" textlink="">
      <xdr:nvSpPr>
        <xdr:cNvPr id="6" name="Flowchart: Alternate Process 5">
          <a:hlinkClick xmlns:r="http://schemas.openxmlformats.org/officeDocument/2006/relationships" r:id="rId1"/>
        </xdr:cNvPr>
        <xdr:cNvSpPr/>
      </xdr:nvSpPr>
      <xdr:spPr>
        <a:xfrm>
          <a:off x="238126" y="1504950"/>
          <a:ext cx="942974" cy="600075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Compt.</a:t>
          </a:r>
        </a:p>
      </xdr:txBody>
    </xdr:sp>
    <xdr:clientData/>
  </xdr:twoCellAnchor>
  <xdr:twoCellAnchor>
    <xdr:from>
      <xdr:col>0</xdr:col>
      <xdr:colOff>247650</xdr:colOff>
      <xdr:row>10</xdr:row>
      <xdr:rowOff>133350</xdr:rowOff>
    </xdr:from>
    <xdr:to>
      <xdr:col>2</xdr:col>
      <xdr:colOff>66676</xdr:colOff>
      <xdr:row>13</xdr:row>
      <xdr:rowOff>76200</xdr:rowOff>
    </xdr:to>
    <xdr:sp macro="" textlink="">
      <xdr:nvSpPr>
        <xdr:cNvPr id="7" name="Flowchart: Alternate Process 6">
          <a:hlinkClick xmlns:r="http://schemas.openxmlformats.org/officeDocument/2006/relationships" r:id="rId2"/>
        </xdr:cNvPr>
        <xdr:cNvSpPr/>
      </xdr:nvSpPr>
      <xdr:spPr>
        <a:xfrm>
          <a:off x="247650" y="2295525"/>
          <a:ext cx="933451" cy="590550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Abonnés</a:t>
          </a:r>
        </a:p>
      </xdr:txBody>
    </xdr:sp>
    <xdr:clientData/>
  </xdr:twoCellAnchor>
  <xdr:twoCellAnchor>
    <xdr:from>
      <xdr:col>2</xdr:col>
      <xdr:colOff>342899</xdr:colOff>
      <xdr:row>10</xdr:row>
      <xdr:rowOff>133351</xdr:rowOff>
    </xdr:from>
    <xdr:to>
      <xdr:col>4</xdr:col>
      <xdr:colOff>209550</xdr:colOff>
      <xdr:row>13</xdr:row>
      <xdr:rowOff>57151</xdr:rowOff>
    </xdr:to>
    <xdr:sp macro="" textlink="">
      <xdr:nvSpPr>
        <xdr:cNvPr id="8" name="Flowchart: Alternate Process 7">
          <a:hlinkClick xmlns:r="http://schemas.openxmlformats.org/officeDocument/2006/relationships" r:id="rId3"/>
        </xdr:cNvPr>
        <xdr:cNvSpPr/>
      </xdr:nvSpPr>
      <xdr:spPr>
        <a:xfrm>
          <a:off x="1457324" y="2295526"/>
          <a:ext cx="952501" cy="571500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Redevance</a:t>
          </a:r>
        </a:p>
      </xdr:txBody>
    </xdr:sp>
    <xdr:clientData/>
  </xdr:twoCellAnchor>
  <xdr:twoCellAnchor>
    <xdr:from>
      <xdr:col>2</xdr:col>
      <xdr:colOff>361951</xdr:colOff>
      <xdr:row>14</xdr:row>
      <xdr:rowOff>57150</xdr:rowOff>
    </xdr:from>
    <xdr:to>
      <xdr:col>4</xdr:col>
      <xdr:colOff>228601</xdr:colOff>
      <xdr:row>16</xdr:row>
      <xdr:rowOff>57150</xdr:rowOff>
    </xdr:to>
    <xdr:sp macro="" textlink="">
      <xdr:nvSpPr>
        <xdr:cNvPr id="9" name="Flowchart: Alternate Process 8">
          <a:hlinkClick xmlns:r="http://schemas.openxmlformats.org/officeDocument/2006/relationships" r:id="rId4"/>
        </xdr:cNvPr>
        <xdr:cNvSpPr/>
      </xdr:nvSpPr>
      <xdr:spPr>
        <a:xfrm>
          <a:off x="1476376" y="3086100"/>
          <a:ext cx="952500" cy="590550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029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CE et liste fontaines</a:t>
          </a:r>
          <a:endParaRPr lang="en-029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238125</xdr:colOff>
      <xdr:row>16</xdr:row>
      <xdr:rowOff>200025</xdr:rowOff>
    </xdr:from>
    <xdr:to>
      <xdr:col>2</xdr:col>
      <xdr:colOff>104775</xdr:colOff>
      <xdr:row>19</xdr:row>
      <xdr:rowOff>38100</xdr:rowOff>
    </xdr:to>
    <xdr:sp macro="" textlink="">
      <xdr:nvSpPr>
        <xdr:cNvPr id="10" name="Flowchart: Alternate Process 9">
          <a:hlinkClick xmlns:r="http://schemas.openxmlformats.org/officeDocument/2006/relationships" r:id="rId5"/>
        </xdr:cNvPr>
        <xdr:cNvSpPr/>
      </xdr:nvSpPr>
      <xdr:spPr>
        <a:xfrm>
          <a:off x="238125" y="3819525"/>
          <a:ext cx="981075" cy="504825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COF</a:t>
          </a:r>
        </a:p>
      </xdr:txBody>
    </xdr:sp>
    <xdr:clientData/>
  </xdr:twoCellAnchor>
  <xdr:twoCellAnchor>
    <xdr:from>
      <xdr:col>1</xdr:col>
      <xdr:colOff>276225</xdr:colOff>
      <xdr:row>5</xdr:row>
      <xdr:rowOff>66675</xdr:rowOff>
    </xdr:from>
    <xdr:to>
      <xdr:col>3</xdr:col>
      <xdr:colOff>161925</xdr:colOff>
      <xdr:row>6</xdr:row>
      <xdr:rowOff>171450</xdr:rowOff>
    </xdr:to>
    <xdr:sp macro="" textlink="">
      <xdr:nvSpPr>
        <xdr:cNvPr id="2" name="TextBox 1"/>
        <xdr:cNvSpPr txBox="1"/>
      </xdr:nvSpPr>
      <xdr:spPr>
        <a:xfrm>
          <a:off x="666750" y="1009650"/>
          <a:ext cx="1266825" cy="295275"/>
        </a:xfrm>
        <a:prstGeom prst="rect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029" sz="1200" b="1" i="0"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2</xdr:col>
      <xdr:colOff>314325</xdr:colOff>
      <xdr:row>7</xdr:row>
      <xdr:rowOff>152400</xdr:rowOff>
    </xdr:from>
    <xdr:to>
      <xdr:col>4</xdr:col>
      <xdr:colOff>219075</xdr:colOff>
      <xdr:row>9</xdr:row>
      <xdr:rowOff>304800</xdr:rowOff>
    </xdr:to>
    <xdr:sp macro="" textlink="">
      <xdr:nvSpPr>
        <xdr:cNvPr id="4" name="Rounded Rectangle 3">
          <a:hlinkClick xmlns:r="http://schemas.openxmlformats.org/officeDocument/2006/relationships" r:id="rId6"/>
        </xdr:cNvPr>
        <xdr:cNvSpPr/>
      </xdr:nvSpPr>
      <xdr:spPr>
        <a:xfrm>
          <a:off x="1428750" y="1514475"/>
          <a:ext cx="990600" cy="5905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Budget</a:t>
          </a:r>
        </a:p>
      </xdr:txBody>
    </xdr:sp>
    <xdr:clientData/>
  </xdr:twoCellAnchor>
  <xdr:twoCellAnchor>
    <xdr:from>
      <xdr:col>8</xdr:col>
      <xdr:colOff>19051</xdr:colOff>
      <xdr:row>15</xdr:row>
      <xdr:rowOff>19051</xdr:rowOff>
    </xdr:from>
    <xdr:to>
      <xdr:col>8</xdr:col>
      <xdr:colOff>1048694</xdr:colOff>
      <xdr:row>17</xdr:row>
      <xdr:rowOff>190500</xdr:rowOff>
    </xdr:to>
    <xdr:pic>
      <xdr:nvPicPr>
        <xdr:cNvPr id="1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6" y="3267076"/>
          <a:ext cx="1029643" cy="809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533400</xdr:colOff>
      <xdr:row>15</xdr:row>
      <xdr:rowOff>19051</xdr:rowOff>
    </xdr:from>
    <xdr:to>
      <xdr:col>11</xdr:col>
      <xdr:colOff>1514475</xdr:colOff>
      <xdr:row>17</xdr:row>
      <xdr:rowOff>200026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44275" y="3267076"/>
          <a:ext cx="98107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1104900</xdr:colOff>
      <xdr:row>0</xdr:row>
      <xdr:rowOff>9524</xdr:rowOff>
    </xdr:from>
    <xdr:to>
      <xdr:col>12</xdr:col>
      <xdr:colOff>466725</xdr:colOff>
      <xdr:row>3</xdr:row>
      <xdr:rowOff>200025</xdr:rowOff>
    </xdr:to>
    <xdr:pic>
      <xdr:nvPicPr>
        <xdr:cNvPr id="1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9524"/>
          <a:ext cx="904875" cy="790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9525</xdr:colOff>
      <xdr:row>0</xdr:row>
      <xdr:rowOff>9525</xdr:rowOff>
    </xdr:from>
    <xdr:to>
      <xdr:col>1</xdr:col>
      <xdr:colOff>523875</xdr:colOff>
      <xdr:row>3</xdr:row>
      <xdr:rowOff>200025</xdr:rowOff>
    </xdr:to>
    <xdr:pic>
      <xdr:nvPicPr>
        <xdr:cNvPr id="1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9525"/>
          <a:ext cx="90487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352425</xdr:colOff>
      <xdr:row>16</xdr:row>
      <xdr:rowOff>209550</xdr:rowOff>
    </xdr:from>
    <xdr:to>
      <xdr:col>4</xdr:col>
      <xdr:colOff>247650</xdr:colOff>
      <xdr:row>19</xdr:row>
      <xdr:rowOff>38100</xdr:rowOff>
    </xdr:to>
    <xdr:sp macro="" textlink="">
      <xdr:nvSpPr>
        <xdr:cNvPr id="19" name="Flowchart: Alternate Process 9">
          <a:hlinkClick xmlns:r="http://schemas.openxmlformats.org/officeDocument/2006/relationships" r:id="rId10"/>
        </xdr:cNvPr>
        <xdr:cNvSpPr/>
      </xdr:nvSpPr>
      <xdr:spPr>
        <a:xfrm>
          <a:off x="1466850" y="3829050"/>
          <a:ext cx="981075" cy="495300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Carte</a:t>
          </a:r>
        </a:p>
      </xdr:txBody>
    </xdr:sp>
    <xdr:clientData/>
  </xdr:twoCellAnchor>
  <xdr:twoCellAnchor>
    <xdr:from>
      <xdr:col>0</xdr:col>
      <xdr:colOff>247650</xdr:colOff>
      <xdr:row>14</xdr:row>
      <xdr:rowOff>66675</xdr:rowOff>
    </xdr:from>
    <xdr:to>
      <xdr:col>2</xdr:col>
      <xdr:colOff>114300</xdr:colOff>
      <xdr:row>16</xdr:row>
      <xdr:rowOff>38100</xdr:rowOff>
    </xdr:to>
    <xdr:sp macro="" textlink="">
      <xdr:nvSpPr>
        <xdr:cNvPr id="16" name="Flowchart: Alternate Process 9">
          <a:hlinkClick xmlns:r="http://schemas.openxmlformats.org/officeDocument/2006/relationships" r:id="rId11"/>
        </xdr:cNvPr>
        <xdr:cNvSpPr/>
      </xdr:nvSpPr>
      <xdr:spPr>
        <a:xfrm>
          <a:off x="247650" y="3095625"/>
          <a:ext cx="981075" cy="561975"/>
        </a:xfrm>
        <a:prstGeom prst="flowChartAlternateProcess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029" sz="1200" b="1">
              <a:latin typeface="Times New Roman" panose="02020603050405020304" pitchFamily="18" charset="0"/>
              <a:cs typeface="Times New Roman" panose="02020603050405020304" pitchFamily="18" charset="0"/>
            </a:rPr>
            <a:t>Listes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190500</xdr:rowOff>
        </xdr:from>
        <xdr:to>
          <xdr:col>0</xdr:col>
          <xdr:colOff>1266825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104775</xdr:rowOff>
        </xdr:from>
        <xdr:to>
          <xdr:col>0</xdr:col>
          <xdr:colOff>1257300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28575</xdr:rowOff>
        </xdr:from>
        <xdr:to>
          <xdr:col>0</xdr:col>
          <xdr:colOff>1247775</xdr:colOff>
          <xdr:row>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85725</xdr:rowOff>
        </xdr:from>
        <xdr:to>
          <xdr:col>0</xdr:col>
          <xdr:colOff>1181100</xdr:colOff>
          <xdr:row>3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619126</xdr:colOff>
      <xdr:row>38</xdr:row>
      <xdr:rowOff>114299</xdr:rowOff>
    </xdr:from>
    <xdr:to>
      <xdr:col>12</xdr:col>
      <xdr:colOff>657226</xdr:colOff>
      <xdr:row>59</xdr:row>
      <xdr:rowOff>152400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609600</xdr:colOff>
      <xdr:row>65</xdr:row>
      <xdr:rowOff>23811</xdr:rowOff>
    </xdr:from>
    <xdr:to>
      <xdr:col>12</xdr:col>
      <xdr:colOff>609600</xdr:colOff>
      <xdr:row>85</xdr:row>
      <xdr:rowOff>38100</xdr:rowOff>
    </xdr:to>
    <xdr:graphicFrame macro="">
      <xdr:nvGraphicFramePr>
        <xdr:cNvPr id="4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G203" insertRowShift="1" totalsRowShown="0">
  <autoFilter ref="A2:G203"/>
  <tableColumns count="7">
    <tableColumn id="1" name="Nom fontaine" dataDxfId="324">
      <calculatedColumnFormula>IF(CE_et_liste_fontaines!#REF!="","",CE_et_liste_fontaines!#REF!)</calculatedColumnFormula>
    </tableColumn>
    <tableColumn id="2" name="Président" dataDxfId="323">
      <calculatedColumnFormula>VLOOKUP(G3,Info2!$A$2:$B$204,2,0)</calculatedColumnFormula>
    </tableColumn>
    <tableColumn id="3" name="Localité">
      <calculatedColumnFormula>CE_et_liste_fontaines!#REF!</calculatedColumnFormula>
    </tableColumn>
    <tableColumn id="4" name="Nombre d'abonnés desservis" dataDxfId="322">
      <calculatedColumnFormula>IF(A3="","",COUNTIF(liste_des_abonnés!$G$6:$G$1040995,A3))</calculatedColumnFormula>
    </tableColumn>
    <tableColumn id="12" name="fontaine">
      <calculatedColumnFormula>A3</calculatedColumnFormula>
    </tableColumn>
    <tableColumn id="13" name="Fonction" dataDxfId="321"/>
    <tableColumn id="14" name="Fontaine Fonction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D4:J70" totalsRowShown="0" headerRowDxfId="320" dataDxfId="319">
  <autoFilter ref="D4:J70"/>
  <tableColumns count="7">
    <tableColumn id="1" name="Rubrique" dataDxfId="318"/>
    <tableColumn id="5" name="Description" dataDxfId="317"/>
    <tableColumn id="6" name="Source" dataDxfId="316"/>
    <tableColumn id="7" name="Unité" dataDxfId="315"/>
    <tableColumn id="2" name="Qté" dataDxfId="314"/>
    <tableColumn id="3" name="Prix unitaire" dataDxfId="313"/>
    <tableColumn id="4" name="Prix total " dataDxfId="312">
      <calculatedColumnFormula>IF(Table4[[#This Row],[Rubrique]]="","",Table4[[#This Row],[Qté]]*Table4[[#This Row],[Prix unitaire]])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3" name="Table414" displayName="Table414" ref="L4:R70" totalsRowShown="0" headerRowDxfId="311" dataDxfId="310">
  <autoFilter ref="L4:R70"/>
  <tableColumns count="7">
    <tableColumn id="1" name="Rubrique" dataDxfId="309"/>
    <tableColumn id="5" name="Description" dataDxfId="308"/>
    <tableColumn id="6" name="Source" dataDxfId="307"/>
    <tableColumn id="7" name="Unité" dataDxfId="306"/>
    <tableColumn id="2" name="Qté" dataDxfId="305"/>
    <tableColumn id="3" name="Prix unitaire" dataDxfId="304"/>
    <tableColumn id="4" name="Prix total " dataDxfId="303">
      <calculatedColumnFormula>IF(Table414[[#This Row],[Rubrique]]="","",Table414[[#This Row],[Qté]]*Table414[[#This Row],[Prix unitaire]])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4" name="Table415" displayName="Table415" ref="T4:Z70" totalsRowShown="0" headerRowDxfId="302" dataDxfId="301">
  <autoFilter ref="T4:Z70"/>
  <tableColumns count="7">
    <tableColumn id="1" name="Rubrique" dataDxfId="300"/>
    <tableColumn id="5" name="Description" dataDxfId="299"/>
    <tableColumn id="6" name="Source" dataDxfId="298"/>
    <tableColumn id="7" name="Unité" dataDxfId="297"/>
    <tableColumn id="2" name="Qté" dataDxfId="296"/>
    <tableColumn id="3" name="Prix unitaire" dataDxfId="295"/>
    <tableColumn id="4" name="Prix total " dataDxfId="294">
      <calculatedColumnFormula>IF(Table415[[#This Row],[Rubrique]]="","",Table415[[#This Row],[Qté]]*Table415[[#This Row],[Prix unitaire]])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15" name="Table416" displayName="Table416" ref="AB4:AH70" totalsRowShown="0" headerRowDxfId="293" dataDxfId="292">
  <autoFilter ref="AB4:AH70"/>
  <tableColumns count="7">
    <tableColumn id="1" name="Rubrique" dataDxfId="291"/>
    <tableColumn id="5" name="Description" dataDxfId="290"/>
    <tableColumn id="6" name="Source" dataDxfId="289"/>
    <tableColumn id="7" name="Unité" dataDxfId="288"/>
    <tableColumn id="2" name="Qté" dataDxfId="287"/>
    <tableColumn id="3" name="Prix unitaire" dataDxfId="286"/>
    <tableColumn id="4" name="Prix total " dataDxfId="285">
      <calculatedColumnFormula>IF(Table416[[#This Row],[Rubrique]]="","",Table416[[#This Row],[Qté]]*Table416[[#This Row],[Prix unitaire]])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16" name="Table417" displayName="Table417" ref="AJ4:AP70" totalsRowShown="0" headerRowDxfId="284" dataDxfId="283">
  <autoFilter ref="AJ4:AP70"/>
  <tableColumns count="7">
    <tableColumn id="1" name="Rubrique" dataDxfId="282"/>
    <tableColumn id="5" name="Description" dataDxfId="281"/>
    <tableColumn id="6" name="Source" dataDxfId="280"/>
    <tableColumn id="7" name="Unité" dataDxfId="279"/>
    <tableColumn id="2" name="Qté" dataDxfId="278"/>
    <tableColumn id="3" name="Prix unitaire" dataDxfId="277"/>
    <tableColumn id="4" name="Prix total " dataDxfId="276">
      <calculatedColumnFormula>IF(Table417[[#This Row],[Rubrique]]="","",Table417[[#This Row],[Qté]]*Table417[[#This Row],[Prix unitaire]])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7" name="Table418" displayName="Table418" ref="AR4:AX70" totalsRowShown="0" headerRowDxfId="275" dataDxfId="274">
  <autoFilter ref="AR4:AX70"/>
  <tableColumns count="7">
    <tableColumn id="1" name="Rubrique" dataDxfId="273"/>
    <tableColumn id="5" name="Description" dataDxfId="272"/>
    <tableColumn id="6" name="Source" dataDxfId="271"/>
    <tableColumn id="7" name="Unité" dataDxfId="270"/>
    <tableColumn id="2" name="Qté" dataDxfId="269"/>
    <tableColumn id="3" name="Prix unitaire" dataDxfId="268"/>
    <tableColumn id="4" name="Prix total " dataDxfId="267">
      <calculatedColumnFormula>IF(Table418[[#This Row],[Rubrique]]="","",Table418[[#This Row],[Qté]]*Table418[[#This Row],[Prix unitaire]])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8" name="Table419" displayName="Table419" ref="AZ4:BF70" totalsRowShown="0" headerRowDxfId="266" dataDxfId="265">
  <autoFilter ref="AZ4:BF70"/>
  <tableColumns count="7">
    <tableColumn id="1" name="Rubrique" dataDxfId="264"/>
    <tableColumn id="5" name="Description" dataDxfId="263"/>
    <tableColumn id="6" name="Source" dataDxfId="262"/>
    <tableColumn id="7" name="Unité" dataDxfId="261"/>
    <tableColumn id="2" name="Qté" dataDxfId="260"/>
    <tableColumn id="3" name="Prix unitaire" dataDxfId="259"/>
    <tableColumn id="4" name="Prix total " dataDxfId="258">
      <calculatedColumnFormula>IF(Table419[[#This Row],[Rubrique]]="","",Table419[[#This Row],[Qté]]*Table419[[#This Row],[Prix unitaire]])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9" name="Table420" displayName="Table420" ref="BH4:BN70" totalsRowShown="0" headerRowDxfId="257" dataDxfId="256">
  <autoFilter ref="BH4:BN70"/>
  <tableColumns count="7">
    <tableColumn id="1" name="Rubrique" dataDxfId="255"/>
    <tableColumn id="5" name="Description" dataDxfId="254"/>
    <tableColumn id="6" name="Source" dataDxfId="253"/>
    <tableColumn id="7" name="Unité" dataDxfId="252"/>
    <tableColumn id="2" name="Qté" dataDxfId="251"/>
    <tableColumn id="3" name="Prix unitaire" dataDxfId="250"/>
    <tableColumn id="4" name="Prix total " dataDxfId="249">
      <calculatedColumnFormula>IF(Table420[[#This Row],[Rubrique]]="","",Table420[[#This Row],[Qté]]*Table420[[#This Row],[Prix unitaire]])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0" name="Table421" displayName="Table421" ref="BP4:BV70" totalsRowShown="0" headerRowDxfId="248" dataDxfId="247">
  <autoFilter ref="BP4:BV70"/>
  <tableColumns count="7">
    <tableColumn id="1" name="Rubrique" dataDxfId="246"/>
    <tableColumn id="5" name="Description" dataDxfId="245"/>
    <tableColumn id="6" name="Source" dataDxfId="244"/>
    <tableColumn id="7" name="Unité" dataDxfId="243"/>
    <tableColumn id="2" name="Qté" dataDxfId="242"/>
    <tableColumn id="3" name="Prix unitaire" dataDxfId="241"/>
    <tableColumn id="4" name="Prix total " dataDxfId="240">
      <calculatedColumnFormula>IF(Table421[[#This Row],[Rubrique]]="","",Table421[[#This Row],[Qté]]*Table421[[#This Row],[Prix unitaire]])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21" name="Table422" displayName="Table422" ref="BX4:CD70" totalsRowShown="0" headerRowDxfId="239" dataDxfId="238">
  <autoFilter ref="BX4:CD70"/>
  <tableColumns count="7">
    <tableColumn id="1" name="Rubrique" dataDxfId="237"/>
    <tableColumn id="5" name="Description" dataDxfId="236"/>
    <tableColumn id="6" name="Source" dataDxfId="235"/>
    <tableColumn id="7" name="Unité" dataDxfId="234"/>
    <tableColumn id="2" name="Qté" dataDxfId="233"/>
    <tableColumn id="3" name="Prix unitaire" dataDxfId="232"/>
    <tableColumn id="4" name="Prix total " dataDxfId="231">
      <calculatedColumnFormula>IF(Table422[[#This Row],[Rubrique]]="","",Table422[[#This Row],[Qté]]*Table422[[#This Row],[Prix unitaire]])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23" name="Table424" displayName="Table424" ref="CF4:CL70" totalsRowShown="0" headerRowDxfId="230" dataDxfId="229">
  <autoFilter ref="CF4:CL70"/>
  <tableColumns count="7">
    <tableColumn id="1" name="Rubrique" dataDxfId="228"/>
    <tableColumn id="5" name="Description" dataDxfId="227"/>
    <tableColumn id="6" name="Source" dataDxfId="226"/>
    <tableColumn id="7" name="Unité" dataDxfId="225"/>
    <tableColumn id="2" name="Qté" dataDxfId="224"/>
    <tableColumn id="3" name="Prix unitaire" dataDxfId="223"/>
    <tableColumn id="4" name="Prix total " dataDxfId="222">
      <calculatedColumnFormula>IF(Table424[[#This Row],[Rubrique]]="","",Table424[[#This Row],[Qté]]*Table424[[#This Row],[Prix unitaire]])</calculatedColumnFormula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4" name="Table425" displayName="Table425" ref="CN4:CT70" totalsRowShown="0" headerRowDxfId="221" dataDxfId="220">
  <autoFilter ref="CN4:CT70"/>
  <tableColumns count="7">
    <tableColumn id="1" name="Rubrique" dataDxfId="219"/>
    <tableColumn id="5" name="Description" dataDxfId="218"/>
    <tableColumn id="6" name="Source" dataDxfId="217"/>
    <tableColumn id="7" name="Unité" dataDxfId="216"/>
    <tableColumn id="2" name="Qté" dataDxfId="215"/>
    <tableColumn id="3" name="Prix unitaire" dataDxfId="214"/>
    <tableColumn id="4" name="Prix total " dataDxfId="213">
      <calculatedColumnFormula>IF(Table425[[#This Row],[Rubrique]]="","",Table425[[#This Row],[Qté]]*Table425[[#This Row],[Prix unitaire]])</calculatedColumnFormula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25" name="Table42526" displayName="Table42526" ref="CV4:DB70" totalsRowShown="0" headerRowDxfId="212" dataDxfId="211">
  <autoFilter ref="CV4:DB70"/>
  <tableColumns count="7">
    <tableColumn id="1" name="Rubrique" dataDxfId="210"/>
    <tableColumn id="5" name="Description" dataDxfId="209"/>
    <tableColumn id="6" name="Source" dataDxfId="208"/>
    <tableColumn id="7" name="Unité" dataDxfId="207"/>
    <tableColumn id="2" name="Qté" dataDxfId="206"/>
    <tableColumn id="3" name="Prix unitaire" dataDxfId="205"/>
    <tableColumn id="4" name="Prix total " dataDxfId="204">
      <calculatedColumnFormula>IF(Table42526[[#This Row],[Rubrique]]="","",Table42526[[#This Row],[Qté]]*Table42526[[#This Row],[Prix unitaire]])</calculatedColumn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26" name="Table42527" displayName="Table42527" ref="DD4:DJ70" totalsRowShown="0" headerRowDxfId="203" dataDxfId="202">
  <autoFilter ref="DD4:DJ70"/>
  <tableColumns count="7">
    <tableColumn id="1" name="Rubrique" dataDxfId="201"/>
    <tableColumn id="5" name="Description" dataDxfId="200"/>
    <tableColumn id="6" name="Source" dataDxfId="199"/>
    <tableColumn id="7" name="Unité" dataDxfId="198"/>
    <tableColumn id="2" name="Qté" dataDxfId="197"/>
    <tableColumn id="3" name="Prix unitaire" dataDxfId="196"/>
    <tableColumn id="4" name="Prix total " dataDxfId="195">
      <calculatedColumnFormula>IF(Table42527[[#This Row],[Rubrique]]="","",Table42527[[#This Row],[Qté]]*Table42527[[#This Row],[Prix unitaire]])</calculatedColumn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9" name="Tableau9" displayName="Tableau9" ref="A7:B69" totalsRowShown="0" headerRowDxfId="194" dataDxfId="193">
  <autoFilter ref="A7:B69"/>
  <tableColumns count="2">
    <tableColumn id="1" name="Liste des rubriques" dataDxfId="192">
      <calculatedColumnFormula>IF(Listes!A7="","",Listes!A7)</calculatedColumnFormula>
    </tableColumn>
    <tableColumn id="4" name="Montant disponible " dataDxfId="191">
      <calculatedColumnFormula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calculatedColumnFormula>
    </tableColumn>
  </tableColumns>
  <tableStyleInfo name="TableStyleLight17" showFirstColumn="0" showLastColumn="0" showRowStripes="1" showColumnStripes="0"/>
</table>
</file>

<file path=xl/tables/table17.xml><?xml version="1.0" encoding="utf-8"?>
<table xmlns="http://schemas.openxmlformats.org/spreadsheetml/2006/main" id="7" name="Table7" displayName="Table7" ref="D4:J100" totalsRowShown="0" headerRowDxfId="190" dataDxfId="189">
  <autoFilter ref="D4:J100"/>
  <tableColumns count="7">
    <tableColumn id="1" name="Rubrique" dataDxfId="188"/>
    <tableColumn id="7" name="Projet" dataDxfId="187"/>
    <tableColumn id="5" name="Date" dataDxfId="186"/>
    <tableColumn id="6" name="Description" dataDxfId="185"/>
    <tableColumn id="4" name="Origine du fond" dataDxfId="184"/>
    <tableColumn id="2" name="Entrée" dataDxfId="183">
      <calculatedColumnFormula>SUMIF(Redevance!F6:F1039996,D1,Redevance!G6:G1039996)</calculatedColumnFormula>
    </tableColumn>
    <tableColumn id="3" name="Sortie" dataDxfId="182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1" name="Tableau912" displayName="Tableau912" ref="A8:B70" totalsRowShown="0" headerRowDxfId="181" dataDxfId="180">
  <autoFilter ref="A8:B70"/>
  <tableColumns count="2">
    <tableColumn id="1" name="Liste des rubriques" dataDxfId="179">
      <calculatedColumnFormula>IF(Listes!A7="","",Listes!A7)</calculatedColumnFormula>
    </tableColumn>
    <tableColumn id="4" name="Dépenses" dataDxfId="178">
      <calculatedColumnFormula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calculatedColumnFormula>
    </tableColumn>
  </tableColumns>
  <tableStyleInfo name="TableStyleLight17" showFirstColumn="0" showLastColumn="0" showRowStripes="1" showColumnStripes="0"/>
</table>
</file>

<file path=xl/tables/table19.xml><?xml version="1.0" encoding="utf-8"?>
<table xmlns="http://schemas.openxmlformats.org/spreadsheetml/2006/main" id="40" name="Table741" displayName="Table741" ref="L4:R100" totalsRowShown="0" headerRowDxfId="177" dataDxfId="176">
  <autoFilter ref="L4:R100"/>
  <tableColumns count="7">
    <tableColumn id="1" name="Rubrique" dataDxfId="175"/>
    <tableColumn id="7" name="Projet" dataDxfId="174"/>
    <tableColumn id="5" name="Date" dataDxfId="173"/>
    <tableColumn id="6" name="Description" dataDxfId="172"/>
    <tableColumn id="4" name="Origine du fond" dataDxfId="171"/>
    <tableColumn id="2" name="Entrée" dataDxfId="170">
      <calculatedColumnFormula>SUMIF(Redevance!N6:N1039996,L1,Redevance!O6:O1039996)</calculatedColumnFormula>
    </tableColumn>
    <tableColumn id="3" name="Sortie" dataDxfId="169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42" name="Table743" displayName="Table743" ref="T4:Z100" totalsRowShown="0" headerRowDxfId="168" dataDxfId="167">
  <autoFilter ref="T4:Z100"/>
  <tableColumns count="7">
    <tableColumn id="1" name="Rubrique" dataDxfId="166"/>
    <tableColumn id="7" name="Projet" dataDxfId="165"/>
    <tableColumn id="5" name="Date" dataDxfId="164"/>
    <tableColumn id="6" name="Description" dataDxfId="163"/>
    <tableColumn id="4" name="Origine du fond" dataDxfId="162"/>
    <tableColumn id="2" name="Entrée" dataDxfId="161">
      <calculatedColumnFormula>SUMIF(Redevance!V6:V1039996,T1,Redevance!W6:W1039996)</calculatedColumnFormula>
    </tableColumn>
    <tableColumn id="3" name="Sortie" dataDxfId="160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44" name="Table745" displayName="Table745" ref="AB4:AH100" totalsRowShown="0" headerRowDxfId="159" dataDxfId="158">
  <autoFilter ref="AB4:AH100"/>
  <tableColumns count="7">
    <tableColumn id="1" name="Rubrique" dataDxfId="157"/>
    <tableColumn id="7" name="Projet" dataDxfId="156"/>
    <tableColumn id="5" name="Date" dataDxfId="155"/>
    <tableColumn id="6" name="Description" dataDxfId="154"/>
    <tableColumn id="4" name="Origine du fond" dataDxfId="153"/>
    <tableColumn id="2" name="Entrée" dataDxfId="152">
      <calculatedColumnFormula>SUMIF(Redevance!AD6:AD1039996,#REF!,Redevance!AE6:AE1039996)</calculatedColumnFormula>
    </tableColumn>
    <tableColumn id="3" name="Sortie" dataDxfId="151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45" name="Table746" displayName="Table746" ref="AJ4:AP100" totalsRowShown="0" headerRowDxfId="150" dataDxfId="149">
  <autoFilter ref="AJ4:AP100"/>
  <tableColumns count="7">
    <tableColumn id="1" name="Rubrique" dataDxfId="148"/>
    <tableColumn id="7" name="Projet" dataDxfId="147"/>
    <tableColumn id="5" name="Date" dataDxfId="146"/>
    <tableColumn id="6" name="Description" dataDxfId="145"/>
    <tableColumn id="4" name="Origine du fond" dataDxfId="144"/>
    <tableColumn id="2" name="Entrée" dataDxfId="143">
      <calculatedColumnFormula>SUMIF(Redevance!AL6:AL1039996,AJ1,Redevance!AM6:AM1039996)</calculatedColumnFormula>
    </tableColumn>
    <tableColumn id="3" name="Sortie" dataDxfId="142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48" name="Table749" displayName="Table749" ref="AR4:AX100" totalsRowShown="0" headerRowDxfId="141" dataDxfId="140">
  <autoFilter ref="AR4:AX100"/>
  <tableColumns count="7">
    <tableColumn id="1" name="Rubrique" dataDxfId="139"/>
    <tableColumn id="7" name="Projet" dataDxfId="138"/>
    <tableColumn id="5" name="Date" dataDxfId="137"/>
    <tableColumn id="6" name="Description" dataDxfId="136"/>
    <tableColumn id="4" name="Origine du fond" dataDxfId="135"/>
    <tableColumn id="2" name="Entrée" dataDxfId="134">
      <calculatedColumnFormula>SUMIF(Redevance!AT6:AT1039996,AR1,Redevance!AU6:AU1039996)</calculatedColumnFormula>
    </tableColumn>
    <tableColumn id="3" name="Sortie" dataDxfId="133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50" name="Table751" displayName="Table751" ref="AZ4:BF100" totalsRowShown="0" headerRowDxfId="132" dataDxfId="131">
  <autoFilter ref="AZ4:BF100"/>
  <tableColumns count="7">
    <tableColumn id="1" name="Rubrique" dataDxfId="130"/>
    <tableColumn id="7" name="Projet" dataDxfId="129"/>
    <tableColumn id="5" name="Date" dataDxfId="128"/>
    <tableColumn id="6" name="Description" dataDxfId="127"/>
    <tableColumn id="4" name="Origine du fond" dataDxfId="126"/>
    <tableColumn id="2" name="Entrée" dataDxfId="125">
      <calculatedColumnFormula>SUMIF(Redevance!BB6:BB1039996,AZ1,Redevance!BC6:BC1039996)</calculatedColumnFormula>
    </tableColumn>
    <tableColumn id="3" name="Sortie" dataDxfId="124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id="52" name="Table753" displayName="Table753" ref="BH4:BN100" totalsRowShown="0" headerRowDxfId="123" dataDxfId="122">
  <autoFilter ref="BH4:BN100"/>
  <tableColumns count="7">
    <tableColumn id="1" name="Rubrique" dataDxfId="121"/>
    <tableColumn id="7" name="Projet" dataDxfId="120"/>
    <tableColumn id="5" name="Date" dataDxfId="119"/>
    <tableColumn id="6" name="Description" dataDxfId="118"/>
    <tableColumn id="4" name="Origine du fond" dataDxfId="117"/>
    <tableColumn id="2" name="Entrée" dataDxfId="116">
      <calculatedColumnFormula>SUMIF(Redevance!BJ6:BJ1039996,BH1,Redevance!BK6:BK1039996)</calculatedColumnFormula>
    </tableColumn>
    <tableColumn id="3" name="Sortie" dataDxfId="115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id="54" name="Table755" displayName="Table755" ref="BP4:BV100" totalsRowShown="0" headerRowDxfId="114" dataDxfId="113">
  <autoFilter ref="BP4:BV100"/>
  <tableColumns count="7">
    <tableColumn id="1" name="Rubrique" dataDxfId="112"/>
    <tableColumn id="7" name="Projet" dataDxfId="111"/>
    <tableColumn id="5" name="Date" dataDxfId="110"/>
    <tableColumn id="6" name="Description" dataDxfId="109"/>
    <tableColumn id="4" name="Origine du fond" dataDxfId="108"/>
    <tableColumn id="2" name="Entrée" dataDxfId="107">
      <calculatedColumnFormula>SUMIF(Redevance!BR6:BR1039996,BP1,Redevance!BS6:BS1039996)</calculatedColumnFormula>
    </tableColumn>
    <tableColumn id="3" name="Sortie" dataDxfId="10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56" name="Table757" displayName="Table757" ref="BX4:CD100" totalsRowShown="0" headerRowDxfId="105" dataDxfId="104">
  <autoFilter ref="BX4:CD100"/>
  <tableColumns count="7">
    <tableColumn id="1" name="Rubrique" dataDxfId="103"/>
    <tableColumn id="7" name="Projet" dataDxfId="102"/>
    <tableColumn id="5" name="Date" dataDxfId="101"/>
    <tableColumn id="6" name="Description" dataDxfId="100"/>
    <tableColumn id="4" name="Origine du fond" dataDxfId="99"/>
    <tableColumn id="2" name="Entrée" dataDxfId="98">
      <calculatedColumnFormula>SUMIF(Redevance!BZ6:BZ1039996,BX1,Redevance!CA6:CA1039996)</calculatedColumnFormula>
    </tableColumn>
    <tableColumn id="3" name="Sortie" dataDxfId="97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58" name="Table759" displayName="Table759" ref="CF4:CL100" totalsRowShown="0" headerRowDxfId="96" dataDxfId="95">
  <autoFilter ref="CF4:CL100"/>
  <tableColumns count="7">
    <tableColumn id="1" name="Rubrique" dataDxfId="94"/>
    <tableColumn id="7" name="Projet" dataDxfId="93"/>
    <tableColumn id="5" name="Date" dataDxfId="92"/>
    <tableColumn id="6" name="Description" dataDxfId="91"/>
    <tableColumn id="4" name="Origine du fond" dataDxfId="90"/>
    <tableColumn id="2" name="Entrée" dataDxfId="89">
      <calculatedColumnFormula>SUMIF(Redevance!CH6:CH1039996,CF1,Redevance!CI6:CI1039996)</calculatedColumnFormula>
    </tableColumn>
    <tableColumn id="3" name="Sortie" dataDxfId="88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id="60" name="Table761" displayName="Table761" ref="CN4:CT100" totalsRowShown="0" headerRowDxfId="87" dataDxfId="86">
  <autoFilter ref="CN4:CT100"/>
  <tableColumns count="7">
    <tableColumn id="1" name="Rubrique" dataDxfId="85"/>
    <tableColumn id="7" name="Projet" dataDxfId="84"/>
    <tableColumn id="5" name="Date" dataDxfId="83"/>
    <tableColumn id="6" name="Description" dataDxfId="82"/>
    <tableColumn id="4" name="Origine du fond" dataDxfId="81"/>
    <tableColumn id="2" name="Entrée" dataDxfId="80">
      <calculatedColumnFormula>SUMIF(Redevance!CP6:CP1039996,CN1,Redevance!CQ6:CQ1039996)</calculatedColumnFormula>
    </tableColumn>
    <tableColumn id="3" name="Sortie" dataDxfId="79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id="62" name="Table763" displayName="Table763" ref="CV4:DB100" totalsRowShown="0" headerRowDxfId="78" dataDxfId="77">
  <autoFilter ref="CV4:DB100"/>
  <tableColumns count="7">
    <tableColumn id="1" name="Rubrique" dataDxfId="76"/>
    <tableColumn id="7" name="Projet" dataDxfId="75"/>
    <tableColumn id="5" name="Date" dataDxfId="74"/>
    <tableColumn id="6" name="Description" dataDxfId="73"/>
    <tableColumn id="4" name="Origine du fond" dataDxfId="72"/>
    <tableColumn id="2" name="Entrée" dataDxfId="71">
      <calculatedColumnFormula>SUMIF(Redevance!CX6:CX1039996,CV1,Redevance!CY6:CY1039996)</calculatedColumnFormula>
    </tableColumn>
    <tableColumn id="3" name="Sortie" dataDxfId="70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id="64" name="Table765" displayName="Table765" ref="DD4:DJ100" totalsRowShown="0" headerRowDxfId="69" dataDxfId="68">
  <autoFilter ref="DD4:DJ100"/>
  <tableColumns count="7">
    <tableColumn id="1" name="Rubrique" dataDxfId="67"/>
    <tableColumn id="7" name="Projet" dataDxfId="66"/>
    <tableColumn id="5" name="Date" dataDxfId="65"/>
    <tableColumn id="6" name="Description" dataDxfId="64"/>
    <tableColumn id="4" name="Origine du fond" dataDxfId="63"/>
    <tableColumn id="2" name="Entrée" dataDxfId="62">
      <calculatedColumnFormula>SUMIF(Redevance!DF6:DF1039996,DD1,Redevance!DG6:DG1039996)</calculatedColumnFormula>
    </tableColumn>
    <tableColumn id="3" name="Sortie" dataDxfId="61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" name="Table3" displayName="Table3" ref="H2:P16" totalsRowShown="0">
  <autoFilter ref="H2:P16"/>
  <tableColumns count="9">
    <tableColumn id="1" name="Année"/>
    <tableColumn id="2" name="Solde d'ouverture" dataDxfId="60"/>
    <tableColumn id="3" name="Montant collecté" dataDxfId="59">
      <calculatedColumnFormula>SUMIF(Redevance!$F$6:$F$1039998,Stockage!B2,Redevance!$G$6:$G$1039998)</calculatedColumnFormula>
    </tableColumn>
    <tableColumn id="4" name="Montant prévue" dataDxfId="58"/>
    <tableColumn id="5" name="Fond externe" dataDxfId="57"/>
    <tableColumn id="6" name="dépenses" dataDxfId="56"/>
    <tableColumn id="7" name="Solde de fermeture" dataDxfId="55"/>
    <tableColumn id="8" name="TRB" dataDxfId="54">
      <calculatedColumnFormula>IFERROR((J3/K3),0)</calculatedColumnFormula>
    </tableColumn>
    <tableColumn id="9" name="TRR" dataDxfId="53">
      <calculatedColumnFormula>(COUNTIF(Redevance!$F$6:$F$1039996,Table3[[#This Row],[Année]]))/(Acceuil!$H$10+Acceuil!$H$11)</calculatedColumnFormula>
    </tableColumn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id="8" name="Tableau8" displayName="Tableau8" ref="A1:B200" totalsRowShown="0" dataDxfId="52">
  <autoFilter ref="A1:B200"/>
  <tableColumns count="2">
    <tableColumn id="1" name="fontaine fonction" dataDxfId="51">
      <calculatedColumnFormula>CONCATENATE(COF!E6," ",COF!F6)</calculatedColumnFormula>
    </tableColumn>
    <tableColumn id="2" name="nom et prenom" dataDxfId="50">
      <calculatedColumnFormula>COF!B6</calculatedColumnFormula>
    </tableColumn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id="5" name="Table5" displayName="Table5" ref="A5:H1716" totalsRowShown="0" headerRowDxfId="48" dataDxfId="46" headerRowBorderDxfId="47" tableBorderDxfId="45">
  <autoFilter ref="A5:H1716"/>
  <sortState ref="A6:H1716">
    <sortCondition ref="B5:B1716"/>
  </sortState>
  <tableColumns count="8">
    <tableColumn id="1" name="No identification" dataDxfId="44"/>
    <tableColumn id="2" name="Nom et Prénom (chef du ménage)" dataDxfId="43"/>
    <tableColumn id="3" name="Sexe" dataDxfId="42"/>
    <tableColumn id="4" name="Adresse" dataDxfId="41"/>
    <tableColumn id="5" name="Nombre _x000a_de consommateur" dataDxfId="40"/>
    <tableColumn id="6" name="Point d'alimentation" dataDxfId="39"/>
    <tableColumn id="7" name="Nom Fontaine" dataDxfId="38"/>
    <tableColumn id="9" name="Téléphones" dataDxfId="37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id="6" name="Table6" displayName="Table6" ref="A5:G6" insertRow="1" totalsRowShown="0" headerRowDxfId="35" dataDxfId="34">
  <autoFilter ref="A5:G6"/>
  <tableColumns count="7">
    <tableColumn id="1" name="No identification" dataDxfId="33"/>
    <tableColumn id="2" name="Nom et prénom" dataDxfId="32"/>
    <tableColumn id="3" name="Adresse" dataDxfId="31"/>
    <tableColumn id="4" name="Point d'alimentation" dataDxfId="30"/>
    <tableColumn id="5" name="Nom fontaine" dataDxfId="29"/>
    <tableColumn id="6" name="Année" dataDxfId="28"/>
    <tableColumn id="7" name="Montant payé (HTG)" dataDxfId="27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id="30" name="Tableau30" displayName="Tableau30" ref="A6:B63" totalsRowShown="0" headerRowDxfId="26" dataDxfId="24" headerRowBorderDxfId="25">
  <autoFilter ref="A6:B63"/>
  <tableColumns count="2">
    <tableColumn id="1" name="Code" dataDxfId="23"/>
    <tableColumn id="2" name="Description de la rubrique" dataDxfId="22"/>
  </tableColumns>
  <tableStyleInfo name="TableStyleLight11" showFirstColumn="0" showLastColumn="0" showRowStripes="1" showColumnStripes="0"/>
</table>
</file>

<file path=xl/tables/table37.xml><?xml version="1.0" encoding="utf-8"?>
<table xmlns="http://schemas.openxmlformats.org/spreadsheetml/2006/main" id="2" name="Table2" displayName="Table2" ref="A5:F10" totalsRowShown="0" headerRowDxfId="21" dataDxfId="20" tableBorderDxfId="19">
  <autoFilter ref="A5:F10"/>
  <tableColumns count="6">
    <tableColumn id="1" name="CIN/NIF" dataDxfId="18"/>
    <tableColumn id="2" name="Nom et Prénom " dataDxfId="17"/>
    <tableColumn id="3" name="Sexe" dataDxfId="16"/>
    <tableColumn id="4" name="Fonction" dataDxfId="15"/>
    <tableColumn id="5" name="Téléphone" dataDxfId="14"/>
    <tableColumn id="6" name="E-mail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id="46" name="Tableau46" displayName="Tableau46" ref="G5:I83" totalsRowShown="0" tableBorderDxfId="13">
  <autoFilter ref="G5:I83"/>
  <sortState ref="G6:I83">
    <sortCondition ref="H5:H83"/>
  </sortState>
  <tableColumns count="3">
    <tableColumn id="1" name="No" dataDxfId="12"/>
    <tableColumn id="2" name="Liste des fontaines" dataDxfId="11"/>
    <tableColumn id="3" name="Localité" dataDxfId="10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id="28" name="Tableau28" displayName="Tableau28" ref="A5:H6" totalsRowShown="0" headerRowDxfId="9" dataDxfId="8">
  <autoFilter ref="A5:H6"/>
  <tableColumns count="8">
    <tableColumn id="1" name="CIN/NIF" dataDxfId="7"/>
    <tableColumn id="2" name="Nom et prénom" dataDxfId="6"/>
    <tableColumn id="3" name="Sexe" dataDxfId="5"/>
    <tableColumn id="4" name="No fontaine" dataDxfId="4"/>
    <tableColumn id="5" name="Nom fontaine" dataDxfId="3"/>
    <tableColumn id="6" name="Fonction" dataDxfId="2"/>
    <tableColumn id="7" name="Téléphone" dataDxfId="1"/>
    <tableColumn id="8" name="E-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5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table" Target="../tables/table3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hribon@hughus.net" TargetMode="External"/><Relationship Id="rId6" Type="http://schemas.openxmlformats.org/officeDocument/2006/relationships/table" Target="../tables/table37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39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5"/>
  <sheetViews>
    <sheetView showRowColHeaders="0" tabSelected="1" zoomScaleNormal="100" workbookViewId="0">
      <pane ySplit="23" topLeftCell="A24" activePane="bottomLeft" state="frozen"/>
      <selection pane="bottomLeft" activeCell="I21" sqref="I21"/>
    </sheetView>
  </sheetViews>
  <sheetFormatPr baseColWidth="10" defaultColWidth="9.140625" defaultRowHeight="15" x14ac:dyDescent="0.25"/>
  <cols>
    <col min="1" max="1" width="5.85546875" style="7" customWidth="1"/>
    <col min="2" max="2" width="10.85546875" style="7" customWidth="1"/>
    <col min="3" max="3" width="9.85546875" style="7" customWidth="1"/>
    <col min="4" max="4" width="6.42578125" style="7" customWidth="1"/>
    <col min="5" max="5" width="5" style="7" customWidth="1"/>
    <col min="6" max="6" width="2.28515625" style="7" customWidth="1"/>
    <col min="7" max="7" width="26.28515625" style="7" bestFit="1" customWidth="1"/>
    <col min="8" max="8" width="22.7109375" style="7" customWidth="1"/>
    <col min="9" max="9" width="33.7109375" style="7" customWidth="1"/>
    <col min="10" max="10" width="19" style="7" customWidth="1"/>
    <col min="11" max="11" width="19.85546875" style="7" bestFit="1" customWidth="1"/>
    <col min="12" max="12" width="23.140625" style="7" customWidth="1"/>
    <col min="13" max="13" width="15.42578125" style="7" customWidth="1"/>
    <col min="14" max="14" width="25.28515625" style="7" customWidth="1"/>
    <col min="15" max="15" width="9.140625" style="7"/>
    <col min="16" max="16" width="17.28515625" style="7" customWidth="1"/>
    <col min="17" max="17" width="29.28515625" style="7" bestFit="1" customWidth="1"/>
    <col min="18" max="16384" width="9.140625" style="7"/>
  </cols>
  <sheetData>
    <row r="1" spans="1:17" s="13" customFormat="1" ht="15.75" customHeight="1" x14ac:dyDescent="0.25">
      <c r="C1" s="18"/>
      <c r="D1" s="18"/>
      <c r="E1" s="209" t="s">
        <v>2011</v>
      </c>
      <c r="F1" s="209"/>
      <c r="G1" s="209"/>
      <c r="H1" s="209"/>
      <c r="I1" s="209"/>
      <c r="J1" s="209"/>
      <c r="K1" s="18"/>
      <c r="L1" s="18"/>
      <c r="M1" s="18"/>
      <c r="N1" s="18"/>
    </row>
    <row r="2" spans="1:17" s="13" customFormat="1" ht="15.75" customHeight="1" x14ac:dyDescent="0.25">
      <c r="C2" s="18"/>
      <c r="D2" s="18"/>
      <c r="E2" s="209" t="s">
        <v>31</v>
      </c>
      <c r="F2" s="209"/>
      <c r="G2" s="209"/>
      <c r="H2" s="209"/>
      <c r="I2" s="209"/>
      <c r="J2" s="209"/>
      <c r="K2" s="18"/>
      <c r="L2" s="18"/>
      <c r="M2" s="18"/>
      <c r="N2" s="18"/>
    </row>
    <row r="3" spans="1:17" s="13" customFormat="1" ht="15.75" customHeight="1" x14ac:dyDescent="0.25">
      <c r="B3" s="15"/>
      <c r="C3" s="18"/>
      <c r="D3" s="18"/>
      <c r="E3" s="209" t="s">
        <v>171</v>
      </c>
      <c r="F3" s="209"/>
      <c r="G3" s="209"/>
      <c r="H3" s="209"/>
      <c r="I3" s="209"/>
      <c r="J3" s="209"/>
      <c r="K3" s="18"/>
      <c r="L3" s="18"/>
      <c r="M3" s="18"/>
      <c r="N3" s="18"/>
    </row>
    <row r="4" spans="1:17" s="29" customFormat="1" ht="16.5" customHeight="1" x14ac:dyDescent="0.3">
      <c r="A4" s="20"/>
      <c r="B4" s="212" t="s">
        <v>68</v>
      </c>
      <c r="C4" s="212"/>
      <c r="D4" s="54"/>
      <c r="E4" s="54"/>
      <c r="F4" s="54"/>
      <c r="G4" s="54"/>
      <c r="H4" s="54"/>
      <c r="I4" s="45" t="s">
        <v>69</v>
      </c>
      <c r="J4" s="19"/>
      <c r="K4" s="54"/>
      <c r="L4" s="54"/>
      <c r="M4" s="54"/>
      <c r="N4" s="54"/>
      <c r="O4" s="20"/>
      <c r="P4" s="19"/>
      <c r="Q4" s="19"/>
    </row>
    <row r="5" spans="1:17" s="29" customFormat="1" ht="10.5" customHeight="1" thickBot="1" x14ac:dyDescent="0.3">
      <c r="A5" s="26"/>
      <c r="B5" s="27"/>
      <c r="C5" s="27"/>
      <c r="D5" s="27"/>
      <c r="E5" s="27"/>
      <c r="F5" s="27"/>
      <c r="G5" s="27"/>
      <c r="H5" s="27"/>
      <c r="I5" s="28"/>
      <c r="J5" s="27"/>
      <c r="K5" s="27"/>
      <c r="L5" s="27"/>
      <c r="M5" s="27"/>
      <c r="N5" s="27"/>
      <c r="O5" s="26"/>
    </row>
    <row r="6" spans="1:17" s="29" customFormat="1" ht="15.75" x14ac:dyDescent="0.25">
      <c r="A6" s="26"/>
      <c r="B6" s="27"/>
      <c r="C6" s="27"/>
      <c r="D6" s="27"/>
      <c r="E6" s="27"/>
      <c r="F6" s="27"/>
      <c r="G6" s="206" t="s">
        <v>24</v>
      </c>
      <c r="H6" s="207"/>
      <c r="I6" s="206" t="s">
        <v>54</v>
      </c>
      <c r="J6" s="208"/>
      <c r="K6" s="207" t="s">
        <v>70</v>
      </c>
      <c r="L6" s="208"/>
    </row>
    <row r="7" spans="1:17" s="29" customFormat="1" ht="17.25" x14ac:dyDescent="0.3">
      <c r="A7" s="26"/>
      <c r="B7" s="27"/>
      <c r="C7" s="27"/>
      <c r="D7" s="27"/>
      <c r="E7" s="27"/>
      <c r="F7" s="27"/>
      <c r="G7" s="36" t="s">
        <v>22</v>
      </c>
      <c r="H7" s="94" t="s">
        <v>23</v>
      </c>
      <c r="I7" s="30" t="s">
        <v>13</v>
      </c>
      <c r="J7" s="35">
        <v>2017</v>
      </c>
      <c r="K7" s="56" t="s">
        <v>59</v>
      </c>
      <c r="L7" s="67" t="s">
        <v>251</v>
      </c>
    </row>
    <row r="8" spans="1:17" s="29" customFormat="1" ht="17.25" x14ac:dyDescent="0.3">
      <c r="A8" s="26"/>
      <c r="B8" s="27"/>
      <c r="C8" s="27"/>
      <c r="D8" s="27"/>
      <c r="E8" s="27"/>
      <c r="F8" s="27"/>
      <c r="G8" s="30" t="s">
        <v>25</v>
      </c>
      <c r="H8" s="95">
        <f>COUNT(Table1[Nombre d''abonnés desservis])</f>
        <v>25</v>
      </c>
      <c r="I8" s="30" t="s">
        <v>38</v>
      </c>
      <c r="J8" s="172">
        <f>IFERROR(VLOOKUP(J7,Table3[],2,0)," ")</f>
        <v>45270</v>
      </c>
      <c r="K8" s="56" t="s">
        <v>0</v>
      </c>
      <c r="L8" s="68" t="str">
        <f>IF(L7="","",VLOOKUP(L7,liste_des_abonnés!B6:H1041001,2,0))</f>
        <v>F</v>
      </c>
    </row>
    <row r="9" spans="1:17" s="29" customFormat="1" ht="17.25" x14ac:dyDescent="0.3">
      <c r="A9" s="26"/>
      <c r="B9" s="27"/>
      <c r="C9" s="27"/>
      <c r="D9" s="27"/>
      <c r="E9" s="27"/>
      <c r="F9" s="27"/>
      <c r="G9" s="37" t="s">
        <v>16</v>
      </c>
      <c r="H9" s="96">
        <f>SUM(liste_des_abonnés!E6:E1041001)</f>
        <v>9410</v>
      </c>
      <c r="I9" s="33" t="s">
        <v>73</v>
      </c>
      <c r="J9" s="136">
        <f>IFERROR(VLOOKUP(J7,Stockage!H3:P16,3,0),"")</f>
        <v>0</v>
      </c>
      <c r="K9" s="56" t="s">
        <v>15</v>
      </c>
      <c r="L9" s="68" t="str">
        <f>IF(L7="","",VLOOKUP(L7,liste_des_abonnés!B6:H1041001,3,0))</f>
        <v>Vital</v>
      </c>
    </row>
    <row r="10" spans="1:17" s="29" customFormat="1" ht="28.5" customHeight="1" x14ac:dyDescent="0.25">
      <c r="A10" s="26"/>
      <c r="B10" s="27"/>
      <c r="C10" s="27"/>
      <c r="D10" s="27"/>
      <c r="E10" s="27"/>
      <c r="F10" s="27"/>
      <c r="G10" s="31" t="s">
        <v>21</v>
      </c>
      <c r="H10" s="97">
        <f>COUNTIF(liste_des_abonnés!F6:F1041001,"Fontaine publique")</f>
        <v>1639</v>
      </c>
      <c r="I10" s="31" t="s">
        <v>57</v>
      </c>
      <c r="J10" s="173">
        <f>VLOOKUP(J7,Table3[],4,0)</f>
        <v>1533500</v>
      </c>
      <c r="K10" s="100" t="s">
        <v>58</v>
      </c>
      <c r="L10" s="69">
        <f>IF(L7="","",VLOOKUP(L7,liste_des_abonnés!B6:H1041001,4,0))</f>
        <v>8</v>
      </c>
    </row>
    <row r="11" spans="1:17" s="29" customFormat="1" ht="18" thickBot="1" x14ac:dyDescent="0.35">
      <c r="A11" s="26"/>
      <c r="B11" s="27"/>
      <c r="C11" s="27"/>
      <c r="D11" s="27"/>
      <c r="E11" s="27"/>
      <c r="F11" s="27"/>
      <c r="G11" s="32" t="s">
        <v>14</v>
      </c>
      <c r="H11" s="98">
        <f>COUNTIF(liste_des_abonnés!F6:F1041001,"Prise privée")</f>
        <v>58</v>
      </c>
      <c r="I11" s="30" t="s">
        <v>39</v>
      </c>
      <c r="J11" s="136">
        <f>IFERROR(VLOOKUP(J7,Stockage!H3:P16,5,0),"")</f>
        <v>0</v>
      </c>
      <c r="K11" s="56" t="s">
        <v>4</v>
      </c>
      <c r="L11" s="68" t="str">
        <f>IF(L7="","",VLOOKUP(L7,liste_des_abonnés!B6:H1041001,5,0))</f>
        <v>Fontaine publique</v>
      </c>
    </row>
    <row r="12" spans="1:17" s="29" customFormat="1" ht="16.5" x14ac:dyDescent="0.3">
      <c r="A12" s="26"/>
      <c r="B12" s="27"/>
      <c r="C12" s="27"/>
      <c r="D12" s="27"/>
      <c r="E12" s="27"/>
      <c r="F12" s="27"/>
      <c r="G12" s="210" t="s">
        <v>27</v>
      </c>
      <c r="H12" s="211"/>
      <c r="I12" s="34" t="s">
        <v>40</v>
      </c>
      <c r="J12" s="174">
        <f>IFERROR(VLOOKUP(J7,Stockage!H3:P16,6,0),"")</f>
        <v>166900</v>
      </c>
      <c r="K12" s="55" t="s">
        <v>9</v>
      </c>
      <c r="L12" s="70" t="str">
        <f>IF(L7="","",VLOOKUP(L7,liste_des_abonnés!B6:H1041001,6,0))</f>
        <v>Bois Milot</v>
      </c>
    </row>
    <row r="13" spans="1:17" s="29" customFormat="1" ht="16.5" x14ac:dyDescent="0.3">
      <c r="A13" s="26"/>
      <c r="B13" s="27"/>
      <c r="C13" s="27"/>
      <c r="D13" s="27"/>
      <c r="E13" s="27"/>
      <c r="F13" s="27"/>
      <c r="G13" s="30" t="s">
        <v>9</v>
      </c>
      <c r="H13" s="91" t="s">
        <v>169</v>
      </c>
      <c r="I13" s="30" t="s">
        <v>63</v>
      </c>
      <c r="J13" s="136">
        <f>IFERROR(VLOOKUP(J7,Stockage!H3:P16,7,0),"")</f>
        <v>71870</v>
      </c>
      <c r="K13" s="56" t="s">
        <v>49</v>
      </c>
      <c r="L13" s="68">
        <f>IF(L7="","",VLOOKUP(L7,liste_des_abonnés!B6:H1041001,7,0))</f>
        <v>0</v>
      </c>
    </row>
    <row r="14" spans="1:17" s="29" customFormat="1" ht="17.25" thickBot="1" x14ac:dyDescent="0.35">
      <c r="A14" s="26"/>
      <c r="B14" s="27"/>
      <c r="C14" s="27"/>
      <c r="D14" s="27"/>
      <c r="E14" s="27"/>
      <c r="F14" s="27"/>
      <c r="G14" s="30" t="s">
        <v>42</v>
      </c>
      <c r="H14" s="99" t="str">
        <f>IFERROR(VLOOKUP(H13,Table1[[Nom fontaine]:[Nombre d''abonnés desservis]],2,0),"")</f>
        <v/>
      </c>
      <c r="I14" s="30" t="s">
        <v>65</v>
      </c>
      <c r="J14" s="92">
        <f>IFERROR(VLOOKUP(J7,Stockage!H3:P16,8,0),"")</f>
        <v>0</v>
      </c>
      <c r="K14" s="101" t="s">
        <v>37</v>
      </c>
      <c r="L14" s="135">
        <f>IF(OR(L7="",L15=""),"",SUMIFS(Redevance!G6:G1039994,Redevance!F6:F1039994,L15,Redevance!B6:B1039994,L7))</f>
        <v>0</v>
      </c>
    </row>
    <row r="15" spans="1:17" s="29" customFormat="1" ht="17.25" thickBot="1" x14ac:dyDescent="0.35">
      <c r="A15" s="26"/>
      <c r="B15" s="27"/>
      <c r="C15" s="27"/>
      <c r="D15" s="27"/>
      <c r="E15" s="27"/>
      <c r="F15" s="27"/>
      <c r="G15" s="30" t="s">
        <v>28</v>
      </c>
      <c r="H15" s="99" t="str">
        <f>IF(H13="","",VLOOKUP(H13,Table1[[Nom fontaine]:[Nombre d''abonnés desservis]],3,0))</f>
        <v>La Baie</v>
      </c>
      <c r="I15" s="103" t="s">
        <v>66</v>
      </c>
      <c r="J15" s="93">
        <f>IFERROR(VLOOKUP(J7,Stockage!H3:P16,9,0),"")</f>
        <v>0</v>
      </c>
      <c r="K15" s="102" t="s">
        <v>10</v>
      </c>
      <c r="L15" s="59">
        <v>2017</v>
      </c>
    </row>
    <row r="16" spans="1:17" s="29" customFormat="1" ht="29.25" customHeight="1" x14ac:dyDescent="0.3">
      <c r="A16" s="26"/>
      <c r="B16" s="27"/>
      <c r="C16" s="27"/>
      <c r="D16" s="27"/>
      <c r="E16" s="27"/>
      <c r="F16" s="27"/>
      <c r="G16" s="64" t="s">
        <v>29</v>
      </c>
      <c r="H16" s="69">
        <f>IF(H13="","",VLOOKUP(H13,Table1[[Nom fontaine]:[Nombre d''abonnés desservis]],4,0))</f>
        <v>57</v>
      </c>
      <c r="I16" s="197" t="s">
        <v>170</v>
      </c>
      <c r="J16" s="198"/>
      <c r="K16" s="198"/>
      <c r="L16" s="199"/>
    </row>
    <row r="17" spans="1:15" s="29" customFormat="1" ht="21" customHeight="1" thickBot="1" x14ac:dyDescent="0.35">
      <c r="A17" s="26"/>
      <c r="B17" s="27"/>
      <c r="C17" s="27"/>
      <c r="D17" s="27"/>
      <c r="E17" s="27"/>
      <c r="F17" s="27"/>
      <c r="G17" s="32" t="s">
        <v>36</v>
      </c>
      <c r="H17" s="134">
        <f>IF(OR(H13="",H18=""),"",SUMIFS(Redevance!G6:G1039994,Redevance!F6:F1039994,H18,Redevance!E6:E1039994,H13))</f>
        <v>0</v>
      </c>
      <c r="I17" s="200" t="s">
        <v>71</v>
      </c>
      <c r="J17" s="201"/>
      <c r="K17" s="201"/>
      <c r="L17" s="202"/>
    </row>
    <row r="18" spans="1:15" s="29" customFormat="1" ht="16.5" customHeight="1" thickBot="1" x14ac:dyDescent="0.35">
      <c r="A18" s="26"/>
      <c r="B18" s="27"/>
      <c r="C18" s="27"/>
      <c r="D18" s="27"/>
      <c r="E18" s="27"/>
      <c r="F18" s="27"/>
      <c r="G18" s="57" t="s">
        <v>10</v>
      </c>
      <c r="H18" s="58">
        <v>2017</v>
      </c>
      <c r="I18" s="203"/>
      <c r="J18" s="204"/>
      <c r="K18" s="204"/>
      <c r="L18" s="205"/>
    </row>
    <row r="19" spans="1:15" s="29" customFormat="1" x14ac:dyDescent="0.25">
      <c r="A19" s="26"/>
      <c r="B19" s="27"/>
      <c r="C19" s="27"/>
      <c r="D19" s="27"/>
      <c r="E19" s="27"/>
      <c r="F19" s="27"/>
      <c r="G19" s="27"/>
      <c r="H19" s="27"/>
      <c r="I19" s="28"/>
    </row>
    <row r="20" spans="1:15" s="29" customFormat="1" x14ac:dyDescent="0.25">
      <c r="A20" s="26"/>
      <c r="B20" s="27"/>
      <c r="C20" s="27"/>
      <c r="D20" s="27"/>
      <c r="E20" s="27"/>
      <c r="F20" s="27"/>
      <c r="G20" s="27"/>
      <c r="H20" s="27"/>
      <c r="I20" s="28"/>
    </row>
    <row r="21" spans="1:15" s="29" customFormat="1" x14ac:dyDescent="0.25">
      <c r="A21" s="26"/>
      <c r="B21" s="27"/>
      <c r="C21" s="27"/>
      <c r="D21" s="27"/>
      <c r="E21" s="27"/>
      <c r="F21" s="27"/>
      <c r="G21" s="27"/>
      <c r="H21" s="27"/>
      <c r="I21" s="28"/>
    </row>
    <row r="22" spans="1:15" s="29" customFormat="1" x14ac:dyDescent="0.25">
      <c r="A22" s="26"/>
      <c r="B22" s="27"/>
      <c r="C22" s="27"/>
      <c r="D22" s="27"/>
      <c r="E22" s="27"/>
      <c r="F22" s="27"/>
      <c r="G22" s="27"/>
      <c r="H22" s="27"/>
      <c r="I22" s="28"/>
      <c r="J22" s="27"/>
      <c r="K22" s="27"/>
      <c r="L22" s="27"/>
      <c r="M22" s="27"/>
      <c r="N22" s="27"/>
      <c r="O22" s="26"/>
    </row>
    <row r="23" spans="1:15" s="6" customFormat="1" ht="15.75" x14ac:dyDescent="0.25"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5" ht="10.5" customHeight="1" x14ac:dyDescent="0.25">
      <c r="A24" s="10"/>
      <c r="B24" s="6"/>
      <c r="C24" s="6"/>
      <c r="D24" s="6"/>
      <c r="E24" s="6"/>
      <c r="F24" s="6"/>
      <c r="G24" s="6"/>
      <c r="H24" s="6"/>
      <c r="I24" s="6"/>
      <c r="J24" s="12"/>
      <c r="K24" s="12"/>
      <c r="L24" s="12"/>
      <c r="M24" s="12"/>
      <c r="N24" s="12"/>
    </row>
    <row r="25" spans="1:15" x14ac:dyDescent="0.25">
      <c r="A25" s="8"/>
      <c r="B25" s="6"/>
      <c r="C25" s="6"/>
      <c r="D25" s="6"/>
      <c r="E25" s="6"/>
      <c r="F25" s="6"/>
      <c r="G25" s="6"/>
      <c r="H25" s="6"/>
      <c r="I25" s="6"/>
    </row>
    <row r="26" spans="1:15" x14ac:dyDescent="0.25">
      <c r="A26" s="8"/>
      <c r="B26" s="6"/>
      <c r="C26" s="6"/>
      <c r="D26" s="6"/>
      <c r="E26" s="6"/>
      <c r="F26" s="6"/>
      <c r="G26" s="6"/>
      <c r="H26" s="6"/>
      <c r="I26" s="6"/>
    </row>
    <row r="27" spans="1:15" x14ac:dyDescent="0.25">
      <c r="A27" s="8"/>
    </row>
    <row r="28" spans="1:15" x14ac:dyDescent="0.25">
      <c r="A28" s="8"/>
    </row>
    <row r="29" spans="1:15" x14ac:dyDescent="0.25">
      <c r="A29" s="8"/>
    </row>
    <row r="30" spans="1:15" ht="16.5" customHeight="1" x14ac:dyDescent="0.25">
      <c r="A30" s="8"/>
    </row>
    <row r="31" spans="1:15" ht="9" customHeight="1" x14ac:dyDescent="0.25">
      <c r="A31" s="8"/>
    </row>
    <row r="32" spans="1:15" x14ac:dyDescent="0.25">
      <c r="A32" s="8"/>
    </row>
    <row r="33" spans="1:17" x14ac:dyDescent="0.25">
      <c r="A33" s="8"/>
    </row>
    <row r="34" spans="1:17" x14ac:dyDescent="0.25">
      <c r="A34" s="8"/>
    </row>
    <row r="35" spans="1:17" x14ac:dyDescent="0.25">
      <c r="A35" s="8"/>
    </row>
    <row r="36" spans="1:17" x14ac:dyDescent="0.25">
      <c r="A36" s="8"/>
    </row>
    <row r="37" spans="1:17" x14ac:dyDescent="0.25">
      <c r="A37" s="8"/>
    </row>
    <row r="38" spans="1:17" x14ac:dyDescent="0.25">
      <c r="A38" s="8"/>
    </row>
    <row r="39" spans="1:17" x14ac:dyDescent="0.25">
      <c r="A39" s="8"/>
    </row>
    <row r="40" spans="1:17" x14ac:dyDescent="0.25">
      <c r="A40" s="8"/>
    </row>
    <row r="41" spans="1:17" x14ac:dyDescent="0.25">
      <c r="A41" s="8"/>
    </row>
    <row r="42" spans="1:17" x14ac:dyDescent="0.25">
      <c r="A42" s="8"/>
    </row>
    <row r="43" spans="1:17" x14ac:dyDescent="0.25">
      <c r="A43" s="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x14ac:dyDescent="0.25">
      <c r="A44" s="8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x14ac:dyDescent="0.25">
      <c r="A45" s="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1:17" x14ac:dyDescent="0.25">
      <c r="A46" s="8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1:17" x14ac:dyDescent="0.25">
      <c r="A47" s="8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1:17" x14ac:dyDescent="0.25">
      <c r="A48" s="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1:17" x14ac:dyDescent="0.25">
      <c r="A49" s="8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1:17" x14ac:dyDescent="0.25">
      <c r="A50" s="8"/>
      <c r="B50" s="6"/>
      <c r="C50" s="6"/>
      <c r="D50" s="6"/>
      <c r="E50" s="6"/>
      <c r="F50" s="6"/>
      <c r="G50" s="6"/>
      <c r="H50" s="6"/>
      <c r="I50" s="6"/>
    </row>
    <row r="51" spans="1:17" x14ac:dyDescent="0.25">
      <c r="A51" s="8"/>
      <c r="B51" s="6"/>
      <c r="C51" s="6"/>
      <c r="D51" s="6"/>
      <c r="E51" s="6"/>
      <c r="F51" s="6"/>
      <c r="G51" s="6"/>
      <c r="H51" s="6"/>
      <c r="I51" s="6"/>
    </row>
    <row r="52" spans="1:17" x14ac:dyDescent="0.25">
      <c r="A52" s="8"/>
      <c r="B52" s="6"/>
      <c r="C52" s="6"/>
      <c r="D52" s="6"/>
      <c r="E52" s="6"/>
      <c r="F52" s="6"/>
      <c r="G52" s="6"/>
      <c r="H52" s="6"/>
      <c r="I52" s="6"/>
    </row>
    <row r="53" spans="1:17" x14ac:dyDescent="0.25">
      <c r="A53" s="8"/>
      <c r="B53" s="6"/>
      <c r="C53" s="6"/>
      <c r="D53" s="6"/>
      <c r="E53" s="6"/>
      <c r="F53" s="6"/>
      <c r="G53" s="6"/>
      <c r="H53" s="6"/>
      <c r="I53" s="6"/>
    </row>
    <row r="54" spans="1:17" x14ac:dyDescent="0.25">
      <c r="A54" s="8"/>
      <c r="B54" s="6"/>
      <c r="C54" s="6"/>
      <c r="D54" s="6"/>
      <c r="E54" s="6"/>
      <c r="F54" s="6"/>
      <c r="G54" s="6"/>
      <c r="H54" s="6"/>
      <c r="I54" s="6"/>
    </row>
    <row r="55" spans="1:17" ht="15.75" thickBot="1" x14ac:dyDescent="0.3">
      <c r="A55" s="9"/>
      <c r="B55" s="6"/>
      <c r="C55" s="6"/>
      <c r="D55" s="6"/>
      <c r="E55" s="6"/>
      <c r="F55" s="6"/>
      <c r="G55" s="6"/>
      <c r="H55" s="6"/>
      <c r="I55" s="6"/>
    </row>
  </sheetData>
  <sheetProtection algorithmName="SHA-512" hashValue="GTy9VvH9p95q73q6JKyzCChu8qAVDMm/roQL1zUGcBbMjG2+prAV6FZmZP0KirDgTYACQkzs0KLwueGEaP00Uw==" saltValue="DZkyQTPGAWf3ZE3ioBks8g==" spinCount="100000" sheet="1" objects="1" scenarios="1"/>
  <dataConsolidate/>
  <mergeCells count="10">
    <mergeCell ref="E1:J1"/>
    <mergeCell ref="E2:J2"/>
    <mergeCell ref="E3:J3"/>
    <mergeCell ref="G12:H12"/>
    <mergeCell ref="B4:C4"/>
    <mergeCell ref="I16:L16"/>
    <mergeCell ref="I17:L18"/>
    <mergeCell ref="G6:H6"/>
    <mergeCell ref="I6:J6"/>
    <mergeCell ref="K6:L6"/>
  </mergeCells>
  <conditionalFormatting sqref="K12:L12">
    <cfRule type="expression" dxfId="325" priority="1">
      <formula>$L$11&lt;&gt;"Fontaine publique"</formula>
    </cfRule>
  </conditionalFormatting>
  <pageMargins left="0.7" right="0.7" top="0.75" bottom="0.75" header="0.3" footer="0.3"/>
  <pageSetup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052" yWindow="239" count="5">
        <x14:dataValidation type="list" allowBlank="1" showInputMessage="1" showErrorMessage="1" errorTitle="Erreur!!!" error="Veuillez choisir une année qui se trouve dans la liste!" promptTitle="Information" prompt="Choisir une année">
          <x14:formula1>
            <xm:f>Stockage!$B$2:$B$15</xm:f>
          </x14:formula1>
          <xm:sqref>L15</xm:sqref>
        </x14:dataValidation>
        <x14:dataValidation type="list" allowBlank="1" showInputMessage="1" showErrorMessage="1" errorTitle="Erreur!!!" error="Veuillez choisir une année qui se trouve dans la liste!" promptTitle="Information" prompt="Choisir une année">
          <x14:formula1>
            <xm:f>Stockage!$B$2:$B$15</xm:f>
          </x14:formula1>
          <xm:sqref>H18</xm:sqref>
        </x14:dataValidation>
        <x14:dataValidation type="list" allowBlank="1" showInputMessage="1" showErrorMessage="1" errorTitle="Erreur!!!" error="Veuillez choisir une année qui se trouve dans la liste!">
          <x14:formula1>
            <xm:f>Stockage!$H$3:$H$16</xm:f>
          </x14:formula1>
          <xm:sqref>J7</xm:sqref>
        </x14:dataValidation>
        <x14:dataValidation type="list" allowBlank="1" showInputMessage="1" showErrorMessage="1" errorTitle="Erreur!!" error="Désolé! ce nom n'existe pas dans la liste!" promptTitle="Information">
          <x14:formula1>
            <xm:f>liste_des_abonnés!$B$6:$B$1000994</xm:f>
          </x14:formula1>
          <xm:sqref>L7</xm:sqref>
        </x14:dataValidation>
        <x14:dataValidation type="list" allowBlank="1" showInputMessage="1" showErrorMessage="1" errorTitle="Erreur!!!" error="Désolé! ce nom n'existe pas dans la liste!" promptTitle="Information">
          <x14:formula1>
            <xm:f>'info fontaine'!$A$3:$A$74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03"/>
  <sheetViews>
    <sheetView workbookViewId="0">
      <pane ySplit="1" topLeftCell="A2" activePane="bottomLeft" state="frozen"/>
      <selection pane="bottomLeft" activeCell="D20" sqref="D20"/>
    </sheetView>
  </sheetViews>
  <sheetFormatPr baseColWidth="10" defaultColWidth="9.140625" defaultRowHeight="15" x14ac:dyDescent="0.25"/>
  <cols>
    <col min="1" max="1" width="15.42578125" customWidth="1"/>
    <col min="2" max="2" width="17.5703125" bestFit="1" customWidth="1"/>
    <col min="3" max="3" width="16.42578125" customWidth="1"/>
    <col min="4" max="4" width="28.7109375" customWidth="1"/>
    <col min="5" max="5" width="18.140625" customWidth="1"/>
    <col min="6" max="6" width="10" bestFit="1" customWidth="1"/>
    <col min="7" max="7" width="29.42578125" customWidth="1"/>
    <col min="8" max="8" width="18.28515625" bestFit="1" customWidth="1"/>
  </cols>
  <sheetData>
    <row r="1" spans="1:10" x14ac:dyDescent="0.25">
      <c r="B1" s="38" t="s">
        <v>19</v>
      </c>
    </row>
    <row r="2" spans="1:10" x14ac:dyDescent="0.25">
      <c r="A2" t="s">
        <v>9</v>
      </c>
      <c r="B2" t="s">
        <v>19</v>
      </c>
      <c r="C2" t="s">
        <v>28</v>
      </c>
      <c r="D2" t="s">
        <v>33</v>
      </c>
      <c r="E2" t="s">
        <v>35</v>
      </c>
      <c r="F2" t="s">
        <v>6</v>
      </c>
      <c r="G2" t="s">
        <v>44</v>
      </c>
      <c r="H2" s="42"/>
    </row>
    <row r="3" spans="1:10" x14ac:dyDescent="0.25">
      <c r="A3" s="4" t="str">
        <f>IF(CE_et_liste_fontaines!H6="","",CE_et_liste_fontaines!H6)</f>
        <v>Augustin</v>
      </c>
      <c r="B3" t="e">
        <f>VLOOKUP(G3,Info2!$A$2:$B$204,2,0)</f>
        <v>#N/A</v>
      </c>
      <c r="C3" t="str">
        <f>CE_et_liste_fontaines!I6</f>
        <v>Auguslin</v>
      </c>
      <c r="D3">
        <f>IF(A3="","",COUNTIF(liste_des_abonnés!$G$6:$G$1040995,A3))</f>
        <v>79</v>
      </c>
      <c r="E3" t="str">
        <f t="shared" ref="E3:E65" si="0">A3</f>
        <v>Augustin</v>
      </c>
      <c r="F3" s="24" t="s">
        <v>43</v>
      </c>
      <c r="G3" t="str">
        <f t="shared" ref="G3:G65" si="1">E3&amp;F3</f>
        <v>Augustin Président</v>
      </c>
      <c r="I3" s="43"/>
      <c r="J3">
        <f>SUM(D3:D13)</f>
        <v>562</v>
      </c>
    </row>
    <row r="4" spans="1:10" x14ac:dyDescent="0.25">
      <c r="A4" s="4" t="str">
        <f>IF(CE_et_liste_fontaines!H7="","",CE_et_liste_fontaines!H7)</f>
        <v>Bois Milot</v>
      </c>
      <c r="B4" t="e">
        <f>VLOOKUP(G4,Info2!$A$2:$B$204,2,0)</f>
        <v>#N/A</v>
      </c>
      <c r="C4" t="str">
        <f>CE_et_liste_fontaines!I7</f>
        <v>Bois Milot</v>
      </c>
      <c r="D4">
        <f>IF(A4="","",COUNTIF(liste_des_abonnés!$G$6:$G$1040995,A4))</f>
        <v>37</v>
      </c>
      <c r="E4" t="str">
        <f t="shared" si="0"/>
        <v>Bois Milot</v>
      </c>
      <c r="F4" s="24" t="s">
        <v>43</v>
      </c>
      <c r="G4" t="str">
        <f t="shared" si="1"/>
        <v>Bois Milot Président</v>
      </c>
    </row>
    <row r="5" spans="1:10" x14ac:dyDescent="0.25">
      <c r="A5" s="4" t="str">
        <f>IF(CE_et_liste_fontaines!H8="","",CE_et_liste_fontaines!H8)</f>
        <v>Bouvard</v>
      </c>
      <c r="B5" t="e">
        <f>VLOOKUP(G5,Info2!$A$2:$B$204,2,0)</f>
        <v>#N/A</v>
      </c>
      <c r="C5" t="str">
        <f>CE_et_liste_fontaines!I8</f>
        <v>Bouvard</v>
      </c>
      <c r="D5">
        <f>IF(A5="","",COUNTIF(liste_des_abonnés!$G$6:$G$1040995,A5))</f>
        <v>2</v>
      </c>
      <c r="E5" t="str">
        <f t="shared" si="0"/>
        <v>Bouvard</v>
      </c>
      <c r="F5" s="24" t="s">
        <v>43</v>
      </c>
      <c r="G5" t="str">
        <f t="shared" si="1"/>
        <v>Bouvard Président</v>
      </c>
    </row>
    <row r="6" spans="1:10" x14ac:dyDescent="0.25">
      <c r="A6" s="4" t="str">
        <f>IF(CE_et_liste_fontaines!H9="","",CE_et_liste_fontaines!H9)</f>
        <v>Cadace</v>
      </c>
      <c r="B6" t="e">
        <f>VLOOKUP(G6,Info2!$A$2:$B$204,2,0)</f>
        <v>#N/A</v>
      </c>
      <c r="C6" t="str">
        <f>CE_et_liste_fontaines!I9</f>
        <v>Cadace</v>
      </c>
      <c r="D6">
        <f>IF(A6="","",COUNTIF(liste_des_abonnés!$G$6:$G$1040995,A6))</f>
        <v>54</v>
      </c>
      <c r="E6" t="str">
        <f t="shared" si="0"/>
        <v>Cadace</v>
      </c>
      <c r="F6" s="24" t="s">
        <v>43</v>
      </c>
      <c r="G6" t="str">
        <f t="shared" si="1"/>
        <v>Cadace Président</v>
      </c>
    </row>
    <row r="7" spans="1:10" x14ac:dyDescent="0.25">
      <c r="A7" s="4" t="str">
        <f>IF(CE_et_liste_fontaines!H10="","",CE_et_liste_fontaines!H10)</f>
        <v>Caporale</v>
      </c>
      <c r="B7" t="e">
        <f>VLOOKUP(G7,Info2!$A$2:$B$204,2,0)</f>
        <v>#N/A</v>
      </c>
      <c r="C7" t="str">
        <f>CE_et_liste_fontaines!I10</f>
        <v>Caporale</v>
      </c>
      <c r="D7">
        <f>IF(A7="","",COUNTIF(liste_des_abonnés!$G$6:$G$1040995,A7))</f>
        <v>40</v>
      </c>
      <c r="E7" t="str">
        <f t="shared" si="0"/>
        <v>Caporale</v>
      </c>
      <c r="F7" s="24" t="s">
        <v>43</v>
      </c>
      <c r="G7" t="str">
        <f t="shared" si="1"/>
        <v>Caporale Président</v>
      </c>
    </row>
    <row r="8" spans="1:10" x14ac:dyDescent="0.25">
      <c r="A8" s="4" t="str">
        <f>IF(CE_et_liste_fontaines!H11="","",CE_et_liste_fontaines!H11)</f>
        <v>Eau Salée</v>
      </c>
      <c r="B8" t="e">
        <f>VLOOKUP(G8,Info2!$A$2:$B$204,2,0)</f>
        <v>#N/A</v>
      </c>
      <c r="C8" t="str">
        <f>CE_et_liste_fontaines!I11</f>
        <v>Eau Salée</v>
      </c>
      <c r="D8">
        <f>IF(A8="","",COUNTIF(liste_des_abonnés!$G$6:$G$1040995,A8))</f>
        <v>22</v>
      </c>
      <c r="E8" t="str">
        <f t="shared" si="0"/>
        <v>Eau Salée</v>
      </c>
      <c r="F8" s="24" t="s">
        <v>43</v>
      </c>
      <c r="G8" t="str">
        <f t="shared" si="1"/>
        <v>Eau Salée Président</v>
      </c>
    </row>
    <row r="9" spans="1:10" x14ac:dyDescent="0.25">
      <c r="A9" s="4" t="str">
        <f>IF(CE_et_liste_fontaines!H12="","",CE_et_liste_fontaines!H12)</f>
        <v>Ecole Nationale</v>
      </c>
      <c r="B9" t="e">
        <f>VLOOKUP(G9,Info2!$A$2:$B$204,2,0)</f>
        <v>#N/A</v>
      </c>
      <c r="C9" t="str">
        <f>CE_et_liste_fontaines!I12</f>
        <v>La Baie</v>
      </c>
      <c r="D9">
        <f>IF(A9="","",COUNTIF(liste_des_abonnés!$G$6:$G$1040995,A9))</f>
        <v>57</v>
      </c>
      <c r="E9" t="str">
        <f t="shared" si="0"/>
        <v>Ecole Nationale</v>
      </c>
      <c r="F9" s="24" t="s">
        <v>43</v>
      </c>
      <c r="G9" t="str">
        <f t="shared" si="1"/>
        <v>Ecole Nationale Président</v>
      </c>
    </row>
    <row r="10" spans="1:10" x14ac:dyDescent="0.25">
      <c r="A10" s="4" t="str">
        <f>IF(CE_et_liste_fontaines!H13="","",CE_et_liste_fontaines!H13)</f>
        <v>Fond boulé</v>
      </c>
      <c r="B10" t="e">
        <f>VLOOKUP(G10,Info2!$A$2:$B$204,2,0)</f>
        <v>#N/A</v>
      </c>
      <c r="C10" t="str">
        <f>CE_et_liste_fontaines!I13</f>
        <v>Fond Boulé</v>
      </c>
      <c r="D10">
        <f>IF(A10="","",COUNTIF(liste_des_abonnés!$G$6:$G$1040995,A10))</f>
        <v>54</v>
      </c>
      <c r="E10" t="str">
        <f t="shared" si="0"/>
        <v>Fond boulé</v>
      </c>
      <c r="F10" s="24" t="s">
        <v>43</v>
      </c>
      <c r="G10" t="str">
        <f t="shared" si="1"/>
        <v>Fond boulé Président</v>
      </c>
    </row>
    <row r="11" spans="1:10" x14ac:dyDescent="0.25">
      <c r="A11" s="4" t="str">
        <f>IF(CE_et_liste_fontaines!H14="","",CE_et_liste_fontaines!H14)</f>
        <v>Fossé</v>
      </c>
      <c r="B11" t="e">
        <f>VLOOKUP(G11,Info2!$A$2:$B$204,2,0)</f>
        <v>#N/A</v>
      </c>
      <c r="C11" t="str">
        <f>CE_et_liste_fontaines!I14</f>
        <v>Fossé</v>
      </c>
      <c r="D11">
        <f>IF(A11="","",COUNTIF(liste_des_abonnés!$G$6:$G$1040995,A11))</f>
        <v>58</v>
      </c>
      <c r="E11" t="str">
        <f t="shared" si="0"/>
        <v>Fossé</v>
      </c>
      <c r="F11" s="24" t="s">
        <v>43</v>
      </c>
      <c r="G11" t="str">
        <f t="shared" si="1"/>
        <v>Fossé Président</v>
      </c>
    </row>
    <row r="12" spans="1:10" x14ac:dyDescent="0.25">
      <c r="A12" s="4" t="str">
        <f>IF(CE_et_liste_fontaines!H15="","",CE_et_liste_fontaines!H15)</f>
        <v>Francilia</v>
      </c>
      <c r="B12" t="e">
        <f>VLOOKUP(G12,Info2!$A$2:$B$204,2,0)</f>
        <v>#N/A</v>
      </c>
      <c r="C12" t="str">
        <f>CE_et_liste_fontaines!I15</f>
        <v>Rivière Moustique</v>
      </c>
      <c r="D12">
        <f>IF(A12="","",COUNTIF(liste_des_abonnés!$G$6:$G$1040995,A12))</f>
        <v>119</v>
      </c>
      <c r="E12" t="str">
        <f t="shared" si="0"/>
        <v>Francilia</v>
      </c>
      <c r="F12" s="24" t="s">
        <v>43</v>
      </c>
      <c r="G12" t="str">
        <f t="shared" si="1"/>
        <v>Francilia Président</v>
      </c>
    </row>
    <row r="13" spans="1:10" x14ac:dyDescent="0.25">
      <c r="A13" s="4" t="str">
        <f>IF(CE_et_liste_fontaines!H16="","",CE_et_liste_fontaines!H16)</f>
        <v>Katkafou</v>
      </c>
      <c r="B13" t="e">
        <f>VLOOKUP(G13,Info2!$A$2:$B$204,2,0)</f>
        <v>#N/A</v>
      </c>
      <c r="C13" t="str">
        <f>CE_et_liste_fontaines!I16</f>
        <v>KatKafou</v>
      </c>
      <c r="D13">
        <f>IF(A13="","",COUNTIF(liste_des_abonnés!$G$6:$G$1040995,A13))</f>
        <v>40</v>
      </c>
      <c r="E13" t="str">
        <f t="shared" si="0"/>
        <v>Katkafou</v>
      </c>
      <c r="F13" s="24" t="s">
        <v>43</v>
      </c>
      <c r="G13" t="str">
        <f t="shared" si="1"/>
        <v>Katkafou Président</v>
      </c>
    </row>
    <row r="14" spans="1:10" x14ac:dyDescent="0.25">
      <c r="A14" s="4" t="str">
        <f>IF(CE_et_liste_fontaines!H17="","",CE_et_liste_fontaines!H17)</f>
        <v>Lefond</v>
      </c>
      <c r="B14" t="e">
        <f>VLOOKUP(G14,Info2!$A$2:$B$204,2,0)</f>
        <v>#N/A</v>
      </c>
      <c r="C14" t="str">
        <f>CE_et_liste_fontaines!I16</f>
        <v>KatKafou</v>
      </c>
      <c r="D14">
        <f>IF(A14="","",COUNTIF(liste_des_abonnés!$G$6:$G$1040995,A14))</f>
        <v>97</v>
      </c>
      <c r="E14" t="str">
        <f t="shared" si="0"/>
        <v>Lefond</v>
      </c>
      <c r="F14" s="24" t="s">
        <v>43</v>
      </c>
      <c r="G14" t="str">
        <f t="shared" si="1"/>
        <v>Lefond Président</v>
      </c>
    </row>
    <row r="15" spans="1:10" x14ac:dyDescent="0.25">
      <c r="A15" s="4" t="str">
        <f>IF(CE_et_liste_fontaines!H18="","",CE_et_liste_fontaines!H18)</f>
        <v>Mare grand bois</v>
      </c>
      <c r="B15" t="e">
        <f>VLOOKUP(G15,Info2!$A$2:$B$204,2,0)</f>
        <v>#N/A</v>
      </c>
      <c r="C15" t="str">
        <f>CE_et_liste_fontaines!I18</f>
        <v>Mare Grand Bois</v>
      </c>
      <c r="D15">
        <f>IF(A15="","",COUNTIF(liste_des_abonnés!$G$6:$G$1040995,A15))</f>
        <v>59</v>
      </c>
      <c r="E15" t="str">
        <f t="shared" si="0"/>
        <v>Mare grand bois</v>
      </c>
      <c r="F15" s="24" t="s">
        <v>43</v>
      </c>
      <c r="G15" t="str">
        <f t="shared" si="1"/>
        <v>Mare grand bois Président</v>
      </c>
    </row>
    <row r="16" spans="1:10" x14ac:dyDescent="0.25">
      <c r="A16" s="4" t="str">
        <f>IF(CE_et_liste_fontaines!H19="","",CE_et_liste_fontaines!H19)</f>
        <v>Métayer</v>
      </c>
      <c r="B16" t="e">
        <f>VLOOKUP(G16,Info2!$A$2:$B$204,2,0)</f>
        <v>#N/A</v>
      </c>
      <c r="C16" t="str">
        <f>CE_et_liste_fontaines!I19</f>
        <v>Bananier Colas</v>
      </c>
      <c r="D16">
        <f>IF(A16="","",COUNTIF(liste_des_abonnés!$G$6:$G$1040995,A16))</f>
        <v>89</v>
      </c>
      <c r="E16" t="str">
        <f t="shared" si="0"/>
        <v>Métayer</v>
      </c>
      <c r="F16" s="24" t="s">
        <v>43</v>
      </c>
      <c r="G16" t="str">
        <f t="shared" si="1"/>
        <v>Métayer Président</v>
      </c>
    </row>
    <row r="17" spans="1:7" x14ac:dyDescent="0.25">
      <c r="A17" s="4" t="str">
        <f>IF(CE_et_liste_fontaines!H20="","",CE_et_liste_fontaines!H20)</f>
        <v>Morne Palmiste</v>
      </c>
      <c r="B17" t="e">
        <f>VLOOKUP(G17,Info2!$A$2:$B$204,2,0)</f>
        <v>#N/A</v>
      </c>
      <c r="C17" t="str">
        <f>CE_et_liste_fontaines!I20</f>
        <v>Morne Palmiste</v>
      </c>
      <c r="D17">
        <f>IF(A17="","",COUNTIF(liste_des_abonnés!$G$6:$G$1040995,A17))</f>
        <v>139</v>
      </c>
      <c r="E17" t="str">
        <f t="shared" si="0"/>
        <v>Morne Palmiste</v>
      </c>
      <c r="F17" s="24" t="s">
        <v>43</v>
      </c>
      <c r="G17" t="str">
        <f t="shared" si="1"/>
        <v>Morne Palmiste Président</v>
      </c>
    </row>
    <row r="18" spans="1:7" x14ac:dyDescent="0.25">
      <c r="A18" s="4" t="str">
        <f>IF(CE_et_liste_fontaines!H21="","",CE_et_liste_fontaines!H21)</f>
        <v>Morne Rond</v>
      </c>
      <c r="B18" t="e">
        <f>VLOOKUP(G18,Info2!$A$2:$B$204,2,0)</f>
        <v>#N/A</v>
      </c>
      <c r="C18" t="str">
        <f>CE_et_liste_fontaines!I21</f>
        <v>Morne Rond</v>
      </c>
      <c r="D18">
        <f>IF(A18="","",COUNTIF(liste_des_abonnés!$G$6:$G$1040995,A18))</f>
        <v>100</v>
      </c>
      <c r="E18" t="str">
        <f t="shared" si="0"/>
        <v>Morne Rond</v>
      </c>
      <c r="F18" s="24" t="s">
        <v>43</v>
      </c>
      <c r="G18" t="str">
        <f t="shared" si="1"/>
        <v>Morne Rond Président</v>
      </c>
    </row>
    <row r="19" spans="1:7" x14ac:dyDescent="0.25">
      <c r="A19" s="4" t="str">
        <f>IF(CE_et_liste_fontaines!H22="","",CE_et_liste_fontaines!H22)</f>
        <v>Nan blan</v>
      </c>
      <c r="B19" t="e">
        <f>VLOOKUP(G19,Info2!$A$2:$B$204,2,0)</f>
        <v>#N/A</v>
      </c>
      <c r="C19" t="str">
        <f>CE_et_liste_fontaines!I22</f>
        <v>Nan blan</v>
      </c>
      <c r="D19">
        <f>IF(A19="","",COUNTIF(liste_des_abonnés!$G$6:$G$1040995,A19))</f>
        <v>36</v>
      </c>
      <c r="E19" t="str">
        <f t="shared" si="0"/>
        <v>Nan blan</v>
      </c>
      <c r="F19" s="24" t="s">
        <v>43</v>
      </c>
      <c r="G19" t="str">
        <f t="shared" si="1"/>
        <v>Nan blan Président</v>
      </c>
    </row>
    <row r="20" spans="1:7" x14ac:dyDescent="0.25">
      <c r="A20" s="4" t="str">
        <f>IF(CE_et_liste_fontaines!H23="","",CE_et_liste_fontaines!H23)</f>
        <v>Piagon</v>
      </c>
      <c r="B20" t="e">
        <f>VLOOKUP(G20,Info2!$A$2:$B$204,2,0)</f>
        <v>#N/A</v>
      </c>
      <c r="C20" t="str">
        <f>CE_et_liste_fontaines!I23</f>
        <v>Bananier Colas</v>
      </c>
      <c r="D20">
        <f>IF(A20="","",COUNTIF(liste_des_abonnés!$G$6:$G$1040995,A20))</f>
        <v>47</v>
      </c>
      <c r="E20" t="str">
        <f t="shared" si="0"/>
        <v>Piagon</v>
      </c>
      <c r="F20" s="24" t="s">
        <v>43</v>
      </c>
      <c r="G20" t="str">
        <f t="shared" si="1"/>
        <v>Piagon Président</v>
      </c>
    </row>
    <row r="21" spans="1:7" x14ac:dyDescent="0.25">
      <c r="A21" s="4" t="str">
        <f>IF(CE_et_liste_fontaines!H24="","",CE_et_liste_fontaines!H24)</f>
        <v>Poste Métier 1</v>
      </c>
      <c r="B21" t="e">
        <f>VLOOKUP(G21,Info2!$A$2:$B$204,2,0)</f>
        <v>#N/A</v>
      </c>
      <c r="C21" t="str">
        <f>CE_et_liste_fontaines!I24</f>
        <v>Poste Métier</v>
      </c>
      <c r="D21">
        <f>IF(A21="","",COUNTIF(liste_des_abonnés!$G$6:$G$1040995,A21))</f>
        <v>42</v>
      </c>
      <c r="E21" t="str">
        <f t="shared" si="0"/>
        <v>Poste Métier 1</v>
      </c>
      <c r="F21" s="24" t="s">
        <v>43</v>
      </c>
      <c r="G21" t="str">
        <f t="shared" si="1"/>
        <v>Poste Métier 1 Président</v>
      </c>
    </row>
    <row r="22" spans="1:7" x14ac:dyDescent="0.25">
      <c r="A22" s="4" t="str">
        <f>IF(CE_et_liste_fontaines!H25="","",CE_et_liste_fontaines!H25)</f>
        <v>Poste Métier 2</v>
      </c>
      <c r="B22" t="e">
        <f>VLOOKUP(G22,Info2!$A$2:$B$204,2,0)</f>
        <v>#N/A</v>
      </c>
      <c r="C22" t="str">
        <f>CE_et_liste_fontaines!I25</f>
        <v>Poste Métier</v>
      </c>
      <c r="D22">
        <f>IF(A22="","",COUNTIF(liste_des_abonnés!$G$6:$G$1040995,A22))</f>
        <v>62</v>
      </c>
      <c r="E22" t="str">
        <f t="shared" si="0"/>
        <v>Poste Métier 2</v>
      </c>
      <c r="F22" s="24" t="s">
        <v>43</v>
      </c>
      <c r="G22" t="str">
        <f t="shared" si="1"/>
        <v>Poste Métier 2 Président</v>
      </c>
    </row>
    <row r="23" spans="1:7" x14ac:dyDescent="0.25">
      <c r="A23" s="4" t="str">
        <f>IF(CE_et_liste_fontaines!H26="","",CE_et_liste_fontaines!H26)</f>
        <v>Rosette 1</v>
      </c>
      <c r="B23" t="e">
        <f>VLOOKUP(G23,Info2!$A$2:$B$204,2,0)</f>
        <v>#N/A</v>
      </c>
      <c r="C23" t="str">
        <f>CE_et_liste_fontaines!I26</f>
        <v xml:space="preserve">Rosette </v>
      </c>
      <c r="D23">
        <f>IF(A23="","",COUNTIF(liste_des_abonnés!$G$6:$G$1040995,A23))</f>
        <v>80</v>
      </c>
      <c r="E23" t="str">
        <f t="shared" si="0"/>
        <v>Rosette 1</v>
      </c>
      <c r="F23" s="24" t="s">
        <v>43</v>
      </c>
      <c r="G23" t="str">
        <f t="shared" si="1"/>
        <v>Rosette 1 Président</v>
      </c>
    </row>
    <row r="24" spans="1:7" x14ac:dyDescent="0.25">
      <c r="A24" s="4" t="str">
        <f>IF(CE_et_liste_fontaines!H27="","",CE_et_liste_fontaines!H27)</f>
        <v>Rosette 2</v>
      </c>
      <c r="B24" t="e">
        <f>VLOOKUP(G24,Info2!$A$2:$B$204,2,0)</f>
        <v>#N/A</v>
      </c>
      <c r="C24" t="str">
        <f>CE_et_liste_fontaines!I27</f>
        <v xml:space="preserve">Rosette </v>
      </c>
      <c r="D24">
        <f>IF(A24="","",COUNTIF(liste_des_abonnés!$G$6:$G$1040995,A24))</f>
        <v>45</v>
      </c>
      <c r="E24" t="str">
        <f t="shared" si="0"/>
        <v>Rosette 2</v>
      </c>
      <c r="F24" s="24" t="s">
        <v>43</v>
      </c>
      <c r="G24" t="str">
        <f t="shared" si="1"/>
        <v>Rosette 2 Président</v>
      </c>
    </row>
    <row r="25" spans="1:7" x14ac:dyDescent="0.25">
      <c r="A25" s="4" t="str">
        <f>IF(CE_et_liste_fontaines!H28="","",CE_et_liste_fontaines!H28)</f>
        <v>Tichal</v>
      </c>
      <c r="B25" t="e">
        <f>VLOOKUP(G25,Info2!$A$2:$B$204,2,0)</f>
        <v>#N/A</v>
      </c>
      <c r="C25" t="str">
        <f>CE_et_liste_fontaines!I28</f>
        <v>La Baie</v>
      </c>
      <c r="D25">
        <f>IF(A25="","",COUNTIF(liste_des_abonnés!$G$6:$G$1040995,A25))</f>
        <v>67</v>
      </c>
      <c r="E25" t="str">
        <f t="shared" si="0"/>
        <v>Tichal</v>
      </c>
      <c r="F25" s="24" t="s">
        <v>43</v>
      </c>
      <c r="G25" t="str">
        <f t="shared" si="1"/>
        <v>Tichal Président</v>
      </c>
    </row>
    <row r="26" spans="1:7" x14ac:dyDescent="0.25">
      <c r="A26" s="4" t="str">
        <f>IF(CE_et_liste_fontaines!H29="","",CE_et_liste_fontaines!H29)</f>
        <v>Won pwen</v>
      </c>
      <c r="B26" t="e">
        <f>VLOOKUP(G26,Info2!$A$2:$B$204,2,0)</f>
        <v>#N/A</v>
      </c>
      <c r="C26" t="str">
        <f>CE_et_liste_fontaines!I29</f>
        <v>La Baie</v>
      </c>
      <c r="D26">
        <f>IF(A26="","",COUNTIF(liste_des_abonnés!$G$6:$G$1040995,A26))</f>
        <v>34</v>
      </c>
      <c r="E26" t="str">
        <f t="shared" si="0"/>
        <v>Won pwen</v>
      </c>
      <c r="F26" s="24" t="s">
        <v>43</v>
      </c>
      <c r="G26" t="str">
        <f t="shared" si="1"/>
        <v>Won pwen Président</v>
      </c>
    </row>
    <row r="27" spans="1:7" x14ac:dyDescent="0.25">
      <c r="A27" s="4" t="str">
        <f>IF(CE_et_liste_fontaines!H30="","",CE_et_liste_fontaines!H30)</f>
        <v>Wout simetyè</v>
      </c>
      <c r="B27" t="e">
        <f>VLOOKUP(G27,Info2!$A$2:$B$204,2,0)</f>
        <v>#N/A</v>
      </c>
      <c r="C27" t="str">
        <f>CE_et_liste_fontaines!I30</f>
        <v>La Baie</v>
      </c>
      <c r="D27">
        <f>IF(A27="","",COUNTIF(liste_des_abonnés!$G$6:$G$1040995,A27))</f>
        <v>54</v>
      </c>
      <c r="E27" t="str">
        <f t="shared" si="0"/>
        <v>Wout simetyè</v>
      </c>
      <c r="F27" s="24" t="s">
        <v>43</v>
      </c>
      <c r="G27" t="str">
        <f t="shared" si="1"/>
        <v>Wout simetyè Président</v>
      </c>
    </row>
    <row r="28" spans="1:7" x14ac:dyDescent="0.25">
      <c r="A28" s="4" t="str">
        <f>IF(CE_et_liste_fontaines!H32="","",CE_et_liste_fontaines!H32)</f>
        <v/>
      </c>
      <c r="B28" t="e">
        <f>VLOOKUP(G28,Info2!$A$2:$B$204,2,0)</f>
        <v>#N/A</v>
      </c>
      <c r="C28">
        <f>CE_et_liste_fontaines!I32</f>
        <v>0</v>
      </c>
      <c r="D28" t="str">
        <f>IF(A28="","",COUNTIF(liste_des_abonnés!$G$6:$G$1040995,A28))</f>
        <v/>
      </c>
      <c r="E28" t="str">
        <f t="shared" si="0"/>
        <v/>
      </c>
      <c r="F28" s="24" t="s">
        <v>43</v>
      </c>
      <c r="G28" t="str">
        <f t="shared" si="1"/>
        <v xml:space="preserve"> Président</v>
      </c>
    </row>
    <row r="29" spans="1:7" x14ac:dyDescent="0.25">
      <c r="A29" s="4" t="str">
        <f>IF(CE_et_liste_fontaines!H33="","",CE_et_liste_fontaines!H33)</f>
        <v/>
      </c>
      <c r="B29" t="e">
        <f>VLOOKUP(G29,Info2!$A$2:$B$204,2,0)</f>
        <v>#N/A</v>
      </c>
      <c r="C29">
        <f>CE_et_liste_fontaines!I33</f>
        <v>0</v>
      </c>
      <c r="D29" t="str">
        <f>IF(A29="","",COUNTIF(liste_des_abonnés!$G$6:$G$1040995,A29))</f>
        <v/>
      </c>
      <c r="E29" t="str">
        <f t="shared" si="0"/>
        <v/>
      </c>
      <c r="F29" s="24" t="s">
        <v>43</v>
      </c>
      <c r="G29" t="str">
        <f t="shared" si="1"/>
        <v xml:space="preserve"> Président</v>
      </c>
    </row>
    <row r="30" spans="1:7" x14ac:dyDescent="0.25">
      <c r="A30" s="4" t="str">
        <f>IF(CE_et_liste_fontaines!H34="","",CE_et_liste_fontaines!H34)</f>
        <v/>
      </c>
      <c r="B30" t="e">
        <f>VLOOKUP(G30,Info2!$A$2:$B$204,2,0)</f>
        <v>#N/A</v>
      </c>
      <c r="C30">
        <f>CE_et_liste_fontaines!I34</f>
        <v>0</v>
      </c>
      <c r="D30" t="str">
        <f>IF(A30="","",COUNTIF(liste_des_abonnés!$G$6:$G$1040995,A30))</f>
        <v/>
      </c>
      <c r="E30" t="str">
        <f t="shared" si="0"/>
        <v/>
      </c>
      <c r="F30" s="24" t="s">
        <v>43</v>
      </c>
      <c r="G30" t="str">
        <f t="shared" si="1"/>
        <v xml:space="preserve"> Président</v>
      </c>
    </row>
    <row r="31" spans="1:7" x14ac:dyDescent="0.25">
      <c r="A31" s="4" t="str">
        <f>IF(CE_et_liste_fontaines!H35="","",CE_et_liste_fontaines!H35)</f>
        <v/>
      </c>
      <c r="B31" t="e">
        <f>VLOOKUP(G31,Info2!$A$2:$B$204,2,0)</f>
        <v>#N/A</v>
      </c>
      <c r="C31">
        <f>CE_et_liste_fontaines!I35</f>
        <v>0</v>
      </c>
      <c r="D31" t="str">
        <f>IF(A31="","",COUNTIF(liste_des_abonnés!$G$6:$G$1040995,A31))</f>
        <v/>
      </c>
      <c r="E31" t="str">
        <f t="shared" si="0"/>
        <v/>
      </c>
      <c r="F31" s="24" t="s">
        <v>43</v>
      </c>
      <c r="G31" t="str">
        <f t="shared" si="1"/>
        <v xml:space="preserve"> Président</v>
      </c>
    </row>
    <row r="32" spans="1:7" x14ac:dyDescent="0.25">
      <c r="A32" s="4" t="str">
        <f>IF(CE_et_liste_fontaines!H36="","",CE_et_liste_fontaines!H36)</f>
        <v/>
      </c>
      <c r="B32" t="e">
        <f>VLOOKUP(G32,Info2!$A$2:$B$204,2,0)</f>
        <v>#N/A</v>
      </c>
      <c r="C32">
        <f>CE_et_liste_fontaines!I36</f>
        <v>0</v>
      </c>
      <c r="D32" t="str">
        <f>IF(A32="","",COUNTIF(liste_des_abonnés!$G$6:$G$1040995,A32))</f>
        <v/>
      </c>
      <c r="E32" t="str">
        <f t="shared" si="0"/>
        <v/>
      </c>
      <c r="F32" s="24" t="s">
        <v>43</v>
      </c>
      <c r="G32" t="str">
        <f t="shared" si="1"/>
        <v xml:space="preserve"> Président</v>
      </c>
    </row>
    <row r="33" spans="1:7" x14ac:dyDescent="0.25">
      <c r="A33" s="4" t="str">
        <f>IF(CE_et_liste_fontaines!H37="","",CE_et_liste_fontaines!H37)</f>
        <v/>
      </c>
      <c r="B33" t="e">
        <f>VLOOKUP(G33,Info2!$A$2:$B$204,2,0)</f>
        <v>#N/A</v>
      </c>
      <c r="C33">
        <f>CE_et_liste_fontaines!I37</f>
        <v>0</v>
      </c>
      <c r="D33" t="str">
        <f>IF(A33="","",COUNTIF(liste_des_abonnés!$G$6:$G$1040995,A33))</f>
        <v/>
      </c>
      <c r="E33" t="str">
        <f t="shared" si="0"/>
        <v/>
      </c>
      <c r="F33" s="24" t="s">
        <v>43</v>
      </c>
      <c r="G33" t="str">
        <f t="shared" si="1"/>
        <v xml:space="preserve"> Président</v>
      </c>
    </row>
    <row r="34" spans="1:7" x14ac:dyDescent="0.25">
      <c r="A34" s="4" t="str">
        <f>IF(CE_et_liste_fontaines!H38="","",CE_et_liste_fontaines!H38)</f>
        <v/>
      </c>
      <c r="B34" t="e">
        <f>VLOOKUP(G34,Info2!$A$2:$B$204,2,0)</f>
        <v>#N/A</v>
      </c>
      <c r="C34">
        <f>CE_et_liste_fontaines!I38</f>
        <v>0</v>
      </c>
      <c r="D34" t="str">
        <f>IF(A34="","",COUNTIF(liste_des_abonnés!$G$6:$G$1040995,A34))</f>
        <v/>
      </c>
      <c r="E34" t="str">
        <f t="shared" si="0"/>
        <v/>
      </c>
      <c r="F34" s="24" t="s">
        <v>43</v>
      </c>
      <c r="G34" t="str">
        <f t="shared" si="1"/>
        <v xml:space="preserve"> Président</v>
      </c>
    </row>
    <row r="35" spans="1:7" x14ac:dyDescent="0.25">
      <c r="A35" s="4" t="str">
        <f>IF(CE_et_liste_fontaines!H39="","",CE_et_liste_fontaines!H39)</f>
        <v/>
      </c>
      <c r="B35" t="e">
        <f>VLOOKUP(G35,Info2!$A$2:$B$204,2,0)</f>
        <v>#N/A</v>
      </c>
      <c r="C35">
        <f>CE_et_liste_fontaines!I39</f>
        <v>0</v>
      </c>
      <c r="D35" t="str">
        <f>IF(A35="","",COUNTIF(liste_des_abonnés!$G$6:$G$1040995,A35))</f>
        <v/>
      </c>
      <c r="E35" t="str">
        <f t="shared" si="0"/>
        <v/>
      </c>
      <c r="F35" s="24" t="s">
        <v>43</v>
      </c>
      <c r="G35" t="str">
        <f t="shared" si="1"/>
        <v xml:space="preserve"> Président</v>
      </c>
    </row>
    <row r="36" spans="1:7" x14ac:dyDescent="0.25">
      <c r="A36" s="4" t="str">
        <f>IF(CE_et_liste_fontaines!H40="","",CE_et_liste_fontaines!H40)</f>
        <v/>
      </c>
      <c r="B36" t="e">
        <f>VLOOKUP(G36,Info2!$A$2:$B$204,2,0)</f>
        <v>#N/A</v>
      </c>
      <c r="C36">
        <f>CE_et_liste_fontaines!I40</f>
        <v>0</v>
      </c>
      <c r="D36" t="str">
        <f>IF(A36="","",COUNTIF(liste_des_abonnés!$G$6:$G$1040995,A36))</f>
        <v/>
      </c>
      <c r="E36" t="str">
        <f t="shared" si="0"/>
        <v/>
      </c>
      <c r="F36" s="24" t="s">
        <v>43</v>
      </c>
      <c r="G36" t="str">
        <f t="shared" si="1"/>
        <v xml:space="preserve"> Président</v>
      </c>
    </row>
    <row r="37" spans="1:7" x14ac:dyDescent="0.25">
      <c r="A37" s="4" t="str">
        <f>IF(CE_et_liste_fontaines!H41="","",CE_et_liste_fontaines!H41)</f>
        <v/>
      </c>
      <c r="B37" t="e">
        <f>VLOOKUP(G37,Info2!$A$2:$B$204,2,0)</f>
        <v>#N/A</v>
      </c>
      <c r="C37">
        <f>CE_et_liste_fontaines!I41</f>
        <v>0</v>
      </c>
      <c r="D37" t="str">
        <f>IF(A37="","",COUNTIF(liste_des_abonnés!$G$6:$G$1040995,A37))</f>
        <v/>
      </c>
      <c r="E37" t="str">
        <f t="shared" si="0"/>
        <v/>
      </c>
      <c r="F37" s="24" t="s">
        <v>43</v>
      </c>
      <c r="G37" t="str">
        <f t="shared" si="1"/>
        <v xml:space="preserve"> Président</v>
      </c>
    </row>
    <row r="38" spans="1:7" x14ac:dyDescent="0.25">
      <c r="A38" s="4" t="str">
        <f>IF(CE_et_liste_fontaines!H42="","",CE_et_liste_fontaines!H42)</f>
        <v/>
      </c>
      <c r="B38" t="e">
        <f>VLOOKUP(G38,Info2!$A$2:$B$204,2,0)</f>
        <v>#N/A</v>
      </c>
      <c r="C38">
        <f>CE_et_liste_fontaines!I42</f>
        <v>0</v>
      </c>
      <c r="D38" t="str">
        <f>IF(A38="","",COUNTIF(liste_des_abonnés!$G$6:$G$1040995,A38))</f>
        <v/>
      </c>
      <c r="E38" t="str">
        <f t="shared" si="0"/>
        <v/>
      </c>
      <c r="F38" s="24" t="s">
        <v>43</v>
      </c>
      <c r="G38" t="str">
        <f t="shared" si="1"/>
        <v xml:space="preserve"> Président</v>
      </c>
    </row>
    <row r="39" spans="1:7" x14ac:dyDescent="0.25">
      <c r="A39" s="4" t="str">
        <f>IF(CE_et_liste_fontaines!H43="","",CE_et_liste_fontaines!H43)</f>
        <v/>
      </c>
      <c r="B39" t="e">
        <f>VLOOKUP(G39,Info2!$A$2:$B$204,2,0)</f>
        <v>#N/A</v>
      </c>
      <c r="C39">
        <f>CE_et_liste_fontaines!I43</f>
        <v>0</v>
      </c>
      <c r="D39" t="str">
        <f>IF(A39="","",COUNTIF(liste_des_abonnés!$G$6:$G$1040995,A39))</f>
        <v/>
      </c>
      <c r="E39" t="str">
        <f t="shared" si="0"/>
        <v/>
      </c>
      <c r="F39" s="24" t="s">
        <v>43</v>
      </c>
      <c r="G39" t="str">
        <f t="shared" si="1"/>
        <v xml:space="preserve"> Président</v>
      </c>
    </row>
    <row r="40" spans="1:7" x14ac:dyDescent="0.25">
      <c r="A40" s="4" t="str">
        <f>IF(CE_et_liste_fontaines!H44="","",CE_et_liste_fontaines!H44)</f>
        <v/>
      </c>
      <c r="B40" t="e">
        <f>VLOOKUP(G40,Info2!$A$2:$B$204,2,0)</f>
        <v>#N/A</v>
      </c>
      <c r="C40">
        <f>CE_et_liste_fontaines!I44</f>
        <v>0</v>
      </c>
      <c r="D40" t="str">
        <f>IF(A40="","",COUNTIF(liste_des_abonnés!$G$6:$G$1040995,A40))</f>
        <v/>
      </c>
      <c r="E40" t="str">
        <f t="shared" si="0"/>
        <v/>
      </c>
      <c r="F40" s="24" t="s">
        <v>43</v>
      </c>
      <c r="G40" t="str">
        <f t="shared" si="1"/>
        <v xml:space="preserve"> Président</v>
      </c>
    </row>
    <row r="41" spans="1:7" x14ac:dyDescent="0.25">
      <c r="A41" s="4" t="str">
        <f>IF(CE_et_liste_fontaines!H45="","",CE_et_liste_fontaines!H45)</f>
        <v/>
      </c>
      <c r="B41" t="e">
        <f>VLOOKUP(G41,Info2!$A$2:$B$204,2,0)</f>
        <v>#N/A</v>
      </c>
      <c r="C41">
        <f>CE_et_liste_fontaines!I45</f>
        <v>0</v>
      </c>
      <c r="D41" t="str">
        <f>IF(A41="","",COUNTIF(liste_des_abonnés!$G$6:$G$1040995,A41))</f>
        <v/>
      </c>
      <c r="E41" t="str">
        <f t="shared" si="0"/>
        <v/>
      </c>
      <c r="F41" s="24" t="s">
        <v>43</v>
      </c>
      <c r="G41" t="str">
        <f t="shared" si="1"/>
        <v xml:space="preserve"> Président</v>
      </c>
    </row>
    <row r="42" spans="1:7" x14ac:dyDescent="0.25">
      <c r="A42" s="4" t="str">
        <f>IF(CE_et_liste_fontaines!H46="","",CE_et_liste_fontaines!H46)</f>
        <v/>
      </c>
      <c r="B42" t="e">
        <f>VLOOKUP(G42,Info2!$A$2:$B$204,2,0)</f>
        <v>#N/A</v>
      </c>
      <c r="C42">
        <f>CE_et_liste_fontaines!I46</f>
        <v>0</v>
      </c>
      <c r="D42" t="str">
        <f>IF(A42="","",COUNTIF(liste_des_abonnés!$G$6:$G$1040995,A42))</f>
        <v/>
      </c>
      <c r="E42" t="str">
        <f t="shared" si="0"/>
        <v/>
      </c>
      <c r="F42" s="24" t="s">
        <v>43</v>
      </c>
      <c r="G42" t="str">
        <f t="shared" si="1"/>
        <v xml:space="preserve"> Président</v>
      </c>
    </row>
    <row r="43" spans="1:7" x14ac:dyDescent="0.25">
      <c r="A43" s="4" t="str">
        <f>IF(CE_et_liste_fontaines!H47="","",CE_et_liste_fontaines!H47)</f>
        <v/>
      </c>
      <c r="B43" t="e">
        <f>VLOOKUP(G43,Info2!$A$2:$B$204,2,0)</f>
        <v>#N/A</v>
      </c>
      <c r="C43">
        <f>CE_et_liste_fontaines!I47</f>
        <v>0</v>
      </c>
      <c r="D43" t="str">
        <f>IF(A43="","",COUNTIF(liste_des_abonnés!$G$6:$G$1040995,A43))</f>
        <v/>
      </c>
      <c r="E43" t="str">
        <f t="shared" si="0"/>
        <v/>
      </c>
      <c r="F43" s="24" t="s">
        <v>43</v>
      </c>
      <c r="G43" t="str">
        <f t="shared" si="1"/>
        <v xml:space="preserve"> Président</v>
      </c>
    </row>
    <row r="44" spans="1:7" x14ac:dyDescent="0.25">
      <c r="A44" s="4" t="str">
        <f>IF(CE_et_liste_fontaines!H48="","",CE_et_liste_fontaines!H48)</f>
        <v/>
      </c>
      <c r="B44" t="e">
        <f>VLOOKUP(G44,Info2!$A$2:$B$204,2,0)</f>
        <v>#N/A</v>
      </c>
      <c r="C44">
        <f>CE_et_liste_fontaines!I48</f>
        <v>0</v>
      </c>
      <c r="D44" t="str">
        <f>IF(A44="","",COUNTIF(liste_des_abonnés!$G$6:$G$1040995,A44))</f>
        <v/>
      </c>
      <c r="E44" t="str">
        <f t="shared" si="0"/>
        <v/>
      </c>
      <c r="F44" s="24" t="s">
        <v>43</v>
      </c>
      <c r="G44" t="str">
        <f t="shared" si="1"/>
        <v xml:space="preserve"> Président</v>
      </c>
    </row>
    <row r="45" spans="1:7" x14ac:dyDescent="0.25">
      <c r="A45" s="4" t="str">
        <f>IF(CE_et_liste_fontaines!H49="","",CE_et_liste_fontaines!H49)</f>
        <v/>
      </c>
      <c r="B45" t="e">
        <f>VLOOKUP(G45,Info2!$A$2:$B$204,2,0)</f>
        <v>#N/A</v>
      </c>
      <c r="C45">
        <f>CE_et_liste_fontaines!I49</f>
        <v>0</v>
      </c>
      <c r="D45" t="str">
        <f>IF(A45="","",COUNTIF(liste_des_abonnés!$G$6:$G$1040995,A45))</f>
        <v/>
      </c>
      <c r="E45" t="str">
        <f t="shared" si="0"/>
        <v/>
      </c>
      <c r="F45" s="24" t="s">
        <v>43</v>
      </c>
      <c r="G45" t="str">
        <f t="shared" si="1"/>
        <v xml:space="preserve"> Président</v>
      </c>
    </row>
    <row r="46" spans="1:7" x14ac:dyDescent="0.25">
      <c r="A46" s="4" t="str">
        <f>IF(CE_et_liste_fontaines!H50="","",CE_et_liste_fontaines!H50)</f>
        <v/>
      </c>
      <c r="B46" t="e">
        <f>VLOOKUP(G46,Info2!$A$2:$B$204,2,0)</f>
        <v>#N/A</v>
      </c>
      <c r="C46">
        <f>CE_et_liste_fontaines!I50</f>
        <v>0</v>
      </c>
      <c r="D46" t="str">
        <f>IF(A46="","",COUNTIF(liste_des_abonnés!$G$6:$G$1040995,A46))</f>
        <v/>
      </c>
      <c r="E46" t="str">
        <f t="shared" si="0"/>
        <v/>
      </c>
      <c r="F46" s="24" t="s">
        <v>43</v>
      </c>
      <c r="G46" t="str">
        <f t="shared" si="1"/>
        <v xml:space="preserve"> Président</v>
      </c>
    </row>
    <row r="47" spans="1:7" x14ac:dyDescent="0.25">
      <c r="A47" s="4" t="str">
        <f>IF(CE_et_liste_fontaines!H51="","",CE_et_liste_fontaines!H51)</f>
        <v/>
      </c>
      <c r="B47" t="e">
        <f>VLOOKUP(G47,Info2!$A$2:$B$204,2,0)</f>
        <v>#N/A</v>
      </c>
      <c r="C47">
        <f>CE_et_liste_fontaines!I51</f>
        <v>0</v>
      </c>
      <c r="D47" t="str">
        <f>IF(A47="","",COUNTIF(liste_des_abonnés!$G$6:$G$1040995,A47))</f>
        <v/>
      </c>
      <c r="E47" t="str">
        <f t="shared" si="0"/>
        <v/>
      </c>
      <c r="F47" s="24" t="s">
        <v>43</v>
      </c>
      <c r="G47" t="str">
        <f t="shared" si="1"/>
        <v xml:space="preserve"> Président</v>
      </c>
    </row>
    <row r="48" spans="1:7" x14ac:dyDescent="0.25">
      <c r="A48" s="4" t="str">
        <f>IF(CE_et_liste_fontaines!H52="","",CE_et_liste_fontaines!H52)</f>
        <v/>
      </c>
      <c r="B48" t="e">
        <f>VLOOKUP(G48,Info2!$A$2:$B$204,2,0)</f>
        <v>#N/A</v>
      </c>
      <c r="C48">
        <f>CE_et_liste_fontaines!I52</f>
        <v>0</v>
      </c>
      <c r="D48" t="str">
        <f>IF(A48="","",COUNTIF(liste_des_abonnés!$G$6:$G$1040995,A48))</f>
        <v/>
      </c>
      <c r="E48" t="str">
        <f t="shared" si="0"/>
        <v/>
      </c>
      <c r="F48" s="24" t="s">
        <v>43</v>
      </c>
      <c r="G48" t="str">
        <f t="shared" si="1"/>
        <v xml:space="preserve"> Président</v>
      </c>
    </row>
    <row r="49" spans="1:7" x14ac:dyDescent="0.25">
      <c r="A49" s="4" t="str">
        <f>IF(CE_et_liste_fontaines!H53="","",CE_et_liste_fontaines!H53)</f>
        <v/>
      </c>
      <c r="B49" t="e">
        <f>VLOOKUP(G49,Info2!$A$2:$B$204,2,0)</f>
        <v>#N/A</v>
      </c>
      <c r="C49">
        <f>CE_et_liste_fontaines!I53</f>
        <v>0</v>
      </c>
      <c r="D49" t="str">
        <f>IF(A49="","",COUNTIF(liste_des_abonnés!$G$6:$G$1040995,A49))</f>
        <v/>
      </c>
      <c r="E49" t="str">
        <f t="shared" si="0"/>
        <v/>
      </c>
      <c r="F49" s="24" t="s">
        <v>43</v>
      </c>
      <c r="G49" t="str">
        <f t="shared" si="1"/>
        <v xml:space="preserve"> Président</v>
      </c>
    </row>
    <row r="50" spans="1:7" x14ac:dyDescent="0.25">
      <c r="A50" s="4" t="str">
        <f>IF(CE_et_liste_fontaines!H54="","",CE_et_liste_fontaines!H54)</f>
        <v/>
      </c>
      <c r="B50" t="e">
        <f>VLOOKUP(G50,Info2!$A$2:$B$204,2,0)</f>
        <v>#N/A</v>
      </c>
      <c r="C50">
        <f>CE_et_liste_fontaines!I54</f>
        <v>0</v>
      </c>
      <c r="D50" t="str">
        <f>IF(A50="","",COUNTIF(liste_des_abonnés!$G$6:$G$1040995,A50))</f>
        <v/>
      </c>
      <c r="E50" t="str">
        <f t="shared" si="0"/>
        <v/>
      </c>
      <c r="F50" s="24" t="s">
        <v>43</v>
      </c>
      <c r="G50" t="str">
        <f t="shared" si="1"/>
        <v xml:space="preserve"> Président</v>
      </c>
    </row>
    <row r="51" spans="1:7" x14ac:dyDescent="0.25">
      <c r="A51" s="4" t="str">
        <f>IF(CE_et_liste_fontaines!H55="","",CE_et_liste_fontaines!H55)</f>
        <v/>
      </c>
      <c r="B51" t="e">
        <f>VLOOKUP(G51,Info2!$A$2:$B$204,2,0)</f>
        <v>#N/A</v>
      </c>
      <c r="C51">
        <f>CE_et_liste_fontaines!I55</f>
        <v>0</v>
      </c>
      <c r="D51" t="str">
        <f>IF(A51="","",COUNTIF(liste_des_abonnés!$G$6:$G$1040995,A51))</f>
        <v/>
      </c>
      <c r="E51" t="str">
        <f t="shared" si="0"/>
        <v/>
      </c>
      <c r="F51" s="24" t="s">
        <v>43</v>
      </c>
      <c r="G51" t="str">
        <f t="shared" si="1"/>
        <v xml:space="preserve"> Président</v>
      </c>
    </row>
    <row r="52" spans="1:7" x14ac:dyDescent="0.25">
      <c r="A52" s="4" t="str">
        <f>IF(CE_et_liste_fontaines!H56="","",CE_et_liste_fontaines!H56)</f>
        <v/>
      </c>
      <c r="B52" t="e">
        <f>VLOOKUP(G52,Info2!$A$2:$B$204,2,0)</f>
        <v>#N/A</v>
      </c>
      <c r="C52">
        <f>CE_et_liste_fontaines!I56</f>
        <v>0</v>
      </c>
      <c r="D52" t="str">
        <f>IF(A52="","",COUNTIF(liste_des_abonnés!$G$6:$G$1040995,A52))</f>
        <v/>
      </c>
      <c r="E52" t="str">
        <f t="shared" si="0"/>
        <v/>
      </c>
      <c r="F52" s="24" t="s">
        <v>43</v>
      </c>
      <c r="G52" t="str">
        <f t="shared" si="1"/>
        <v xml:space="preserve"> Président</v>
      </c>
    </row>
    <row r="53" spans="1:7" x14ac:dyDescent="0.25">
      <c r="A53" s="4" t="str">
        <f>IF(CE_et_liste_fontaines!H57="","",CE_et_liste_fontaines!H57)</f>
        <v/>
      </c>
      <c r="B53" t="e">
        <f>VLOOKUP(G53,Info2!$A$2:$B$204,2,0)</f>
        <v>#N/A</v>
      </c>
      <c r="C53">
        <f>CE_et_liste_fontaines!I57</f>
        <v>0</v>
      </c>
      <c r="D53" t="str">
        <f>IF(A53="","",COUNTIF(liste_des_abonnés!$G$6:$G$1040995,A53))</f>
        <v/>
      </c>
      <c r="E53" t="str">
        <f t="shared" si="0"/>
        <v/>
      </c>
      <c r="F53" s="24" t="s">
        <v>43</v>
      </c>
      <c r="G53" t="str">
        <f t="shared" si="1"/>
        <v xml:space="preserve"> Président</v>
      </c>
    </row>
    <row r="54" spans="1:7" x14ac:dyDescent="0.25">
      <c r="A54" s="4" t="str">
        <f>IF(CE_et_liste_fontaines!H58="","",CE_et_liste_fontaines!H58)</f>
        <v/>
      </c>
      <c r="B54" t="e">
        <f>VLOOKUP(G54,Info2!$A$2:$B$204,2,0)</f>
        <v>#N/A</v>
      </c>
      <c r="C54">
        <f>CE_et_liste_fontaines!I58</f>
        <v>0</v>
      </c>
      <c r="D54" t="str">
        <f>IF(A54="","",COUNTIF(liste_des_abonnés!$G$6:$G$1040995,A54))</f>
        <v/>
      </c>
      <c r="E54" t="str">
        <f t="shared" si="0"/>
        <v/>
      </c>
      <c r="F54" s="24" t="s">
        <v>43</v>
      </c>
      <c r="G54" t="str">
        <f t="shared" si="1"/>
        <v xml:space="preserve"> Président</v>
      </c>
    </row>
    <row r="55" spans="1:7" x14ac:dyDescent="0.25">
      <c r="A55" s="4" t="str">
        <f>IF(CE_et_liste_fontaines!H59="","",CE_et_liste_fontaines!H59)</f>
        <v/>
      </c>
      <c r="B55" t="e">
        <f>VLOOKUP(G55,Info2!$A$2:$B$204,2,0)</f>
        <v>#N/A</v>
      </c>
      <c r="C55">
        <f>CE_et_liste_fontaines!I59</f>
        <v>0</v>
      </c>
      <c r="D55" t="str">
        <f>IF(A55="","",COUNTIF(liste_des_abonnés!$G$6:$G$1040995,A55))</f>
        <v/>
      </c>
      <c r="E55" t="str">
        <f t="shared" si="0"/>
        <v/>
      </c>
      <c r="F55" s="24" t="s">
        <v>43</v>
      </c>
      <c r="G55" t="str">
        <f t="shared" si="1"/>
        <v xml:space="preserve"> Président</v>
      </c>
    </row>
    <row r="56" spans="1:7" x14ac:dyDescent="0.25">
      <c r="A56" s="4" t="str">
        <f>IF(CE_et_liste_fontaines!H60="","",CE_et_liste_fontaines!H60)</f>
        <v/>
      </c>
      <c r="B56" t="e">
        <f>VLOOKUP(G56,Info2!$A$2:$B$204,2,0)</f>
        <v>#N/A</v>
      </c>
      <c r="C56">
        <f>CE_et_liste_fontaines!I60</f>
        <v>0</v>
      </c>
      <c r="D56" t="str">
        <f>IF(A56="","",COUNTIF(liste_des_abonnés!$G$6:$G$1040995,A56))</f>
        <v/>
      </c>
      <c r="E56" t="str">
        <f t="shared" si="0"/>
        <v/>
      </c>
      <c r="F56" s="24" t="s">
        <v>43</v>
      </c>
      <c r="G56" t="str">
        <f t="shared" si="1"/>
        <v xml:space="preserve"> Président</v>
      </c>
    </row>
    <row r="57" spans="1:7" x14ac:dyDescent="0.25">
      <c r="A57" s="4" t="str">
        <f>IF(CE_et_liste_fontaines!H61="","",CE_et_liste_fontaines!H61)</f>
        <v/>
      </c>
      <c r="B57" t="e">
        <f>VLOOKUP(G57,Info2!$A$2:$B$204,2,0)</f>
        <v>#N/A</v>
      </c>
      <c r="C57">
        <f>CE_et_liste_fontaines!I61</f>
        <v>0</v>
      </c>
      <c r="D57" t="str">
        <f>IF(A57="","",COUNTIF(liste_des_abonnés!$G$6:$G$1040995,A57))</f>
        <v/>
      </c>
      <c r="E57" t="str">
        <f t="shared" si="0"/>
        <v/>
      </c>
      <c r="F57" s="24" t="s">
        <v>43</v>
      </c>
      <c r="G57" t="str">
        <f t="shared" si="1"/>
        <v xml:space="preserve"> Président</v>
      </c>
    </row>
    <row r="58" spans="1:7" x14ac:dyDescent="0.25">
      <c r="A58" s="4" t="str">
        <f>IF(CE_et_liste_fontaines!H62="","",CE_et_liste_fontaines!H62)</f>
        <v/>
      </c>
      <c r="B58" t="e">
        <f>VLOOKUP(G58,Info2!$A$2:$B$204,2,0)</f>
        <v>#N/A</v>
      </c>
      <c r="C58">
        <f>CE_et_liste_fontaines!I62</f>
        <v>0</v>
      </c>
      <c r="D58" t="str">
        <f>IF(A58="","",COUNTIF(liste_des_abonnés!$G$6:$G$1040995,A58))</f>
        <v/>
      </c>
      <c r="E58" t="str">
        <f t="shared" si="0"/>
        <v/>
      </c>
      <c r="F58" s="24" t="s">
        <v>43</v>
      </c>
      <c r="G58" t="str">
        <f t="shared" si="1"/>
        <v xml:space="preserve"> Président</v>
      </c>
    </row>
    <row r="59" spans="1:7" x14ac:dyDescent="0.25">
      <c r="A59" s="4" t="str">
        <f>IF(CE_et_liste_fontaines!H63="","",CE_et_liste_fontaines!H63)</f>
        <v/>
      </c>
      <c r="B59" t="e">
        <f>VLOOKUP(G59,Info2!$A$2:$B$204,2,0)</f>
        <v>#N/A</v>
      </c>
      <c r="C59">
        <f>CE_et_liste_fontaines!I63</f>
        <v>0</v>
      </c>
      <c r="D59" t="str">
        <f>IF(A59="","",COUNTIF(liste_des_abonnés!$G$6:$G$1040995,A59))</f>
        <v/>
      </c>
      <c r="E59" t="str">
        <f t="shared" si="0"/>
        <v/>
      </c>
      <c r="F59" s="24" t="s">
        <v>43</v>
      </c>
      <c r="G59" t="str">
        <f t="shared" si="1"/>
        <v xml:space="preserve"> Président</v>
      </c>
    </row>
    <row r="60" spans="1:7" x14ac:dyDescent="0.25">
      <c r="A60" s="4" t="str">
        <f>IF(CE_et_liste_fontaines!H64="","",CE_et_liste_fontaines!H64)</f>
        <v/>
      </c>
      <c r="B60" t="e">
        <f>VLOOKUP(G60,Info2!$A$2:$B$204,2,0)</f>
        <v>#N/A</v>
      </c>
      <c r="C60">
        <f>CE_et_liste_fontaines!I64</f>
        <v>0</v>
      </c>
      <c r="D60" t="str">
        <f>IF(A60="","",COUNTIF(liste_des_abonnés!$G$6:$G$1040995,A60))</f>
        <v/>
      </c>
      <c r="E60" t="str">
        <f t="shared" si="0"/>
        <v/>
      </c>
      <c r="F60" s="24" t="s">
        <v>43</v>
      </c>
      <c r="G60" t="str">
        <f t="shared" si="1"/>
        <v xml:space="preserve"> Président</v>
      </c>
    </row>
    <row r="61" spans="1:7" x14ac:dyDescent="0.25">
      <c r="A61" s="4" t="str">
        <f>IF(CE_et_liste_fontaines!H65="","",CE_et_liste_fontaines!H65)</f>
        <v/>
      </c>
      <c r="B61" t="e">
        <f>VLOOKUP(G61,Info2!$A$2:$B$204,2,0)</f>
        <v>#N/A</v>
      </c>
      <c r="C61">
        <f>CE_et_liste_fontaines!I65</f>
        <v>0</v>
      </c>
      <c r="D61" t="str">
        <f>IF(A61="","",COUNTIF(liste_des_abonnés!$G$6:$G$1040995,A61))</f>
        <v/>
      </c>
      <c r="E61" t="str">
        <f t="shared" si="0"/>
        <v/>
      </c>
      <c r="F61" s="24" t="s">
        <v>43</v>
      </c>
      <c r="G61" t="str">
        <f t="shared" si="1"/>
        <v xml:space="preserve"> Président</v>
      </c>
    </row>
    <row r="62" spans="1:7" x14ac:dyDescent="0.25">
      <c r="A62" s="4" t="str">
        <f>IF(CE_et_liste_fontaines!H66="","",CE_et_liste_fontaines!H66)</f>
        <v/>
      </c>
      <c r="B62" t="e">
        <f>VLOOKUP(G62,Info2!$A$2:$B$204,2,0)</f>
        <v>#N/A</v>
      </c>
      <c r="C62">
        <f>CE_et_liste_fontaines!I66</f>
        <v>0</v>
      </c>
      <c r="D62" t="str">
        <f>IF(A62="","",COUNTIF(liste_des_abonnés!$G$6:$G$1040995,A62))</f>
        <v/>
      </c>
      <c r="E62" t="str">
        <f t="shared" si="0"/>
        <v/>
      </c>
      <c r="F62" s="24" t="s">
        <v>43</v>
      </c>
      <c r="G62" t="str">
        <f t="shared" si="1"/>
        <v xml:space="preserve"> Président</v>
      </c>
    </row>
    <row r="63" spans="1:7" x14ac:dyDescent="0.25">
      <c r="A63" s="4" t="str">
        <f>IF(CE_et_liste_fontaines!H67="","",CE_et_liste_fontaines!H67)</f>
        <v/>
      </c>
      <c r="B63" t="e">
        <f>VLOOKUP(G63,Info2!$A$2:$B$204,2,0)</f>
        <v>#N/A</v>
      </c>
      <c r="C63">
        <f>CE_et_liste_fontaines!I67</f>
        <v>0</v>
      </c>
      <c r="D63" t="str">
        <f>IF(A63="","",COUNTIF(liste_des_abonnés!$G$6:$G$1040995,A63))</f>
        <v/>
      </c>
      <c r="E63" t="str">
        <f t="shared" si="0"/>
        <v/>
      </c>
      <c r="F63" s="24" t="s">
        <v>43</v>
      </c>
      <c r="G63" t="str">
        <f t="shared" si="1"/>
        <v xml:space="preserve"> Président</v>
      </c>
    </row>
    <row r="64" spans="1:7" x14ac:dyDescent="0.25">
      <c r="A64" s="4" t="str">
        <f>IF(CE_et_liste_fontaines!H68="","",CE_et_liste_fontaines!H68)</f>
        <v/>
      </c>
      <c r="B64" t="e">
        <f>VLOOKUP(G64,Info2!$A$2:$B$204,2,0)</f>
        <v>#N/A</v>
      </c>
      <c r="C64">
        <f>CE_et_liste_fontaines!I68</f>
        <v>0</v>
      </c>
      <c r="D64" t="str">
        <f>IF(A64="","",COUNTIF(liste_des_abonnés!$G$6:$G$1040995,A64))</f>
        <v/>
      </c>
      <c r="E64" t="str">
        <f t="shared" si="0"/>
        <v/>
      </c>
      <c r="F64" s="24" t="s">
        <v>43</v>
      </c>
      <c r="G64" t="str">
        <f t="shared" si="1"/>
        <v xml:space="preserve"> Président</v>
      </c>
    </row>
    <row r="65" spans="1:7" x14ac:dyDescent="0.25">
      <c r="A65" s="4" t="str">
        <f>IF(CE_et_liste_fontaines!H69="","",CE_et_liste_fontaines!H69)</f>
        <v/>
      </c>
      <c r="B65" t="e">
        <f>VLOOKUP(G65,Info2!$A$2:$B$204,2,0)</f>
        <v>#N/A</v>
      </c>
      <c r="C65">
        <f>CE_et_liste_fontaines!I69</f>
        <v>0</v>
      </c>
      <c r="D65" t="str">
        <f>IF(A65="","",COUNTIF(liste_des_abonnés!$G$6:$G$1040995,A65))</f>
        <v/>
      </c>
      <c r="E65" t="str">
        <f t="shared" si="0"/>
        <v/>
      </c>
      <c r="F65" s="24" t="s">
        <v>43</v>
      </c>
      <c r="G65" t="str">
        <f t="shared" si="1"/>
        <v xml:space="preserve"> Président</v>
      </c>
    </row>
    <row r="66" spans="1:7" x14ac:dyDescent="0.25">
      <c r="A66" s="4" t="str">
        <f>IF(CE_et_liste_fontaines!H70="","",CE_et_liste_fontaines!H70)</f>
        <v/>
      </c>
      <c r="B66" t="e">
        <f>VLOOKUP(G66,Info2!$A$2:$B$204,2,0)</f>
        <v>#N/A</v>
      </c>
      <c r="C66">
        <f>CE_et_liste_fontaines!I70</f>
        <v>0</v>
      </c>
      <c r="D66" t="str">
        <f>IF(A66="","",COUNTIF(liste_des_abonnés!$G$6:$G$1040995,A66))</f>
        <v/>
      </c>
      <c r="E66" t="str">
        <f t="shared" ref="E66:E129" si="2">A66</f>
        <v/>
      </c>
      <c r="F66" s="24" t="s">
        <v>43</v>
      </c>
      <c r="G66" t="str">
        <f t="shared" ref="G66:G129" si="3">E66&amp;F66</f>
        <v xml:space="preserve"> Président</v>
      </c>
    </row>
    <row r="67" spans="1:7" x14ac:dyDescent="0.25">
      <c r="A67" s="4" t="str">
        <f>IF(CE_et_liste_fontaines!H71="","",CE_et_liste_fontaines!H71)</f>
        <v/>
      </c>
      <c r="B67" t="e">
        <f>VLOOKUP(G67,Info2!$A$2:$B$204,2,0)</f>
        <v>#N/A</v>
      </c>
      <c r="C67">
        <f>CE_et_liste_fontaines!I71</f>
        <v>0</v>
      </c>
      <c r="D67" t="str">
        <f>IF(A67="","",COUNTIF(liste_des_abonnés!$G$6:$G$1040995,A67))</f>
        <v/>
      </c>
      <c r="E67" t="str">
        <f t="shared" si="2"/>
        <v/>
      </c>
      <c r="F67" s="24" t="s">
        <v>43</v>
      </c>
      <c r="G67" t="str">
        <f t="shared" si="3"/>
        <v xml:space="preserve"> Président</v>
      </c>
    </row>
    <row r="68" spans="1:7" x14ac:dyDescent="0.25">
      <c r="A68" s="4" t="str">
        <f>IF(CE_et_liste_fontaines!H72="","",CE_et_liste_fontaines!H72)</f>
        <v/>
      </c>
      <c r="B68" t="e">
        <f>VLOOKUP(G68,Info2!$A$2:$B$204,2,0)</f>
        <v>#N/A</v>
      </c>
      <c r="C68">
        <f>CE_et_liste_fontaines!I72</f>
        <v>0</v>
      </c>
      <c r="D68" t="str">
        <f>IF(A68="","",COUNTIF(liste_des_abonnés!$G$6:$G$1040995,A68))</f>
        <v/>
      </c>
      <c r="E68" t="str">
        <f t="shared" si="2"/>
        <v/>
      </c>
      <c r="F68" s="24" t="s">
        <v>43</v>
      </c>
      <c r="G68" t="str">
        <f t="shared" si="3"/>
        <v xml:space="preserve"> Président</v>
      </c>
    </row>
    <row r="69" spans="1:7" x14ac:dyDescent="0.25">
      <c r="A69" s="4" t="str">
        <f>IF(CE_et_liste_fontaines!H73="","",CE_et_liste_fontaines!H73)</f>
        <v/>
      </c>
      <c r="B69" t="e">
        <f>VLOOKUP(G69,Info2!$A$2:$B$204,2,0)</f>
        <v>#N/A</v>
      </c>
      <c r="C69">
        <f>CE_et_liste_fontaines!I73</f>
        <v>0</v>
      </c>
      <c r="D69" t="str">
        <f>IF(A69="","",COUNTIF(liste_des_abonnés!$G$6:$G$1040995,A69))</f>
        <v/>
      </c>
      <c r="E69" t="str">
        <f t="shared" si="2"/>
        <v/>
      </c>
      <c r="F69" s="24" t="s">
        <v>43</v>
      </c>
      <c r="G69" t="str">
        <f t="shared" si="3"/>
        <v xml:space="preserve"> Président</v>
      </c>
    </row>
    <row r="70" spans="1:7" x14ac:dyDescent="0.25">
      <c r="A70" s="4" t="str">
        <f>IF(CE_et_liste_fontaines!H74="","",CE_et_liste_fontaines!H74)</f>
        <v/>
      </c>
      <c r="B70" t="e">
        <f>VLOOKUP(G70,Info2!$A$2:$B$204,2,0)</f>
        <v>#N/A</v>
      </c>
      <c r="C70">
        <f>CE_et_liste_fontaines!I74</f>
        <v>0</v>
      </c>
      <c r="D70" t="str">
        <f>IF(A70="","",COUNTIF(liste_des_abonnés!$G$6:$G$1040995,A70))</f>
        <v/>
      </c>
      <c r="E70" t="str">
        <f t="shared" si="2"/>
        <v/>
      </c>
      <c r="F70" s="24" t="s">
        <v>43</v>
      </c>
      <c r="G70" t="str">
        <f t="shared" si="3"/>
        <v xml:space="preserve"> Président</v>
      </c>
    </row>
    <row r="71" spans="1:7" x14ac:dyDescent="0.25">
      <c r="A71" s="4" t="str">
        <f>IF(CE_et_liste_fontaines!H75="","",CE_et_liste_fontaines!H75)</f>
        <v/>
      </c>
      <c r="B71" t="e">
        <f>VLOOKUP(G71,Info2!$A$2:$B$204,2,0)</f>
        <v>#N/A</v>
      </c>
      <c r="C71">
        <f>CE_et_liste_fontaines!I75</f>
        <v>0</v>
      </c>
      <c r="D71" t="str">
        <f>IF(A71="","",COUNTIF(liste_des_abonnés!$G$6:$G$1040995,A71))</f>
        <v/>
      </c>
      <c r="E71" t="str">
        <f t="shared" si="2"/>
        <v/>
      </c>
      <c r="F71" s="24" t="s">
        <v>43</v>
      </c>
      <c r="G71" t="str">
        <f t="shared" si="3"/>
        <v xml:space="preserve"> Président</v>
      </c>
    </row>
    <row r="72" spans="1:7" x14ac:dyDescent="0.25">
      <c r="A72" s="4" t="str">
        <f>IF(CE_et_liste_fontaines!H76="","",CE_et_liste_fontaines!H76)</f>
        <v/>
      </c>
      <c r="B72" t="e">
        <f>VLOOKUP(G72,Info2!$A$2:$B$204,2,0)</f>
        <v>#N/A</v>
      </c>
      <c r="C72">
        <f>CE_et_liste_fontaines!I76</f>
        <v>0</v>
      </c>
      <c r="D72" t="str">
        <f>IF(A72="","",COUNTIF(liste_des_abonnés!$G$6:$G$1040995,A72))</f>
        <v/>
      </c>
      <c r="E72" t="str">
        <f t="shared" si="2"/>
        <v/>
      </c>
      <c r="F72" s="24" t="s">
        <v>43</v>
      </c>
      <c r="G72" t="str">
        <f t="shared" si="3"/>
        <v xml:space="preserve"> Président</v>
      </c>
    </row>
    <row r="73" spans="1:7" x14ac:dyDescent="0.25">
      <c r="A73" s="4" t="str">
        <f>IF(CE_et_liste_fontaines!H77="","",CE_et_liste_fontaines!H77)</f>
        <v/>
      </c>
      <c r="B73" t="e">
        <f>VLOOKUP(G73,Info2!$A$2:$B$204,2,0)</f>
        <v>#N/A</v>
      </c>
      <c r="C73">
        <f>CE_et_liste_fontaines!I77</f>
        <v>0</v>
      </c>
      <c r="D73" t="str">
        <f>IF(A73="","",COUNTIF(liste_des_abonnés!$G$6:$G$1040995,A73))</f>
        <v/>
      </c>
      <c r="E73" t="str">
        <f t="shared" si="2"/>
        <v/>
      </c>
      <c r="F73" s="24" t="s">
        <v>43</v>
      </c>
      <c r="G73" t="str">
        <f t="shared" si="3"/>
        <v xml:space="preserve"> Président</v>
      </c>
    </row>
    <row r="74" spans="1:7" x14ac:dyDescent="0.25">
      <c r="A74" s="4" t="str">
        <f>IF(CE_et_liste_fontaines!H78="","",CE_et_liste_fontaines!H78)</f>
        <v/>
      </c>
      <c r="B74" t="e">
        <f>VLOOKUP(G74,Info2!$A$2:$B$204,2,0)</f>
        <v>#N/A</v>
      </c>
      <c r="C74">
        <f>CE_et_liste_fontaines!I78</f>
        <v>0</v>
      </c>
      <c r="D74" t="str">
        <f>IF(A74="","",COUNTIF(liste_des_abonnés!$G$6:$G$1040995,A74))</f>
        <v/>
      </c>
      <c r="E74" t="str">
        <f t="shared" si="2"/>
        <v/>
      </c>
      <c r="F74" s="24" t="s">
        <v>43</v>
      </c>
      <c r="G74" t="str">
        <f t="shared" si="3"/>
        <v xml:space="preserve"> Président</v>
      </c>
    </row>
    <row r="75" spans="1:7" x14ac:dyDescent="0.25">
      <c r="A75" s="4" t="str">
        <f>IF(CE_et_liste_fontaines!H79="","",CE_et_liste_fontaines!H79)</f>
        <v/>
      </c>
      <c r="B75" t="e">
        <f>VLOOKUP(G75,Info2!$A$2:$B$204,2,0)</f>
        <v>#N/A</v>
      </c>
      <c r="C75">
        <f>CE_et_liste_fontaines!I79</f>
        <v>0</v>
      </c>
      <c r="D75" t="str">
        <f>IF(A75="","",COUNTIF(liste_des_abonnés!$G$6:$G$1040995,A75))</f>
        <v/>
      </c>
      <c r="E75" t="str">
        <f t="shared" si="2"/>
        <v/>
      </c>
      <c r="F75" s="24" t="s">
        <v>43</v>
      </c>
      <c r="G75" t="str">
        <f t="shared" si="3"/>
        <v xml:space="preserve"> Président</v>
      </c>
    </row>
    <row r="76" spans="1:7" x14ac:dyDescent="0.25">
      <c r="A76" s="4" t="str">
        <f>IF(CE_et_liste_fontaines!H80="","",CE_et_liste_fontaines!H80)</f>
        <v/>
      </c>
      <c r="B76" t="e">
        <f>VLOOKUP(G76,Info2!$A$2:$B$204,2,0)</f>
        <v>#N/A</v>
      </c>
      <c r="C76">
        <f>CE_et_liste_fontaines!I80</f>
        <v>0</v>
      </c>
      <c r="D76" t="str">
        <f>IF(A76="","",COUNTIF(liste_des_abonnés!$G$6:$G$1040995,A76))</f>
        <v/>
      </c>
      <c r="E76" t="str">
        <f t="shared" si="2"/>
        <v/>
      </c>
      <c r="F76" s="24" t="s">
        <v>43</v>
      </c>
      <c r="G76" t="str">
        <f t="shared" si="3"/>
        <v xml:space="preserve"> Président</v>
      </c>
    </row>
    <row r="77" spans="1:7" x14ac:dyDescent="0.25">
      <c r="A77" s="4" t="str">
        <f>IF(CE_et_liste_fontaines!H81="","",CE_et_liste_fontaines!H81)</f>
        <v/>
      </c>
      <c r="B77" t="e">
        <f>VLOOKUP(G77,Info2!$A$2:$B$204,2,0)</f>
        <v>#N/A</v>
      </c>
      <c r="C77">
        <f>CE_et_liste_fontaines!I81</f>
        <v>0</v>
      </c>
      <c r="D77" t="str">
        <f>IF(A77="","",COUNTIF(liste_des_abonnés!$G$6:$G$1040995,A77))</f>
        <v/>
      </c>
      <c r="E77" t="str">
        <f t="shared" si="2"/>
        <v/>
      </c>
      <c r="F77" s="24" t="s">
        <v>43</v>
      </c>
      <c r="G77" t="str">
        <f t="shared" si="3"/>
        <v xml:space="preserve"> Président</v>
      </c>
    </row>
    <row r="78" spans="1:7" x14ac:dyDescent="0.25">
      <c r="A78" s="4" t="str">
        <f>IF(CE_et_liste_fontaines!H82="","",CE_et_liste_fontaines!H82)</f>
        <v/>
      </c>
      <c r="B78" t="e">
        <f>VLOOKUP(G78,Info2!$A$2:$B$204,2,0)</f>
        <v>#N/A</v>
      </c>
      <c r="C78">
        <f>CE_et_liste_fontaines!I82</f>
        <v>0</v>
      </c>
      <c r="D78" t="str">
        <f>IF(A78="","",COUNTIF(liste_des_abonnés!$G$6:$G$1040995,A78))</f>
        <v/>
      </c>
      <c r="E78" t="str">
        <f t="shared" si="2"/>
        <v/>
      </c>
      <c r="F78" s="24" t="s">
        <v>43</v>
      </c>
      <c r="G78" t="str">
        <f t="shared" si="3"/>
        <v xml:space="preserve"> Président</v>
      </c>
    </row>
    <row r="79" spans="1:7" x14ac:dyDescent="0.25">
      <c r="A79" s="4" t="str">
        <f>IF(CE_et_liste_fontaines!H83="","",CE_et_liste_fontaines!H83)</f>
        <v/>
      </c>
      <c r="B79" t="e">
        <f>VLOOKUP(G79,Info2!$A$2:$B$204,2,0)</f>
        <v>#N/A</v>
      </c>
      <c r="C79">
        <f>CE_et_liste_fontaines!I83</f>
        <v>0</v>
      </c>
      <c r="D79" t="str">
        <f>IF(A79="","",COUNTIF(liste_des_abonnés!$G$6:$G$1040995,A79))</f>
        <v/>
      </c>
      <c r="E79" t="str">
        <f t="shared" si="2"/>
        <v/>
      </c>
      <c r="F79" s="24" t="s">
        <v>43</v>
      </c>
      <c r="G79" t="str">
        <f t="shared" si="3"/>
        <v xml:space="preserve"> Président</v>
      </c>
    </row>
    <row r="80" spans="1:7" x14ac:dyDescent="0.25">
      <c r="A80" s="4" t="str">
        <f>IF(CE_et_liste_fontaines!H84="","",CE_et_liste_fontaines!H84)</f>
        <v/>
      </c>
      <c r="B80" t="e">
        <f>VLOOKUP(G80,Info2!$A$2:$B$204,2,0)</f>
        <v>#N/A</v>
      </c>
      <c r="C80">
        <f>CE_et_liste_fontaines!I84</f>
        <v>0</v>
      </c>
      <c r="D80" t="str">
        <f>IF(A80="","",COUNTIF(liste_des_abonnés!$G$6:$G$1040995,A80))</f>
        <v/>
      </c>
      <c r="E80" t="str">
        <f t="shared" si="2"/>
        <v/>
      </c>
      <c r="F80" s="24" t="s">
        <v>43</v>
      </c>
      <c r="G80" t="str">
        <f t="shared" si="3"/>
        <v xml:space="preserve"> Président</v>
      </c>
    </row>
    <row r="81" spans="1:7" x14ac:dyDescent="0.25">
      <c r="A81" s="4" t="str">
        <f>IF(CE_et_liste_fontaines!H85="","",CE_et_liste_fontaines!H85)</f>
        <v/>
      </c>
      <c r="B81" t="e">
        <f>VLOOKUP(G81,Info2!$A$2:$B$204,2,0)</f>
        <v>#N/A</v>
      </c>
      <c r="C81">
        <f>CE_et_liste_fontaines!I85</f>
        <v>0</v>
      </c>
      <c r="D81" t="str">
        <f>IF(A81="","",COUNTIF(liste_des_abonnés!$G$6:$G$1040995,A81))</f>
        <v/>
      </c>
      <c r="E81" t="str">
        <f t="shared" si="2"/>
        <v/>
      </c>
      <c r="F81" s="24" t="s">
        <v>43</v>
      </c>
      <c r="G81" t="str">
        <f t="shared" si="3"/>
        <v xml:space="preserve"> Président</v>
      </c>
    </row>
    <row r="82" spans="1:7" x14ac:dyDescent="0.25">
      <c r="A82" s="4" t="str">
        <f>IF(CE_et_liste_fontaines!H86="","",CE_et_liste_fontaines!H86)</f>
        <v/>
      </c>
      <c r="B82" t="e">
        <f>VLOOKUP(G82,Info2!$A$2:$B$204,2,0)</f>
        <v>#N/A</v>
      </c>
      <c r="C82">
        <f>CE_et_liste_fontaines!I86</f>
        <v>0</v>
      </c>
      <c r="D82" t="str">
        <f>IF(A82="","",COUNTIF(liste_des_abonnés!$G$6:$G$1040995,A82))</f>
        <v/>
      </c>
      <c r="E82" t="str">
        <f t="shared" si="2"/>
        <v/>
      </c>
      <c r="F82" s="24" t="s">
        <v>43</v>
      </c>
      <c r="G82" t="str">
        <f t="shared" si="3"/>
        <v xml:space="preserve"> Président</v>
      </c>
    </row>
    <row r="83" spans="1:7" x14ac:dyDescent="0.25">
      <c r="A83" s="4" t="str">
        <f>IF(CE_et_liste_fontaines!H87="","",CE_et_liste_fontaines!H87)</f>
        <v/>
      </c>
      <c r="B83" t="e">
        <f>VLOOKUP(G83,Info2!$A$2:$B$204,2,0)</f>
        <v>#N/A</v>
      </c>
      <c r="C83">
        <f>CE_et_liste_fontaines!I87</f>
        <v>0</v>
      </c>
      <c r="D83" t="str">
        <f>IF(A83="","",COUNTIF(liste_des_abonnés!$G$6:$G$1040995,A83))</f>
        <v/>
      </c>
      <c r="E83" t="str">
        <f t="shared" si="2"/>
        <v/>
      </c>
      <c r="F83" s="24" t="s">
        <v>43</v>
      </c>
      <c r="G83" t="str">
        <f t="shared" si="3"/>
        <v xml:space="preserve"> Président</v>
      </c>
    </row>
    <row r="84" spans="1:7" x14ac:dyDescent="0.25">
      <c r="A84" s="4" t="str">
        <f>IF(CE_et_liste_fontaines!H88="","",CE_et_liste_fontaines!H88)</f>
        <v/>
      </c>
      <c r="B84" t="e">
        <f>VLOOKUP(G84,Info2!$A$2:$B$204,2,0)</f>
        <v>#N/A</v>
      </c>
      <c r="C84">
        <f>CE_et_liste_fontaines!I88</f>
        <v>0</v>
      </c>
      <c r="D84" t="str">
        <f>IF(A84="","",COUNTIF(liste_des_abonnés!$G$6:$G$1040995,A84))</f>
        <v/>
      </c>
      <c r="E84" t="str">
        <f t="shared" si="2"/>
        <v/>
      </c>
      <c r="F84" s="24" t="s">
        <v>43</v>
      </c>
      <c r="G84" t="str">
        <f t="shared" si="3"/>
        <v xml:space="preserve"> Président</v>
      </c>
    </row>
    <row r="85" spans="1:7" x14ac:dyDescent="0.25">
      <c r="A85" s="4" t="str">
        <f>IF(CE_et_liste_fontaines!H89="","",CE_et_liste_fontaines!H89)</f>
        <v/>
      </c>
      <c r="B85" t="e">
        <f>VLOOKUP(G85,Info2!$A$2:$B$204,2,0)</f>
        <v>#N/A</v>
      </c>
      <c r="C85">
        <f>CE_et_liste_fontaines!I89</f>
        <v>0</v>
      </c>
      <c r="D85" t="str">
        <f>IF(A85="","",COUNTIF(liste_des_abonnés!$G$6:$G$1040995,A85))</f>
        <v/>
      </c>
      <c r="E85" t="str">
        <f t="shared" si="2"/>
        <v/>
      </c>
      <c r="F85" s="24" t="s">
        <v>43</v>
      </c>
      <c r="G85" t="str">
        <f t="shared" si="3"/>
        <v xml:space="preserve"> Président</v>
      </c>
    </row>
    <row r="86" spans="1:7" x14ac:dyDescent="0.25">
      <c r="A86" s="4" t="str">
        <f>IF(CE_et_liste_fontaines!H90="","",CE_et_liste_fontaines!H90)</f>
        <v/>
      </c>
      <c r="B86" t="e">
        <f>VLOOKUP(G86,Info2!$A$2:$B$204,2,0)</f>
        <v>#N/A</v>
      </c>
      <c r="C86">
        <f>CE_et_liste_fontaines!I90</f>
        <v>0</v>
      </c>
      <c r="D86" t="str">
        <f>IF(A86="","",COUNTIF(liste_des_abonnés!$G$6:$G$1040995,A86))</f>
        <v/>
      </c>
      <c r="E86" t="str">
        <f t="shared" si="2"/>
        <v/>
      </c>
      <c r="F86" s="24" t="s">
        <v>43</v>
      </c>
      <c r="G86" t="str">
        <f t="shared" si="3"/>
        <v xml:space="preserve"> Président</v>
      </c>
    </row>
    <row r="87" spans="1:7" x14ac:dyDescent="0.25">
      <c r="A87" s="4" t="str">
        <f>IF(CE_et_liste_fontaines!H91="","",CE_et_liste_fontaines!H91)</f>
        <v/>
      </c>
      <c r="B87" t="e">
        <f>VLOOKUP(G87,Info2!$A$2:$B$204,2,0)</f>
        <v>#N/A</v>
      </c>
      <c r="C87">
        <f>CE_et_liste_fontaines!I91</f>
        <v>0</v>
      </c>
      <c r="D87" t="str">
        <f>IF(A87="","",COUNTIF(liste_des_abonnés!$G$6:$G$1040995,A87))</f>
        <v/>
      </c>
      <c r="E87" t="str">
        <f t="shared" si="2"/>
        <v/>
      </c>
      <c r="F87" s="24" t="s">
        <v>43</v>
      </c>
      <c r="G87" t="str">
        <f t="shared" si="3"/>
        <v xml:space="preserve"> Président</v>
      </c>
    </row>
    <row r="88" spans="1:7" x14ac:dyDescent="0.25">
      <c r="A88" s="4" t="str">
        <f>IF(CE_et_liste_fontaines!H92="","",CE_et_liste_fontaines!H92)</f>
        <v/>
      </c>
      <c r="B88" t="e">
        <f>VLOOKUP(G88,Info2!$A$2:$B$204,2,0)</f>
        <v>#N/A</v>
      </c>
      <c r="C88">
        <f>CE_et_liste_fontaines!I92</f>
        <v>0</v>
      </c>
      <c r="D88" t="str">
        <f>IF(A88="","",COUNTIF(liste_des_abonnés!$G$6:$G$1040995,A88))</f>
        <v/>
      </c>
      <c r="E88" t="str">
        <f t="shared" si="2"/>
        <v/>
      </c>
      <c r="F88" s="24" t="s">
        <v>43</v>
      </c>
      <c r="G88" t="str">
        <f t="shared" si="3"/>
        <v xml:space="preserve"> Président</v>
      </c>
    </row>
    <row r="89" spans="1:7" x14ac:dyDescent="0.25">
      <c r="A89" s="4" t="str">
        <f>IF(CE_et_liste_fontaines!H93="","",CE_et_liste_fontaines!H93)</f>
        <v/>
      </c>
      <c r="B89" t="e">
        <f>VLOOKUP(G89,Info2!$A$2:$B$204,2,0)</f>
        <v>#N/A</v>
      </c>
      <c r="C89">
        <f>CE_et_liste_fontaines!I93</f>
        <v>0</v>
      </c>
      <c r="D89" t="str">
        <f>IF(A89="","",COUNTIF(liste_des_abonnés!$G$6:$G$1040995,A89))</f>
        <v/>
      </c>
      <c r="E89" t="str">
        <f t="shared" si="2"/>
        <v/>
      </c>
      <c r="F89" s="24" t="s">
        <v>43</v>
      </c>
      <c r="G89" t="str">
        <f t="shared" si="3"/>
        <v xml:space="preserve"> Président</v>
      </c>
    </row>
    <row r="90" spans="1:7" x14ac:dyDescent="0.25">
      <c r="A90" s="4" t="str">
        <f>IF(CE_et_liste_fontaines!H94="","",CE_et_liste_fontaines!H94)</f>
        <v/>
      </c>
      <c r="B90" t="e">
        <f>VLOOKUP(G90,Info2!$A$2:$B$204,2,0)</f>
        <v>#N/A</v>
      </c>
      <c r="C90">
        <f>CE_et_liste_fontaines!I94</f>
        <v>0</v>
      </c>
      <c r="D90" t="str">
        <f>IF(A90="","",COUNTIF(liste_des_abonnés!$G$6:$G$1040995,A90))</f>
        <v/>
      </c>
      <c r="E90" t="str">
        <f t="shared" si="2"/>
        <v/>
      </c>
      <c r="F90" s="24" t="s">
        <v>43</v>
      </c>
      <c r="G90" t="str">
        <f t="shared" si="3"/>
        <v xml:space="preserve"> Président</v>
      </c>
    </row>
    <row r="91" spans="1:7" x14ac:dyDescent="0.25">
      <c r="A91" s="4" t="str">
        <f>IF(CE_et_liste_fontaines!H95="","",CE_et_liste_fontaines!H95)</f>
        <v/>
      </c>
      <c r="B91" t="e">
        <f>VLOOKUP(G91,Info2!$A$2:$B$204,2,0)</f>
        <v>#N/A</v>
      </c>
      <c r="C91">
        <f>CE_et_liste_fontaines!I95</f>
        <v>0</v>
      </c>
      <c r="D91" t="str">
        <f>IF(A91="","",COUNTIF(liste_des_abonnés!$G$6:$G$1040995,A91))</f>
        <v/>
      </c>
      <c r="E91" t="str">
        <f t="shared" si="2"/>
        <v/>
      </c>
      <c r="F91" s="24" t="s">
        <v>43</v>
      </c>
      <c r="G91" t="str">
        <f t="shared" si="3"/>
        <v xml:space="preserve"> Président</v>
      </c>
    </row>
    <row r="92" spans="1:7" x14ac:dyDescent="0.25">
      <c r="A92" s="4" t="str">
        <f>IF(CE_et_liste_fontaines!H96="","",CE_et_liste_fontaines!H96)</f>
        <v/>
      </c>
      <c r="B92" t="e">
        <f>VLOOKUP(G92,Info2!$A$2:$B$204,2,0)</f>
        <v>#N/A</v>
      </c>
      <c r="C92">
        <f>CE_et_liste_fontaines!I96</f>
        <v>0</v>
      </c>
      <c r="D92" t="str">
        <f>IF(A92="","",COUNTIF(liste_des_abonnés!$G$6:$G$1040995,A92))</f>
        <v/>
      </c>
      <c r="E92" t="str">
        <f t="shared" si="2"/>
        <v/>
      </c>
      <c r="F92" s="24" t="s">
        <v>43</v>
      </c>
      <c r="G92" t="str">
        <f t="shared" si="3"/>
        <v xml:space="preserve"> Président</v>
      </c>
    </row>
    <row r="93" spans="1:7" x14ac:dyDescent="0.25">
      <c r="A93" s="4" t="str">
        <f>IF(CE_et_liste_fontaines!H97="","",CE_et_liste_fontaines!H97)</f>
        <v/>
      </c>
      <c r="B93" t="e">
        <f>VLOOKUP(G93,Info2!$A$2:$B$204,2,0)</f>
        <v>#N/A</v>
      </c>
      <c r="C93">
        <f>CE_et_liste_fontaines!I97</f>
        <v>0</v>
      </c>
      <c r="D93" t="str">
        <f>IF(A93="","",COUNTIF(liste_des_abonnés!$G$6:$G$1040995,A93))</f>
        <v/>
      </c>
      <c r="E93" t="str">
        <f t="shared" si="2"/>
        <v/>
      </c>
      <c r="F93" s="24" t="s">
        <v>43</v>
      </c>
      <c r="G93" t="str">
        <f t="shared" si="3"/>
        <v xml:space="preserve"> Président</v>
      </c>
    </row>
    <row r="94" spans="1:7" x14ac:dyDescent="0.25">
      <c r="A94" s="4" t="str">
        <f>IF(CE_et_liste_fontaines!H98="","",CE_et_liste_fontaines!H98)</f>
        <v/>
      </c>
      <c r="B94" t="e">
        <f>VLOOKUP(G94,Info2!$A$2:$B$204,2,0)</f>
        <v>#N/A</v>
      </c>
      <c r="C94">
        <f>CE_et_liste_fontaines!I98</f>
        <v>0</v>
      </c>
      <c r="D94" t="str">
        <f>IF(A94="","",COUNTIF(liste_des_abonnés!$G$6:$G$1040995,A94))</f>
        <v/>
      </c>
      <c r="E94" t="str">
        <f t="shared" si="2"/>
        <v/>
      </c>
      <c r="F94" s="24" t="s">
        <v>43</v>
      </c>
      <c r="G94" t="str">
        <f t="shared" si="3"/>
        <v xml:space="preserve"> Président</v>
      </c>
    </row>
    <row r="95" spans="1:7" x14ac:dyDescent="0.25">
      <c r="A95" s="4" t="str">
        <f>IF(CE_et_liste_fontaines!H99="","",CE_et_liste_fontaines!H99)</f>
        <v/>
      </c>
      <c r="B95" t="e">
        <f>VLOOKUP(G95,Info2!$A$2:$B$204,2,0)</f>
        <v>#N/A</v>
      </c>
      <c r="C95">
        <f>CE_et_liste_fontaines!I99</f>
        <v>0</v>
      </c>
      <c r="D95" t="str">
        <f>IF(A95="","",COUNTIF(liste_des_abonnés!$G$6:$G$1040995,A95))</f>
        <v/>
      </c>
      <c r="E95" t="str">
        <f t="shared" si="2"/>
        <v/>
      </c>
      <c r="F95" s="24" t="s">
        <v>43</v>
      </c>
      <c r="G95" t="str">
        <f t="shared" si="3"/>
        <v xml:space="preserve"> Président</v>
      </c>
    </row>
    <row r="96" spans="1:7" x14ac:dyDescent="0.25">
      <c r="A96" s="4" t="str">
        <f>IF(CE_et_liste_fontaines!H100="","",CE_et_liste_fontaines!H100)</f>
        <v/>
      </c>
      <c r="B96" t="e">
        <f>VLOOKUP(G96,Info2!$A$2:$B$204,2,0)</f>
        <v>#N/A</v>
      </c>
      <c r="C96">
        <f>CE_et_liste_fontaines!I100</f>
        <v>0</v>
      </c>
      <c r="D96" t="str">
        <f>IF(A96="","",COUNTIF(liste_des_abonnés!$G$6:$G$1040995,A96))</f>
        <v/>
      </c>
      <c r="E96" t="str">
        <f t="shared" si="2"/>
        <v/>
      </c>
      <c r="F96" s="24" t="s">
        <v>43</v>
      </c>
      <c r="G96" t="str">
        <f t="shared" si="3"/>
        <v xml:space="preserve"> Président</v>
      </c>
    </row>
    <row r="97" spans="1:7" x14ac:dyDescent="0.25">
      <c r="A97" s="4" t="str">
        <f>IF(CE_et_liste_fontaines!H101="","",CE_et_liste_fontaines!H101)</f>
        <v/>
      </c>
      <c r="B97" t="e">
        <f>VLOOKUP(G97,Info2!$A$2:$B$204,2,0)</f>
        <v>#N/A</v>
      </c>
      <c r="C97">
        <f>CE_et_liste_fontaines!I101</f>
        <v>0</v>
      </c>
      <c r="D97" t="str">
        <f>IF(A97="","",COUNTIF(liste_des_abonnés!$G$6:$G$1040995,A97))</f>
        <v/>
      </c>
      <c r="E97" t="str">
        <f t="shared" si="2"/>
        <v/>
      </c>
      <c r="F97" s="24" t="s">
        <v>43</v>
      </c>
      <c r="G97" t="str">
        <f t="shared" si="3"/>
        <v xml:space="preserve"> Président</v>
      </c>
    </row>
    <row r="98" spans="1:7" x14ac:dyDescent="0.25">
      <c r="A98" s="4" t="str">
        <f>IF(CE_et_liste_fontaines!H102="","",CE_et_liste_fontaines!H102)</f>
        <v/>
      </c>
      <c r="B98" t="e">
        <f>VLOOKUP(G98,Info2!$A$2:$B$204,2,0)</f>
        <v>#N/A</v>
      </c>
      <c r="C98">
        <f>CE_et_liste_fontaines!I102</f>
        <v>0</v>
      </c>
      <c r="D98" t="str">
        <f>IF(A98="","",COUNTIF(liste_des_abonnés!$G$6:$G$1040995,A98))</f>
        <v/>
      </c>
      <c r="E98" t="str">
        <f t="shared" si="2"/>
        <v/>
      </c>
      <c r="F98" s="24" t="s">
        <v>43</v>
      </c>
      <c r="G98" t="str">
        <f t="shared" si="3"/>
        <v xml:space="preserve"> Président</v>
      </c>
    </row>
    <row r="99" spans="1:7" x14ac:dyDescent="0.25">
      <c r="A99" s="4" t="str">
        <f>IF(CE_et_liste_fontaines!H103="","",CE_et_liste_fontaines!H103)</f>
        <v/>
      </c>
      <c r="B99" t="e">
        <f>VLOOKUP(G99,Info2!$A$2:$B$204,2,0)</f>
        <v>#N/A</v>
      </c>
      <c r="C99">
        <f>CE_et_liste_fontaines!I103</f>
        <v>0</v>
      </c>
      <c r="D99" t="str">
        <f>IF(A99="","",COUNTIF(liste_des_abonnés!$G$6:$G$1040995,A99))</f>
        <v/>
      </c>
      <c r="E99" t="str">
        <f t="shared" si="2"/>
        <v/>
      </c>
      <c r="F99" s="24" t="s">
        <v>43</v>
      </c>
      <c r="G99" t="str">
        <f t="shared" si="3"/>
        <v xml:space="preserve"> Président</v>
      </c>
    </row>
    <row r="100" spans="1:7" x14ac:dyDescent="0.25">
      <c r="A100" s="4" t="str">
        <f>IF(CE_et_liste_fontaines!H104="","",CE_et_liste_fontaines!H104)</f>
        <v/>
      </c>
      <c r="B100" t="e">
        <f>VLOOKUP(G100,Info2!$A$2:$B$204,2,0)</f>
        <v>#N/A</v>
      </c>
      <c r="C100">
        <f>CE_et_liste_fontaines!I104</f>
        <v>0</v>
      </c>
      <c r="D100" t="str">
        <f>IF(A100="","",COUNTIF(liste_des_abonnés!$G$6:$G$1040995,A100))</f>
        <v/>
      </c>
      <c r="E100" t="str">
        <f t="shared" si="2"/>
        <v/>
      </c>
      <c r="F100" s="24" t="s">
        <v>43</v>
      </c>
      <c r="G100" t="str">
        <f t="shared" si="3"/>
        <v xml:space="preserve"> Président</v>
      </c>
    </row>
    <row r="101" spans="1:7" x14ac:dyDescent="0.25">
      <c r="A101" s="4" t="str">
        <f>IF(CE_et_liste_fontaines!H105="","",CE_et_liste_fontaines!H105)</f>
        <v/>
      </c>
      <c r="B101" t="e">
        <f>VLOOKUP(G101,Info2!$A$2:$B$204,2,0)</f>
        <v>#N/A</v>
      </c>
      <c r="C101">
        <f>CE_et_liste_fontaines!I105</f>
        <v>0</v>
      </c>
      <c r="D101" t="str">
        <f>IF(A101="","",COUNTIF(liste_des_abonnés!$G$6:$G$1040995,A101))</f>
        <v/>
      </c>
      <c r="E101" t="str">
        <f t="shared" si="2"/>
        <v/>
      </c>
      <c r="F101" s="24" t="s">
        <v>43</v>
      </c>
      <c r="G101" t="str">
        <f t="shared" si="3"/>
        <v xml:space="preserve"> Président</v>
      </c>
    </row>
    <row r="102" spans="1:7" x14ac:dyDescent="0.25">
      <c r="A102" s="4" t="str">
        <f>IF(CE_et_liste_fontaines!H106="","",CE_et_liste_fontaines!H106)</f>
        <v/>
      </c>
      <c r="B102" t="e">
        <f>VLOOKUP(G102,Info2!$A$2:$B$204,2,0)</f>
        <v>#N/A</v>
      </c>
      <c r="C102">
        <f>CE_et_liste_fontaines!I106</f>
        <v>0</v>
      </c>
      <c r="D102" t="str">
        <f>IF(A102="","",COUNTIF(liste_des_abonnés!$G$6:$G$1040995,A102))</f>
        <v/>
      </c>
      <c r="E102" t="str">
        <f t="shared" si="2"/>
        <v/>
      </c>
      <c r="F102" s="24" t="s">
        <v>43</v>
      </c>
      <c r="G102" t="str">
        <f t="shared" si="3"/>
        <v xml:space="preserve"> Président</v>
      </c>
    </row>
    <row r="103" spans="1:7" x14ac:dyDescent="0.25">
      <c r="A103" s="4" t="str">
        <f>IF(CE_et_liste_fontaines!H107="","",CE_et_liste_fontaines!H107)</f>
        <v/>
      </c>
      <c r="B103" t="e">
        <f>VLOOKUP(G103,Info2!$A$2:$B$204,2,0)</f>
        <v>#N/A</v>
      </c>
      <c r="C103">
        <f>CE_et_liste_fontaines!I107</f>
        <v>0</v>
      </c>
      <c r="D103" t="str">
        <f>IF(A103="","",COUNTIF(liste_des_abonnés!$G$6:$G$1040995,A103))</f>
        <v/>
      </c>
      <c r="E103" t="str">
        <f t="shared" si="2"/>
        <v/>
      </c>
      <c r="F103" s="24" t="s">
        <v>43</v>
      </c>
      <c r="G103" t="str">
        <f t="shared" si="3"/>
        <v xml:space="preserve"> Président</v>
      </c>
    </row>
    <row r="104" spans="1:7" x14ac:dyDescent="0.25">
      <c r="A104" s="4" t="str">
        <f>IF(CE_et_liste_fontaines!H108="","",CE_et_liste_fontaines!H108)</f>
        <v/>
      </c>
      <c r="B104" t="e">
        <f>VLOOKUP(G104,Info2!$A$2:$B$204,2,0)</f>
        <v>#N/A</v>
      </c>
      <c r="C104">
        <f>CE_et_liste_fontaines!I108</f>
        <v>0</v>
      </c>
      <c r="D104" t="str">
        <f>IF(A104="","",COUNTIF(liste_des_abonnés!$G$6:$G$1040995,A104))</f>
        <v/>
      </c>
      <c r="E104" t="str">
        <f t="shared" si="2"/>
        <v/>
      </c>
      <c r="F104" s="24" t="s">
        <v>43</v>
      </c>
      <c r="G104" t="str">
        <f t="shared" si="3"/>
        <v xml:space="preserve"> Président</v>
      </c>
    </row>
    <row r="105" spans="1:7" x14ac:dyDescent="0.25">
      <c r="A105" s="4" t="str">
        <f>IF(CE_et_liste_fontaines!H109="","",CE_et_liste_fontaines!H109)</f>
        <v/>
      </c>
      <c r="B105" t="e">
        <f>VLOOKUP(G105,Info2!$A$2:$B$204,2,0)</f>
        <v>#N/A</v>
      </c>
      <c r="C105">
        <f>CE_et_liste_fontaines!I109</f>
        <v>0</v>
      </c>
      <c r="D105" t="str">
        <f>IF(A105="","",COUNTIF(liste_des_abonnés!$G$6:$G$1040995,A105))</f>
        <v/>
      </c>
      <c r="E105" t="str">
        <f t="shared" si="2"/>
        <v/>
      </c>
      <c r="F105" s="24" t="s">
        <v>43</v>
      </c>
      <c r="G105" t="str">
        <f t="shared" si="3"/>
        <v xml:space="preserve"> Président</v>
      </c>
    </row>
    <row r="106" spans="1:7" x14ac:dyDescent="0.25">
      <c r="A106" s="4" t="str">
        <f>IF(CE_et_liste_fontaines!H110="","",CE_et_liste_fontaines!H110)</f>
        <v/>
      </c>
      <c r="B106" t="e">
        <f>VLOOKUP(G106,Info2!$A$2:$B$204,2,0)</f>
        <v>#N/A</v>
      </c>
      <c r="C106">
        <f>CE_et_liste_fontaines!I110</f>
        <v>0</v>
      </c>
      <c r="D106" t="str">
        <f>IF(A106="","",COUNTIF(liste_des_abonnés!$G$6:$G$1040995,A106))</f>
        <v/>
      </c>
      <c r="E106" t="str">
        <f t="shared" si="2"/>
        <v/>
      </c>
      <c r="F106" s="24" t="s">
        <v>43</v>
      </c>
      <c r="G106" t="str">
        <f t="shared" si="3"/>
        <v xml:space="preserve"> Président</v>
      </c>
    </row>
    <row r="107" spans="1:7" x14ac:dyDescent="0.25">
      <c r="A107" s="4" t="str">
        <f>IF(CE_et_liste_fontaines!H111="","",CE_et_liste_fontaines!H111)</f>
        <v/>
      </c>
      <c r="B107" t="e">
        <f>VLOOKUP(G107,Info2!$A$2:$B$204,2,0)</f>
        <v>#N/A</v>
      </c>
      <c r="C107">
        <f>CE_et_liste_fontaines!I111</f>
        <v>0</v>
      </c>
      <c r="D107" t="str">
        <f>IF(A107="","",COUNTIF(liste_des_abonnés!$G$6:$G$1040995,A107))</f>
        <v/>
      </c>
      <c r="E107" t="str">
        <f t="shared" si="2"/>
        <v/>
      </c>
      <c r="F107" s="24" t="s">
        <v>43</v>
      </c>
      <c r="G107" t="str">
        <f t="shared" si="3"/>
        <v xml:space="preserve"> Président</v>
      </c>
    </row>
    <row r="108" spans="1:7" x14ac:dyDescent="0.25">
      <c r="A108" s="4" t="str">
        <f>IF(CE_et_liste_fontaines!H112="","",CE_et_liste_fontaines!H112)</f>
        <v/>
      </c>
      <c r="B108" t="e">
        <f>VLOOKUP(G108,Info2!$A$2:$B$204,2,0)</f>
        <v>#N/A</v>
      </c>
      <c r="C108">
        <f>CE_et_liste_fontaines!I112</f>
        <v>0</v>
      </c>
      <c r="D108" t="str">
        <f>IF(A108="","",COUNTIF(liste_des_abonnés!$G$6:$G$1040995,A108))</f>
        <v/>
      </c>
      <c r="E108" t="str">
        <f t="shared" si="2"/>
        <v/>
      </c>
      <c r="F108" s="24" t="s">
        <v>43</v>
      </c>
      <c r="G108" t="str">
        <f t="shared" si="3"/>
        <v xml:space="preserve"> Président</v>
      </c>
    </row>
    <row r="109" spans="1:7" x14ac:dyDescent="0.25">
      <c r="A109" s="4" t="str">
        <f>IF(CE_et_liste_fontaines!H113="","",CE_et_liste_fontaines!H113)</f>
        <v/>
      </c>
      <c r="B109" t="e">
        <f>VLOOKUP(G109,Info2!$A$2:$B$204,2,0)</f>
        <v>#N/A</v>
      </c>
      <c r="C109">
        <f>CE_et_liste_fontaines!I113</f>
        <v>0</v>
      </c>
      <c r="D109" t="str">
        <f>IF(A109="","",COUNTIF(liste_des_abonnés!$G$6:$G$1040995,A109))</f>
        <v/>
      </c>
      <c r="E109" t="str">
        <f t="shared" si="2"/>
        <v/>
      </c>
      <c r="F109" s="24" t="s">
        <v>43</v>
      </c>
      <c r="G109" t="str">
        <f t="shared" si="3"/>
        <v xml:space="preserve"> Président</v>
      </c>
    </row>
    <row r="110" spans="1:7" x14ac:dyDescent="0.25">
      <c r="A110" s="4" t="str">
        <f>IF(CE_et_liste_fontaines!H114="","",CE_et_liste_fontaines!H114)</f>
        <v/>
      </c>
      <c r="B110" t="e">
        <f>VLOOKUP(G110,Info2!$A$2:$B$204,2,0)</f>
        <v>#N/A</v>
      </c>
      <c r="C110">
        <f>CE_et_liste_fontaines!I114</f>
        <v>0</v>
      </c>
      <c r="D110" t="str">
        <f>IF(A110="","",COUNTIF(liste_des_abonnés!$G$6:$G$1040995,A110))</f>
        <v/>
      </c>
      <c r="E110" t="str">
        <f t="shared" si="2"/>
        <v/>
      </c>
      <c r="F110" s="24" t="s">
        <v>43</v>
      </c>
      <c r="G110" t="str">
        <f t="shared" si="3"/>
        <v xml:space="preserve"> Président</v>
      </c>
    </row>
    <row r="111" spans="1:7" x14ac:dyDescent="0.25">
      <c r="A111" s="4" t="str">
        <f>IF(CE_et_liste_fontaines!H115="","",CE_et_liste_fontaines!H115)</f>
        <v/>
      </c>
      <c r="B111" t="e">
        <f>VLOOKUP(G111,Info2!$A$2:$B$204,2,0)</f>
        <v>#N/A</v>
      </c>
      <c r="C111">
        <f>CE_et_liste_fontaines!I115</f>
        <v>0</v>
      </c>
      <c r="D111" t="str">
        <f>IF(A111="","",COUNTIF(liste_des_abonnés!$G$6:$G$1040995,A111))</f>
        <v/>
      </c>
      <c r="E111" t="str">
        <f t="shared" si="2"/>
        <v/>
      </c>
      <c r="F111" s="24" t="s">
        <v>43</v>
      </c>
      <c r="G111" t="str">
        <f t="shared" si="3"/>
        <v xml:space="preserve"> Président</v>
      </c>
    </row>
    <row r="112" spans="1:7" x14ac:dyDescent="0.25">
      <c r="A112" s="4" t="str">
        <f>IF(CE_et_liste_fontaines!H116="","",CE_et_liste_fontaines!H116)</f>
        <v/>
      </c>
      <c r="B112" t="e">
        <f>VLOOKUP(G112,Info2!$A$2:$B$204,2,0)</f>
        <v>#N/A</v>
      </c>
      <c r="C112">
        <f>CE_et_liste_fontaines!I116</f>
        <v>0</v>
      </c>
      <c r="D112" t="str">
        <f>IF(A112="","",COUNTIF(liste_des_abonnés!$G$6:$G$1040995,A112))</f>
        <v/>
      </c>
      <c r="E112" t="str">
        <f t="shared" si="2"/>
        <v/>
      </c>
      <c r="F112" s="24" t="s">
        <v>43</v>
      </c>
      <c r="G112" t="str">
        <f t="shared" si="3"/>
        <v xml:space="preserve"> Président</v>
      </c>
    </row>
    <row r="113" spans="1:7" x14ac:dyDescent="0.25">
      <c r="A113" s="4" t="str">
        <f>IF(CE_et_liste_fontaines!H117="","",CE_et_liste_fontaines!H117)</f>
        <v/>
      </c>
      <c r="B113" t="e">
        <f>VLOOKUP(G113,Info2!$A$2:$B$204,2,0)</f>
        <v>#N/A</v>
      </c>
      <c r="C113">
        <f>CE_et_liste_fontaines!I117</f>
        <v>0</v>
      </c>
      <c r="D113" t="str">
        <f>IF(A113="","",COUNTIF(liste_des_abonnés!$G$6:$G$1040995,A113))</f>
        <v/>
      </c>
      <c r="E113" t="str">
        <f t="shared" si="2"/>
        <v/>
      </c>
      <c r="F113" s="24" t="s">
        <v>43</v>
      </c>
      <c r="G113" t="str">
        <f t="shared" si="3"/>
        <v xml:space="preserve"> Président</v>
      </c>
    </row>
    <row r="114" spans="1:7" x14ac:dyDescent="0.25">
      <c r="A114" s="4" t="str">
        <f>IF(CE_et_liste_fontaines!H118="","",CE_et_liste_fontaines!H118)</f>
        <v/>
      </c>
      <c r="B114" t="e">
        <f>VLOOKUP(G114,Info2!$A$2:$B$204,2,0)</f>
        <v>#N/A</v>
      </c>
      <c r="C114">
        <f>CE_et_liste_fontaines!I118</f>
        <v>0</v>
      </c>
      <c r="D114" t="str">
        <f>IF(A114="","",COUNTIF(liste_des_abonnés!$G$6:$G$1040995,A114))</f>
        <v/>
      </c>
      <c r="E114" t="str">
        <f t="shared" si="2"/>
        <v/>
      </c>
      <c r="F114" s="24" t="s">
        <v>43</v>
      </c>
      <c r="G114" t="str">
        <f t="shared" si="3"/>
        <v xml:space="preserve"> Président</v>
      </c>
    </row>
    <row r="115" spans="1:7" x14ac:dyDescent="0.25">
      <c r="A115" s="4" t="str">
        <f>IF(CE_et_liste_fontaines!H119="","",CE_et_liste_fontaines!H119)</f>
        <v/>
      </c>
      <c r="B115" t="e">
        <f>VLOOKUP(G115,Info2!$A$2:$B$204,2,0)</f>
        <v>#N/A</v>
      </c>
      <c r="C115">
        <f>CE_et_liste_fontaines!I119</f>
        <v>0</v>
      </c>
      <c r="D115" t="str">
        <f>IF(A115="","",COUNTIF(liste_des_abonnés!$G$6:$G$1040995,A115))</f>
        <v/>
      </c>
      <c r="E115" t="str">
        <f t="shared" si="2"/>
        <v/>
      </c>
      <c r="F115" s="24" t="s">
        <v>43</v>
      </c>
      <c r="G115" t="str">
        <f t="shared" si="3"/>
        <v xml:space="preserve"> Président</v>
      </c>
    </row>
    <row r="116" spans="1:7" x14ac:dyDescent="0.25">
      <c r="A116" s="4" t="str">
        <f>IF(CE_et_liste_fontaines!H120="","",CE_et_liste_fontaines!H120)</f>
        <v/>
      </c>
      <c r="B116" t="e">
        <f>VLOOKUP(G116,Info2!$A$2:$B$204,2,0)</f>
        <v>#N/A</v>
      </c>
      <c r="C116">
        <f>CE_et_liste_fontaines!I120</f>
        <v>0</v>
      </c>
      <c r="D116" t="str">
        <f>IF(A116="","",COUNTIF(liste_des_abonnés!$G$6:$G$1040995,A116))</f>
        <v/>
      </c>
      <c r="E116" t="str">
        <f t="shared" si="2"/>
        <v/>
      </c>
      <c r="F116" s="24" t="s">
        <v>43</v>
      </c>
      <c r="G116" t="str">
        <f t="shared" si="3"/>
        <v xml:space="preserve"> Président</v>
      </c>
    </row>
    <row r="117" spans="1:7" x14ac:dyDescent="0.25">
      <c r="A117" s="4" t="str">
        <f>IF(CE_et_liste_fontaines!H121="","",CE_et_liste_fontaines!H121)</f>
        <v/>
      </c>
      <c r="B117" t="e">
        <f>VLOOKUP(G117,Info2!$A$2:$B$204,2,0)</f>
        <v>#N/A</v>
      </c>
      <c r="C117">
        <f>CE_et_liste_fontaines!I121</f>
        <v>0</v>
      </c>
      <c r="D117" t="str">
        <f>IF(A117="","",COUNTIF(liste_des_abonnés!$G$6:$G$1040995,A117))</f>
        <v/>
      </c>
      <c r="E117" t="str">
        <f t="shared" si="2"/>
        <v/>
      </c>
      <c r="F117" s="24" t="s">
        <v>43</v>
      </c>
      <c r="G117" t="str">
        <f t="shared" si="3"/>
        <v xml:space="preserve"> Président</v>
      </c>
    </row>
    <row r="118" spans="1:7" x14ac:dyDescent="0.25">
      <c r="A118" s="4" t="str">
        <f>IF(CE_et_liste_fontaines!H122="","",CE_et_liste_fontaines!H122)</f>
        <v/>
      </c>
      <c r="B118" t="e">
        <f>VLOOKUP(G118,Info2!$A$2:$B$204,2,0)</f>
        <v>#N/A</v>
      </c>
      <c r="C118">
        <f>CE_et_liste_fontaines!I122</f>
        <v>0</v>
      </c>
      <c r="D118" t="str">
        <f>IF(A118="","",COUNTIF(liste_des_abonnés!$G$6:$G$1040995,A118))</f>
        <v/>
      </c>
      <c r="E118" t="str">
        <f t="shared" si="2"/>
        <v/>
      </c>
      <c r="F118" s="24" t="s">
        <v>43</v>
      </c>
      <c r="G118" t="str">
        <f t="shared" si="3"/>
        <v xml:space="preserve"> Président</v>
      </c>
    </row>
    <row r="119" spans="1:7" x14ac:dyDescent="0.25">
      <c r="A119" s="4" t="str">
        <f>IF(CE_et_liste_fontaines!H123="","",CE_et_liste_fontaines!H123)</f>
        <v/>
      </c>
      <c r="B119" t="e">
        <f>VLOOKUP(G119,Info2!$A$2:$B$204,2,0)</f>
        <v>#N/A</v>
      </c>
      <c r="C119">
        <f>CE_et_liste_fontaines!I123</f>
        <v>0</v>
      </c>
      <c r="D119" t="str">
        <f>IF(A119="","",COUNTIF(liste_des_abonnés!$G$6:$G$1040995,A119))</f>
        <v/>
      </c>
      <c r="E119" t="str">
        <f t="shared" si="2"/>
        <v/>
      </c>
      <c r="F119" s="24" t="s">
        <v>43</v>
      </c>
      <c r="G119" t="str">
        <f t="shared" si="3"/>
        <v xml:space="preserve"> Président</v>
      </c>
    </row>
    <row r="120" spans="1:7" x14ac:dyDescent="0.25">
      <c r="A120" s="4" t="str">
        <f>IF(CE_et_liste_fontaines!H124="","",CE_et_liste_fontaines!H124)</f>
        <v/>
      </c>
      <c r="B120" t="e">
        <f>VLOOKUP(G120,Info2!$A$2:$B$204,2,0)</f>
        <v>#N/A</v>
      </c>
      <c r="C120">
        <f>CE_et_liste_fontaines!I124</f>
        <v>0</v>
      </c>
      <c r="D120" t="str">
        <f>IF(A120="","",COUNTIF(liste_des_abonnés!$G$6:$G$1040995,A120))</f>
        <v/>
      </c>
      <c r="E120" t="str">
        <f t="shared" si="2"/>
        <v/>
      </c>
      <c r="F120" s="24" t="s">
        <v>43</v>
      </c>
      <c r="G120" t="str">
        <f t="shared" si="3"/>
        <v xml:space="preserve"> Président</v>
      </c>
    </row>
    <row r="121" spans="1:7" x14ac:dyDescent="0.25">
      <c r="A121" s="4" t="str">
        <f>IF(CE_et_liste_fontaines!H125="","",CE_et_liste_fontaines!H125)</f>
        <v/>
      </c>
      <c r="B121" t="e">
        <f>VLOOKUP(G121,Info2!$A$2:$B$204,2,0)</f>
        <v>#N/A</v>
      </c>
      <c r="C121">
        <f>CE_et_liste_fontaines!I125</f>
        <v>0</v>
      </c>
      <c r="D121" t="str">
        <f>IF(A121="","",COUNTIF(liste_des_abonnés!$G$6:$G$1040995,A121))</f>
        <v/>
      </c>
      <c r="E121" t="str">
        <f t="shared" si="2"/>
        <v/>
      </c>
      <c r="F121" s="24" t="s">
        <v>43</v>
      </c>
      <c r="G121" t="str">
        <f t="shared" si="3"/>
        <v xml:space="preserve"> Président</v>
      </c>
    </row>
    <row r="122" spans="1:7" x14ac:dyDescent="0.25">
      <c r="A122" s="4" t="str">
        <f>IF(CE_et_liste_fontaines!H126="","",CE_et_liste_fontaines!H126)</f>
        <v/>
      </c>
      <c r="B122" t="e">
        <f>VLOOKUP(G122,Info2!$A$2:$B$204,2,0)</f>
        <v>#N/A</v>
      </c>
      <c r="C122">
        <f>CE_et_liste_fontaines!I126</f>
        <v>0</v>
      </c>
      <c r="D122" t="str">
        <f>IF(A122="","",COUNTIF(liste_des_abonnés!$G$6:$G$1040995,A122))</f>
        <v/>
      </c>
      <c r="E122" t="str">
        <f t="shared" si="2"/>
        <v/>
      </c>
      <c r="F122" s="24" t="s">
        <v>43</v>
      </c>
      <c r="G122" t="str">
        <f t="shared" si="3"/>
        <v xml:space="preserve"> Président</v>
      </c>
    </row>
    <row r="123" spans="1:7" x14ac:dyDescent="0.25">
      <c r="A123" s="4" t="str">
        <f>IF(CE_et_liste_fontaines!H127="","",CE_et_liste_fontaines!H127)</f>
        <v/>
      </c>
      <c r="B123" t="e">
        <f>VLOOKUP(G123,Info2!$A$2:$B$204,2,0)</f>
        <v>#N/A</v>
      </c>
      <c r="C123">
        <f>CE_et_liste_fontaines!I127</f>
        <v>0</v>
      </c>
      <c r="D123" t="str">
        <f>IF(A123="","",COUNTIF(liste_des_abonnés!$G$6:$G$1040995,A123))</f>
        <v/>
      </c>
      <c r="E123" t="str">
        <f t="shared" si="2"/>
        <v/>
      </c>
      <c r="F123" s="24" t="s">
        <v>43</v>
      </c>
      <c r="G123" t="str">
        <f t="shared" si="3"/>
        <v xml:space="preserve"> Président</v>
      </c>
    </row>
    <row r="124" spans="1:7" x14ac:dyDescent="0.25">
      <c r="A124" s="4" t="str">
        <f>IF(CE_et_liste_fontaines!H128="","",CE_et_liste_fontaines!H128)</f>
        <v/>
      </c>
      <c r="B124" t="e">
        <f>VLOOKUP(G124,Info2!$A$2:$B$204,2,0)</f>
        <v>#N/A</v>
      </c>
      <c r="C124">
        <f>CE_et_liste_fontaines!I128</f>
        <v>0</v>
      </c>
      <c r="D124" t="str">
        <f>IF(A124="","",COUNTIF(liste_des_abonnés!$G$6:$G$1040995,A124))</f>
        <v/>
      </c>
      <c r="E124" t="str">
        <f t="shared" si="2"/>
        <v/>
      </c>
      <c r="F124" s="24" t="s">
        <v>43</v>
      </c>
      <c r="G124" t="str">
        <f t="shared" si="3"/>
        <v xml:space="preserve"> Président</v>
      </c>
    </row>
    <row r="125" spans="1:7" x14ac:dyDescent="0.25">
      <c r="A125" s="4" t="str">
        <f>IF(CE_et_liste_fontaines!H129="","",CE_et_liste_fontaines!H129)</f>
        <v/>
      </c>
      <c r="B125" t="e">
        <f>VLOOKUP(G125,Info2!$A$2:$B$204,2,0)</f>
        <v>#N/A</v>
      </c>
      <c r="C125">
        <f>CE_et_liste_fontaines!I129</f>
        <v>0</v>
      </c>
      <c r="D125" t="str">
        <f>IF(A125="","",COUNTIF(liste_des_abonnés!$G$6:$G$1040995,A125))</f>
        <v/>
      </c>
      <c r="E125" t="str">
        <f t="shared" si="2"/>
        <v/>
      </c>
      <c r="F125" s="24" t="s">
        <v>43</v>
      </c>
      <c r="G125" t="str">
        <f t="shared" si="3"/>
        <v xml:space="preserve"> Président</v>
      </c>
    </row>
    <row r="126" spans="1:7" x14ac:dyDescent="0.25">
      <c r="A126" s="4" t="str">
        <f>IF(CE_et_liste_fontaines!H130="","",CE_et_liste_fontaines!H130)</f>
        <v/>
      </c>
      <c r="B126" t="e">
        <f>VLOOKUP(G126,Info2!$A$2:$B$204,2,0)</f>
        <v>#N/A</v>
      </c>
      <c r="C126">
        <f>CE_et_liste_fontaines!I130</f>
        <v>0</v>
      </c>
      <c r="D126" t="str">
        <f>IF(A126="","",COUNTIF(liste_des_abonnés!$G$6:$G$1040995,A126))</f>
        <v/>
      </c>
      <c r="E126" t="str">
        <f t="shared" si="2"/>
        <v/>
      </c>
      <c r="F126" s="24" t="s">
        <v>43</v>
      </c>
      <c r="G126" t="str">
        <f t="shared" si="3"/>
        <v xml:space="preserve"> Président</v>
      </c>
    </row>
    <row r="127" spans="1:7" x14ac:dyDescent="0.25">
      <c r="A127" s="4" t="str">
        <f>IF(CE_et_liste_fontaines!H131="","",CE_et_liste_fontaines!H131)</f>
        <v/>
      </c>
      <c r="B127" t="e">
        <f>VLOOKUP(G127,Info2!$A$2:$B$204,2,0)</f>
        <v>#N/A</v>
      </c>
      <c r="C127">
        <f>CE_et_liste_fontaines!I131</f>
        <v>0</v>
      </c>
      <c r="D127" t="str">
        <f>IF(A127="","",COUNTIF(liste_des_abonnés!$G$6:$G$1040995,A127))</f>
        <v/>
      </c>
      <c r="E127" t="str">
        <f t="shared" si="2"/>
        <v/>
      </c>
      <c r="F127" s="24" t="s">
        <v>43</v>
      </c>
      <c r="G127" t="str">
        <f t="shared" si="3"/>
        <v xml:space="preserve"> Président</v>
      </c>
    </row>
    <row r="128" spans="1:7" x14ac:dyDescent="0.25">
      <c r="A128" s="4" t="str">
        <f>IF(CE_et_liste_fontaines!H132="","",CE_et_liste_fontaines!H132)</f>
        <v/>
      </c>
      <c r="B128" t="e">
        <f>VLOOKUP(G128,Info2!$A$2:$B$204,2,0)</f>
        <v>#N/A</v>
      </c>
      <c r="C128">
        <f>CE_et_liste_fontaines!I132</f>
        <v>0</v>
      </c>
      <c r="D128" t="str">
        <f>IF(A128="","",COUNTIF(liste_des_abonnés!$G$6:$G$1040995,A128))</f>
        <v/>
      </c>
      <c r="E128" t="str">
        <f t="shared" si="2"/>
        <v/>
      </c>
      <c r="F128" s="24" t="s">
        <v>43</v>
      </c>
      <c r="G128" t="str">
        <f t="shared" si="3"/>
        <v xml:space="preserve"> Président</v>
      </c>
    </row>
    <row r="129" spans="1:7" x14ac:dyDescent="0.25">
      <c r="A129" s="4" t="str">
        <f>IF(CE_et_liste_fontaines!H133="","",CE_et_liste_fontaines!H133)</f>
        <v/>
      </c>
      <c r="B129" t="e">
        <f>VLOOKUP(G129,Info2!$A$2:$B$204,2,0)</f>
        <v>#N/A</v>
      </c>
      <c r="C129">
        <f>CE_et_liste_fontaines!I133</f>
        <v>0</v>
      </c>
      <c r="D129" t="str">
        <f>IF(A129="","",COUNTIF(liste_des_abonnés!$G$6:$G$1040995,A129))</f>
        <v/>
      </c>
      <c r="E129" t="str">
        <f t="shared" si="2"/>
        <v/>
      </c>
      <c r="F129" s="24" t="s">
        <v>43</v>
      </c>
      <c r="G129" t="str">
        <f t="shared" si="3"/>
        <v xml:space="preserve"> Président</v>
      </c>
    </row>
    <row r="130" spans="1:7" x14ac:dyDescent="0.25">
      <c r="A130" s="4" t="str">
        <f>IF(CE_et_liste_fontaines!H134="","",CE_et_liste_fontaines!H134)</f>
        <v/>
      </c>
      <c r="B130" t="e">
        <f>VLOOKUP(G130,Info2!$A$2:$B$204,2,0)</f>
        <v>#N/A</v>
      </c>
      <c r="C130">
        <f>CE_et_liste_fontaines!I134</f>
        <v>0</v>
      </c>
      <c r="D130" t="str">
        <f>IF(A130="","",COUNTIF(liste_des_abonnés!$G$6:$G$1040995,A130))</f>
        <v/>
      </c>
      <c r="E130" t="str">
        <f t="shared" ref="E130:E193" si="4">A130</f>
        <v/>
      </c>
      <c r="F130" s="24" t="s">
        <v>43</v>
      </c>
      <c r="G130" t="str">
        <f t="shared" ref="G130:G193" si="5">E130&amp;F130</f>
        <v xml:space="preserve"> Président</v>
      </c>
    </row>
    <row r="131" spans="1:7" x14ac:dyDescent="0.25">
      <c r="A131" s="4" t="str">
        <f>IF(CE_et_liste_fontaines!H135="","",CE_et_liste_fontaines!H135)</f>
        <v/>
      </c>
      <c r="B131" t="e">
        <f>VLOOKUP(G131,Info2!$A$2:$B$204,2,0)</f>
        <v>#N/A</v>
      </c>
      <c r="C131">
        <f>CE_et_liste_fontaines!I135</f>
        <v>0</v>
      </c>
      <c r="D131" t="str">
        <f>IF(A131="","",COUNTIF(liste_des_abonnés!$G$6:$G$1040995,A131))</f>
        <v/>
      </c>
      <c r="E131" t="str">
        <f t="shared" si="4"/>
        <v/>
      </c>
      <c r="F131" s="24" t="s">
        <v>43</v>
      </c>
      <c r="G131" t="str">
        <f t="shared" si="5"/>
        <v xml:space="preserve"> Président</v>
      </c>
    </row>
    <row r="132" spans="1:7" x14ac:dyDescent="0.25">
      <c r="A132" s="4" t="str">
        <f>IF(CE_et_liste_fontaines!H136="","",CE_et_liste_fontaines!H136)</f>
        <v/>
      </c>
      <c r="B132" t="e">
        <f>VLOOKUP(G132,Info2!$A$2:$B$204,2,0)</f>
        <v>#N/A</v>
      </c>
      <c r="C132">
        <f>CE_et_liste_fontaines!I136</f>
        <v>0</v>
      </c>
      <c r="D132" t="str">
        <f>IF(A132="","",COUNTIF(liste_des_abonnés!$G$6:$G$1040995,A132))</f>
        <v/>
      </c>
      <c r="E132" t="str">
        <f t="shared" si="4"/>
        <v/>
      </c>
      <c r="F132" s="24" t="s">
        <v>43</v>
      </c>
      <c r="G132" t="str">
        <f t="shared" si="5"/>
        <v xml:space="preserve"> Président</v>
      </c>
    </row>
    <row r="133" spans="1:7" x14ac:dyDescent="0.25">
      <c r="A133" s="4" t="str">
        <f>IF(CE_et_liste_fontaines!H137="","",CE_et_liste_fontaines!H137)</f>
        <v/>
      </c>
      <c r="B133" t="e">
        <f>VLOOKUP(G133,Info2!$A$2:$B$204,2,0)</f>
        <v>#N/A</v>
      </c>
      <c r="C133">
        <f>CE_et_liste_fontaines!I137</f>
        <v>0</v>
      </c>
      <c r="D133" t="str">
        <f>IF(A133="","",COUNTIF(liste_des_abonnés!$G$6:$G$1040995,A133))</f>
        <v/>
      </c>
      <c r="E133" t="str">
        <f t="shared" si="4"/>
        <v/>
      </c>
      <c r="F133" s="24" t="s">
        <v>43</v>
      </c>
      <c r="G133" t="str">
        <f t="shared" si="5"/>
        <v xml:space="preserve"> Président</v>
      </c>
    </row>
    <row r="134" spans="1:7" x14ac:dyDescent="0.25">
      <c r="A134" s="4" t="str">
        <f>IF(CE_et_liste_fontaines!H138="","",CE_et_liste_fontaines!H138)</f>
        <v/>
      </c>
      <c r="B134" t="e">
        <f>VLOOKUP(G134,Info2!$A$2:$B$204,2,0)</f>
        <v>#N/A</v>
      </c>
      <c r="C134">
        <f>CE_et_liste_fontaines!I138</f>
        <v>0</v>
      </c>
      <c r="D134" t="str">
        <f>IF(A134="","",COUNTIF(liste_des_abonnés!$G$6:$G$1040995,A134))</f>
        <v/>
      </c>
      <c r="E134" t="str">
        <f t="shared" si="4"/>
        <v/>
      </c>
      <c r="F134" s="24" t="s">
        <v>43</v>
      </c>
      <c r="G134" t="str">
        <f t="shared" si="5"/>
        <v xml:space="preserve"> Président</v>
      </c>
    </row>
    <row r="135" spans="1:7" x14ac:dyDescent="0.25">
      <c r="A135" s="4" t="str">
        <f>IF(CE_et_liste_fontaines!H139="","",CE_et_liste_fontaines!H139)</f>
        <v/>
      </c>
      <c r="B135" t="e">
        <f>VLOOKUP(G135,Info2!$A$2:$B$204,2,0)</f>
        <v>#N/A</v>
      </c>
      <c r="C135">
        <f>CE_et_liste_fontaines!I139</f>
        <v>0</v>
      </c>
      <c r="D135" t="str">
        <f>IF(A135="","",COUNTIF(liste_des_abonnés!$G$6:$G$1040995,A135))</f>
        <v/>
      </c>
      <c r="E135" t="str">
        <f t="shared" si="4"/>
        <v/>
      </c>
      <c r="F135" s="24" t="s">
        <v>43</v>
      </c>
      <c r="G135" t="str">
        <f t="shared" si="5"/>
        <v xml:space="preserve"> Président</v>
      </c>
    </row>
    <row r="136" spans="1:7" x14ac:dyDescent="0.25">
      <c r="A136" s="4" t="str">
        <f>IF(CE_et_liste_fontaines!H140="","",CE_et_liste_fontaines!H140)</f>
        <v/>
      </c>
      <c r="B136" t="e">
        <f>VLOOKUP(G136,Info2!$A$2:$B$204,2,0)</f>
        <v>#N/A</v>
      </c>
      <c r="C136">
        <f>CE_et_liste_fontaines!I140</f>
        <v>0</v>
      </c>
      <c r="D136" t="str">
        <f>IF(A136="","",COUNTIF(liste_des_abonnés!$G$6:$G$1040995,A136))</f>
        <v/>
      </c>
      <c r="E136" t="str">
        <f t="shared" si="4"/>
        <v/>
      </c>
      <c r="F136" s="24" t="s">
        <v>43</v>
      </c>
      <c r="G136" t="str">
        <f t="shared" si="5"/>
        <v xml:space="preserve"> Président</v>
      </c>
    </row>
    <row r="137" spans="1:7" x14ac:dyDescent="0.25">
      <c r="A137" s="4" t="str">
        <f>IF(CE_et_liste_fontaines!H141="","",CE_et_liste_fontaines!H141)</f>
        <v/>
      </c>
      <c r="B137" t="e">
        <f>VLOOKUP(G137,Info2!$A$2:$B$204,2,0)</f>
        <v>#N/A</v>
      </c>
      <c r="C137">
        <f>CE_et_liste_fontaines!I141</f>
        <v>0</v>
      </c>
      <c r="D137" t="str">
        <f>IF(A137="","",COUNTIF(liste_des_abonnés!$G$6:$G$1040995,A137))</f>
        <v/>
      </c>
      <c r="E137" t="str">
        <f t="shared" si="4"/>
        <v/>
      </c>
      <c r="F137" s="24" t="s">
        <v>43</v>
      </c>
      <c r="G137" t="str">
        <f t="shared" si="5"/>
        <v xml:space="preserve"> Président</v>
      </c>
    </row>
    <row r="138" spans="1:7" x14ac:dyDescent="0.25">
      <c r="A138" s="4" t="str">
        <f>IF(CE_et_liste_fontaines!H142="","",CE_et_liste_fontaines!H142)</f>
        <v/>
      </c>
      <c r="B138" t="e">
        <f>VLOOKUP(G138,Info2!$A$2:$B$204,2,0)</f>
        <v>#N/A</v>
      </c>
      <c r="C138">
        <f>CE_et_liste_fontaines!I142</f>
        <v>0</v>
      </c>
      <c r="D138" t="str">
        <f>IF(A138="","",COUNTIF(liste_des_abonnés!$G$6:$G$1040995,A138))</f>
        <v/>
      </c>
      <c r="E138" t="str">
        <f t="shared" si="4"/>
        <v/>
      </c>
      <c r="F138" s="24" t="s">
        <v>43</v>
      </c>
      <c r="G138" t="str">
        <f t="shared" si="5"/>
        <v xml:space="preserve"> Président</v>
      </c>
    </row>
    <row r="139" spans="1:7" x14ac:dyDescent="0.25">
      <c r="A139" s="4" t="str">
        <f>IF(CE_et_liste_fontaines!H143="","",CE_et_liste_fontaines!H143)</f>
        <v/>
      </c>
      <c r="B139" t="e">
        <f>VLOOKUP(G139,Info2!$A$2:$B$204,2,0)</f>
        <v>#N/A</v>
      </c>
      <c r="C139">
        <f>CE_et_liste_fontaines!I143</f>
        <v>0</v>
      </c>
      <c r="D139" t="str">
        <f>IF(A139="","",COUNTIF(liste_des_abonnés!$G$6:$G$1040995,A139))</f>
        <v/>
      </c>
      <c r="E139" t="str">
        <f t="shared" si="4"/>
        <v/>
      </c>
      <c r="F139" s="24" t="s">
        <v>43</v>
      </c>
      <c r="G139" t="str">
        <f t="shared" si="5"/>
        <v xml:space="preserve"> Président</v>
      </c>
    </row>
    <row r="140" spans="1:7" x14ac:dyDescent="0.25">
      <c r="A140" s="4" t="str">
        <f>IF(CE_et_liste_fontaines!H144="","",CE_et_liste_fontaines!H144)</f>
        <v/>
      </c>
      <c r="B140" t="e">
        <f>VLOOKUP(G140,Info2!$A$2:$B$204,2,0)</f>
        <v>#N/A</v>
      </c>
      <c r="C140">
        <f>CE_et_liste_fontaines!I144</f>
        <v>0</v>
      </c>
      <c r="D140" t="str">
        <f>IF(A140="","",COUNTIF(liste_des_abonnés!$G$6:$G$1040995,A140))</f>
        <v/>
      </c>
      <c r="E140" t="str">
        <f t="shared" si="4"/>
        <v/>
      </c>
      <c r="F140" s="24" t="s">
        <v>43</v>
      </c>
      <c r="G140" t="str">
        <f t="shared" si="5"/>
        <v xml:space="preserve"> Président</v>
      </c>
    </row>
    <row r="141" spans="1:7" x14ac:dyDescent="0.25">
      <c r="A141" s="4" t="str">
        <f>IF(CE_et_liste_fontaines!H145="","",CE_et_liste_fontaines!H145)</f>
        <v/>
      </c>
      <c r="B141" t="e">
        <f>VLOOKUP(G141,Info2!$A$2:$B$204,2,0)</f>
        <v>#N/A</v>
      </c>
      <c r="C141">
        <f>CE_et_liste_fontaines!I145</f>
        <v>0</v>
      </c>
      <c r="D141" t="str">
        <f>IF(A141="","",COUNTIF(liste_des_abonnés!$G$6:$G$1040995,A141))</f>
        <v/>
      </c>
      <c r="E141" t="str">
        <f t="shared" si="4"/>
        <v/>
      </c>
      <c r="F141" s="24" t="s">
        <v>43</v>
      </c>
      <c r="G141" t="str">
        <f t="shared" si="5"/>
        <v xml:space="preserve"> Président</v>
      </c>
    </row>
    <row r="142" spans="1:7" x14ac:dyDescent="0.25">
      <c r="A142" s="4" t="str">
        <f>IF(CE_et_liste_fontaines!H146="","",CE_et_liste_fontaines!H146)</f>
        <v/>
      </c>
      <c r="B142" t="e">
        <f>VLOOKUP(G142,Info2!$A$2:$B$204,2,0)</f>
        <v>#N/A</v>
      </c>
      <c r="C142">
        <f>CE_et_liste_fontaines!I146</f>
        <v>0</v>
      </c>
      <c r="D142" t="str">
        <f>IF(A142="","",COUNTIF(liste_des_abonnés!$G$6:$G$1040995,A142))</f>
        <v/>
      </c>
      <c r="E142" t="str">
        <f t="shared" si="4"/>
        <v/>
      </c>
      <c r="F142" s="24" t="s">
        <v>43</v>
      </c>
      <c r="G142" t="str">
        <f t="shared" si="5"/>
        <v xml:space="preserve"> Président</v>
      </c>
    </row>
    <row r="143" spans="1:7" x14ac:dyDescent="0.25">
      <c r="A143" s="4" t="str">
        <f>IF(CE_et_liste_fontaines!H147="","",CE_et_liste_fontaines!H147)</f>
        <v/>
      </c>
      <c r="B143" t="e">
        <f>VLOOKUP(G143,Info2!$A$2:$B$204,2,0)</f>
        <v>#N/A</v>
      </c>
      <c r="C143">
        <f>CE_et_liste_fontaines!I147</f>
        <v>0</v>
      </c>
      <c r="D143" t="str">
        <f>IF(A143="","",COUNTIF(liste_des_abonnés!$G$6:$G$1040995,A143))</f>
        <v/>
      </c>
      <c r="E143" t="str">
        <f t="shared" si="4"/>
        <v/>
      </c>
      <c r="F143" s="24" t="s">
        <v>43</v>
      </c>
      <c r="G143" t="str">
        <f t="shared" si="5"/>
        <v xml:space="preserve"> Président</v>
      </c>
    </row>
    <row r="144" spans="1:7" x14ac:dyDescent="0.25">
      <c r="A144" s="4" t="str">
        <f>IF(CE_et_liste_fontaines!H148="","",CE_et_liste_fontaines!H148)</f>
        <v/>
      </c>
      <c r="B144" t="e">
        <f>VLOOKUP(G144,Info2!$A$2:$B$204,2,0)</f>
        <v>#N/A</v>
      </c>
      <c r="C144">
        <f>CE_et_liste_fontaines!I148</f>
        <v>0</v>
      </c>
      <c r="D144" t="str">
        <f>IF(A144="","",COUNTIF(liste_des_abonnés!$G$6:$G$1040995,A144))</f>
        <v/>
      </c>
      <c r="E144" t="str">
        <f t="shared" si="4"/>
        <v/>
      </c>
      <c r="F144" s="24" t="s">
        <v>43</v>
      </c>
      <c r="G144" t="str">
        <f t="shared" si="5"/>
        <v xml:space="preserve"> Président</v>
      </c>
    </row>
    <row r="145" spans="1:7" x14ac:dyDescent="0.25">
      <c r="A145" s="4" t="str">
        <f>IF(CE_et_liste_fontaines!H149="","",CE_et_liste_fontaines!H149)</f>
        <v/>
      </c>
      <c r="B145" t="e">
        <f>VLOOKUP(G145,Info2!$A$2:$B$204,2,0)</f>
        <v>#N/A</v>
      </c>
      <c r="C145">
        <f>CE_et_liste_fontaines!I149</f>
        <v>0</v>
      </c>
      <c r="D145" t="str">
        <f>IF(A145="","",COUNTIF(liste_des_abonnés!$G$6:$G$1040995,A145))</f>
        <v/>
      </c>
      <c r="E145" t="str">
        <f t="shared" si="4"/>
        <v/>
      </c>
      <c r="F145" s="24" t="s">
        <v>43</v>
      </c>
      <c r="G145" t="str">
        <f t="shared" si="5"/>
        <v xml:space="preserve"> Président</v>
      </c>
    </row>
    <row r="146" spans="1:7" x14ac:dyDescent="0.25">
      <c r="A146" s="4" t="str">
        <f>IF(CE_et_liste_fontaines!H150="","",CE_et_liste_fontaines!H150)</f>
        <v/>
      </c>
      <c r="B146" t="e">
        <f>VLOOKUP(G146,Info2!$A$2:$B$204,2,0)</f>
        <v>#N/A</v>
      </c>
      <c r="C146">
        <f>CE_et_liste_fontaines!I150</f>
        <v>0</v>
      </c>
      <c r="D146" t="str">
        <f>IF(A146="","",COUNTIF(liste_des_abonnés!$G$6:$G$1040995,A146))</f>
        <v/>
      </c>
      <c r="E146" t="str">
        <f t="shared" si="4"/>
        <v/>
      </c>
      <c r="F146" s="24" t="s">
        <v>43</v>
      </c>
      <c r="G146" t="str">
        <f t="shared" si="5"/>
        <v xml:space="preserve"> Président</v>
      </c>
    </row>
    <row r="147" spans="1:7" x14ac:dyDescent="0.25">
      <c r="A147" s="4" t="str">
        <f>IF(CE_et_liste_fontaines!H151="","",CE_et_liste_fontaines!H151)</f>
        <v/>
      </c>
      <c r="B147" t="e">
        <f>VLOOKUP(G147,Info2!$A$2:$B$204,2,0)</f>
        <v>#N/A</v>
      </c>
      <c r="C147">
        <f>CE_et_liste_fontaines!I151</f>
        <v>0</v>
      </c>
      <c r="D147" t="str">
        <f>IF(A147="","",COUNTIF(liste_des_abonnés!$G$6:$G$1040995,A147))</f>
        <v/>
      </c>
      <c r="E147" t="str">
        <f t="shared" si="4"/>
        <v/>
      </c>
      <c r="F147" s="24" t="s">
        <v>43</v>
      </c>
      <c r="G147" t="str">
        <f t="shared" si="5"/>
        <v xml:space="preserve"> Président</v>
      </c>
    </row>
    <row r="148" spans="1:7" x14ac:dyDescent="0.25">
      <c r="A148" s="4" t="str">
        <f>IF(CE_et_liste_fontaines!H152="","",CE_et_liste_fontaines!H152)</f>
        <v/>
      </c>
      <c r="B148" t="e">
        <f>VLOOKUP(G148,Info2!$A$2:$B$204,2,0)</f>
        <v>#N/A</v>
      </c>
      <c r="C148">
        <f>CE_et_liste_fontaines!I152</f>
        <v>0</v>
      </c>
      <c r="D148" t="str">
        <f>IF(A148="","",COUNTIF(liste_des_abonnés!$G$6:$G$1040995,A148))</f>
        <v/>
      </c>
      <c r="E148" t="str">
        <f t="shared" si="4"/>
        <v/>
      </c>
      <c r="F148" s="24" t="s">
        <v>43</v>
      </c>
      <c r="G148" t="str">
        <f t="shared" si="5"/>
        <v xml:space="preserve"> Président</v>
      </c>
    </row>
    <row r="149" spans="1:7" x14ac:dyDescent="0.25">
      <c r="A149" s="4" t="str">
        <f>IF(CE_et_liste_fontaines!H153="","",CE_et_liste_fontaines!H153)</f>
        <v/>
      </c>
      <c r="B149" t="e">
        <f>VLOOKUP(G149,Info2!$A$2:$B$204,2,0)</f>
        <v>#N/A</v>
      </c>
      <c r="C149">
        <f>CE_et_liste_fontaines!I153</f>
        <v>0</v>
      </c>
      <c r="D149" t="str">
        <f>IF(A149="","",COUNTIF(liste_des_abonnés!$G$6:$G$1040995,A149))</f>
        <v/>
      </c>
      <c r="E149" t="str">
        <f t="shared" si="4"/>
        <v/>
      </c>
      <c r="F149" s="24" t="s">
        <v>43</v>
      </c>
      <c r="G149" t="str">
        <f t="shared" si="5"/>
        <v xml:space="preserve"> Président</v>
      </c>
    </row>
    <row r="150" spans="1:7" x14ac:dyDescent="0.25">
      <c r="A150" s="4" t="str">
        <f>IF(CE_et_liste_fontaines!H154="","",CE_et_liste_fontaines!H154)</f>
        <v/>
      </c>
      <c r="B150" t="e">
        <f>VLOOKUP(G150,Info2!$A$2:$B$204,2,0)</f>
        <v>#N/A</v>
      </c>
      <c r="C150">
        <f>CE_et_liste_fontaines!I154</f>
        <v>0</v>
      </c>
      <c r="D150" t="str">
        <f>IF(A150="","",COUNTIF(liste_des_abonnés!$G$6:$G$1040995,A150))</f>
        <v/>
      </c>
      <c r="E150" t="str">
        <f t="shared" si="4"/>
        <v/>
      </c>
      <c r="F150" s="24" t="s">
        <v>43</v>
      </c>
      <c r="G150" t="str">
        <f t="shared" si="5"/>
        <v xml:space="preserve"> Président</v>
      </c>
    </row>
    <row r="151" spans="1:7" x14ac:dyDescent="0.25">
      <c r="A151" s="4" t="str">
        <f>IF(CE_et_liste_fontaines!H155="","",CE_et_liste_fontaines!H155)</f>
        <v/>
      </c>
      <c r="B151" t="e">
        <f>VLOOKUP(G151,Info2!$A$2:$B$204,2,0)</f>
        <v>#N/A</v>
      </c>
      <c r="C151">
        <f>CE_et_liste_fontaines!I155</f>
        <v>0</v>
      </c>
      <c r="D151" t="str">
        <f>IF(A151="","",COUNTIF(liste_des_abonnés!$G$6:$G$1040995,A151))</f>
        <v/>
      </c>
      <c r="E151" t="str">
        <f t="shared" si="4"/>
        <v/>
      </c>
      <c r="F151" s="24" t="s">
        <v>43</v>
      </c>
      <c r="G151" t="str">
        <f t="shared" si="5"/>
        <v xml:space="preserve"> Président</v>
      </c>
    </row>
    <row r="152" spans="1:7" x14ac:dyDescent="0.25">
      <c r="A152" s="4" t="str">
        <f>IF(CE_et_liste_fontaines!H156="","",CE_et_liste_fontaines!H156)</f>
        <v/>
      </c>
      <c r="B152" t="e">
        <f>VLOOKUP(G152,Info2!$A$2:$B$204,2,0)</f>
        <v>#N/A</v>
      </c>
      <c r="C152">
        <f>CE_et_liste_fontaines!I156</f>
        <v>0</v>
      </c>
      <c r="D152" t="str">
        <f>IF(A152="","",COUNTIF(liste_des_abonnés!$G$6:$G$1040995,A152))</f>
        <v/>
      </c>
      <c r="E152" t="str">
        <f t="shared" si="4"/>
        <v/>
      </c>
      <c r="F152" s="24" t="s">
        <v>43</v>
      </c>
      <c r="G152" t="str">
        <f t="shared" si="5"/>
        <v xml:space="preserve"> Président</v>
      </c>
    </row>
    <row r="153" spans="1:7" x14ac:dyDescent="0.25">
      <c r="A153" s="4" t="str">
        <f>IF(CE_et_liste_fontaines!H157="","",CE_et_liste_fontaines!H157)</f>
        <v/>
      </c>
      <c r="B153" t="e">
        <f>VLOOKUP(G153,Info2!$A$2:$B$204,2,0)</f>
        <v>#N/A</v>
      </c>
      <c r="C153">
        <f>CE_et_liste_fontaines!I157</f>
        <v>0</v>
      </c>
      <c r="D153" t="str">
        <f>IF(A153="","",COUNTIF(liste_des_abonnés!$G$6:$G$1040995,A153))</f>
        <v/>
      </c>
      <c r="E153" t="str">
        <f t="shared" si="4"/>
        <v/>
      </c>
      <c r="F153" s="24" t="s">
        <v>43</v>
      </c>
      <c r="G153" t="str">
        <f t="shared" si="5"/>
        <v xml:space="preserve"> Président</v>
      </c>
    </row>
    <row r="154" spans="1:7" x14ac:dyDescent="0.25">
      <c r="A154" s="4" t="str">
        <f>IF(CE_et_liste_fontaines!H158="","",CE_et_liste_fontaines!H158)</f>
        <v/>
      </c>
      <c r="B154" t="e">
        <f>VLOOKUP(G154,Info2!$A$2:$B$204,2,0)</f>
        <v>#N/A</v>
      </c>
      <c r="C154">
        <f>CE_et_liste_fontaines!I158</f>
        <v>0</v>
      </c>
      <c r="D154" t="str">
        <f>IF(A154="","",COUNTIF(liste_des_abonnés!$G$6:$G$1040995,A154))</f>
        <v/>
      </c>
      <c r="E154" t="str">
        <f t="shared" si="4"/>
        <v/>
      </c>
      <c r="F154" s="24" t="s">
        <v>43</v>
      </c>
      <c r="G154" t="str">
        <f t="shared" si="5"/>
        <v xml:space="preserve"> Président</v>
      </c>
    </row>
    <row r="155" spans="1:7" x14ac:dyDescent="0.25">
      <c r="A155" s="4" t="str">
        <f>IF(CE_et_liste_fontaines!H159="","",CE_et_liste_fontaines!H159)</f>
        <v/>
      </c>
      <c r="B155" t="e">
        <f>VLOOKUP(G155,Info2!$A$2:$B$204,2,0)</f>
        <v>#N/A</v>
      </c>
      <c r="C155">
        <f>CE_et_liste_fontaines!I159</f>
        <v>0</v>
      </c>
      <c r="D155" t="str">
        <f>IF(A155="","",COUNTIF(liste_des_abonnés!$G$6:$G$1040995,A155))</f>
        <v/>
      </c>
      <c r="E155" t="str">
        <f t="shared" si="4"/>
        <v/>
      </c>
      <c r="F155" s="24" t="s">
        <v>43</v>
      </c>
      <c r="G155" t="str">
        <f t="shared" si="5"/>
        <v xml:space="preserve"> Président</v>
      </c>
    </row>
    <row r="156" spans="1:7" x14ac:dyDescent="0.25">
      <c r="A156" s="4" t="str">
        <f>IF(CE_et_liste_fontaines!H160="","",CE_et_liste_fontaines!H160)</f>
        <v/>
      </c>
      <c r="B156" t="e">
        <f>VLOOKUP(G156,Info2!$A$2:$B$204,2,0)</f>
        <v>#N/A</v>
      </c>
      <c r="C156">
        <f>CE_et_liste_fontaines!I160</f>
        <v>0</v>
      </c>
      <c r="D156" t="str">
        <f>IF(A156="","",COUNTIF(liste_des_abonnés!$G$6:$G$1040995,A156))</f>
        <v/>
      </c>
      <c r="E156" t="str">
        <f t="shared" si="4"/>
        <v/>
      </c>
      <c r="F156" s="24" t="s">
        <v>43</v>
      </c>
      <c r="G156" t="str">
        <f t="shared" si="5"/>
        <v xml:space="preserve"> Président</v>
      </c>
    </row>
    <row r="157" spans="1:7" x14ac:dyDescent="0.25">
      <c r="A157" s="4" t="str">
        <f>IF(CE_et_liste_fontaines!H161="","",CE_et_liste_fontaines!H161)</f>
        <v/>
      </c>
      <c r="B157" t="e">
        <f>VLOOKUP(G157,Info2!$A$2:$B$204,2,0)</f>
        <v>#N/A</v>
      </c>
      <c r="C157">
        <f>CE_et_liste_fontaines!I161</f>
        <v>0</v>
      </c>
      <c r="D157" t="str">
        <f>IF(A157="","",COUNTIF(liste_des_abonnés!$G$6:$G$1040995,A157))</f>
        <v/>
      </c>
      <c r="E157" t="str">
        <f t="shared" si="4"/>
        <v/>
      </c>
      <c r="F157" s="24" t="s">
        <v>43</v>
      </c>
      <c r="G157" t="str">
        <f t="shared" si="5"/>
        <v xml:space="preserve"> Président</v>
      </c>
    </row>
    <row r="158" spans="1:7" x14ac:dyDescent="0.25">
      <c r="A158" s="4" t="str">
        <f>IF(CE_et_liste_fontaines!H162="","",CE_et_liste_fontaines!H162)</f>
        <v/>
      </c>
      <c r="B158" t="e">
        <f>VLOOKUP(G158,Info2!$A$2:$B$204,2,0)</f>
        <v>#N/A</v>
      </c>
      <c r="C158">
        <f>CE_et_liste_fontaines!I162</f>
        <v>0</v>
      </c>
      <c r="D158" t="str">
        <f>IF(A158="","",COUNTIF(liste_des_abonnés!$G$6:$G$1040995,A158))</f>
        <v/>
      </c>
      <c r="E158" t="str">
        <f t="shared" si="4"/>
        <v/>
      </c>
      <c r="F158" s="24" t="s">
        <v>43</v>
      </c>
      <c r="G158" t="str">
        <f t="shared" si="5"/>
        <v xml:space="preserve"> Président</v>
      </c>
    </row>
    <row r="159" spans="1:7" x14ac:dyDescent="0.25">
      <c r="A159" s="4" t="str">
        <f>IF(CE_et_liste_fontaines!H163="","",CE_et_liste_fontaines!H163)</f>
        <v/>
      </c>
      <c r="B159" t="e">
        <f>VLOOKUP(G159,Info2!$A$2:$B$204,2,0)</f>
        <v>#N/A</v>
      </c>
      <c r="C159">
        <f>CE_et_liste_fontaines!I163</f>
        <v>0</v>
      </c>
      <c r="D159" t="str">
        <f>IF(A159="","",COUNTIF(liste_des_abonnés!$G$6:$G$1040995,A159))</f>
        <v/>
      </c>
      <c r="E159" t="str">
        <f t="shared" si="4"/>
        <v/>
      </c>
      <c r="F159" s="24" t="s">
        <v>43</v>
      </c>
      <c r="G159" t="str">
        <f t="shared" si="5"/>
        <v xml:space="preserve"> Président</v>
      </c>
    </row>
    <row r="160" spans="1:7" x14ac:dyDescent="0.25">
      <c r="A160" s="4" t="str">
        <f>IF(CE_et_liste_fontaines!H164="","",CE_et_liste_fontaines!H164)</f>
        <v/>
      </c>
      <c r="B160" t="e">
        <f>VLOOKUP(G160,Info2!$A$2:$B$204,2,0)</f>
        <v>#N/A</v>
      </c>
      <c r="C160">
        <f>CE_et_liste_fontaines!I164</f>
        <v>0</v>
      </c>
      <c r="D160" t="str">
        <f>IF(A160="","",COUNTIF(liste_des_abonnés!$G$6:$G$1040995,A160))</f>
        <v/>
      </c>
      <c r="E160" t="str">
        <f t="shared" si="4"/>
        <v/>
      </c>
      <c r="F160" s="24" t="s">
        <v>43</v>
      </c>
      <c r="G160" t="str">
        <f t="shared" si="5"/>
        <v xml:space="preserve"> Président</v>
      </c>
    </row>
    <row r="161" spans="1:7" x14ac:dyDescent="0.25">
      <c r="A161" s="4" t="str">
        <f>IF(CE_et_liste_fontaines!H165="","",CE_et_liste_fontaines!H165)</f>
        <v/>
      </c>
      <c r="B161" t="e">
        <f>VLOOKUP(G161,Info2!$A$2:$B$204,2,0)</f>
        <v>#N/A</v>
      </c>
      <c r="C161">
        <f>CE_et_liste_fontaines!I165</f>
        <v>0</v>
      </c>
      <c r="D161" t="str">
        <f>IF(A161="","",COUNTIF(liste_des_abonnés!$G$6:$G$1040995,A161))</f>
        <v/>
      </c>
      <c r="E161" t="str">
        <f t="shared" si="4"/>
        <v/>
      </c>
      <c r="F161" s="24" t="s">
        <v>43</v>
      </c>
      <c r="G161" t="str">
        <f t="shared" si="5"/>
        <v xml:space="preserve"> Président</v>
      </c>
    </row>
    <row r="162" spans="1:7" x14ac:dyDescent="0.25">
      <c r="A162" s="4" t="str">
        <f>IF(CE_et_liste_fontaines!H166="","",CE_et_liste_fontaines!H166)</f>
        <v/>
      </c>
      <c r="B162" t="e">
        <f>VLOOKUP(G162,Info2!$A$2:$B$204,2,0)</f>
        <v>#N/A</v>
      </c>
      <c r="C162">
        <f>CE_et_liste_fontaines!I166</f>
        <v>0</v>
      </c>
      <c r="D162" t="str">
        <f>IF(A162="","",COUNTIF(liste_des_abonnés!$G$6:$G$1040995,A162))</f>
        <v/>
      </c>
      <c r="E162" t="str">
        <f t="shared" si="4"/>
        <v/>
      </c>
      <c r="F162" s="24" t="s">
        <v>43</v>
      </c>
      <c r="G162" t="str">
        <f t="shared" si="5"/>
        <v xml:space="preserve"> Président</v>
      </c>
    </row>
    <row r="163" spans="1:7" x14ac:dyDescent="0.25">
      <c r="A163" s="4" t="str">
        <f>IF(CE_et_liste_fontaines!H167="","",CE_et_liste_fontaines!H167)</f>
        <v/>
      </c>
      <c r="B163" t="e">
        <f>VLOOKUP(G163,Info2!$A$2:$B$204,2,0)</f>
        <v>#N/A</v>
      </c>
      <c r="C163">
        <f>CE_et_liste_fontaines!I167</f>
        <v>0</v>
      </c>
      <c r="D163" t="str">
        <f>IF(A163="","",COUNTIF(liste_des_abonnés!$G$6:$G$1040995,A163))</f>
        <v/>
      </c>
      <c r="E163" t="str">
        <f t="shared" si="4"/>
        <v/>
      </c>
      <c r="F163" s="24" t="s">
        <v>43</v>
      </c>
      <c r="G163" t="str">
        <f t="shared" si="5"/>
        <v xml:space="preserve"> Président</v>
      </c>
    </row>
    <row r="164" spans="1:7" x14ac:dyDescent="0.25">
      <c r="A164" s="4" t="str">
        <f>IF(CE_et_liste_fontaines!H168="","",CE_et_liste_fontaines!H168)</f>
        <v/>
      </c>
      <c r="B164" t="e">
        <f>VLOOKUP(G164,Info2!$A$2:$B$204,2,0)</f>
        <v>#N/A</v>
      </c>
      <c r="C164">
        <f>CE_et_liste_fontaines!I168</f>
        <v>0</v>
      </c>
      <c r="D164" t="str">
        <f>IF(A164="","",COUNTIF(liste_des_abonnés!$G$6:$G$1040995,A164))</f>
        <v/>
      </c>
      <c r="E164" t="str">
        <f t="shared" si="4"/>
        <v/>
      </c>
      <c r="F164" s="24" t="s">
        <v>43</v>
      </c>
      <c r="G164" t="str">
        <f t="shared" si="5"/>
        <v xml:space="preserve"> Président</v>
      </c>
    </row>
    <row r="165" spans="1:7" x14ac:dyDescent="0.25">
      <c r="A165" s="4" t="str">
        <f>IF(CE_et_liste_fontaines!H169="","",CE_et_liste_fontaines!H169)</f>
        <v/>
      </c>
      <c r="B165" t="e">
        <f>VLOOKUP(G165,Info2!$A$2:$B$204,2,0)</f>
        <v>#N/A</v>
      </c>
      <c r="C165">
        <f>CE_et_liste_fontaines!I169</f>
        <v>0</v>
      </c>
      <c r="D165" t="str">
        <f>IF(A165="","",COUNTIF(liste_des_abonnés!$G$6:$G$1040995,A165))</f>
        <v/>
      </c>
      <c r="E165" t="str">
        <f t="shared" si="4"/>
        <v/>
      </c>
      <c r="F165" s="24" t="s">
        <v>43</v>
      </c>
      <c r="G165" t="str">
        <f t="shared" si="5"/>
        <v xml:space="preserve"> Président</v>
      </c>
    </row>
    <row r="166" spans="1:7" x14ac:dyDescent="0.25">
      <c r="A166" s="4" t="str">
        <f>IF(CE_et_liste_fontaines!H170="","",CE_et_liste_fontaines!H170)</f>
        <v/>
      </c>
      <c r="B166" t="e">
        <f>VLOOKUP(G166,Info2!$A$2:$B$204,2,0)</f>
        <v>#N/A</v>
      </c>
      <c r="C166">
        <f>CE_et_liste_fontaines!I170</f>
        <v>0</v>
      </c>
      <c r="D166" t="str">
        <f>IF(A166="","",COUNTIF(liste_des_abonnés!$G$6:$G$1040995,A166))</f>
        <v/>
      </c>
      <c r="E166" t="str">
        <f t="shared" si="4"/>
        <v/>
      </c>
      <c r="F166" s="24" t="s">
        <v>43</v>
      </c>
      <c r="G166" t="str">
        <f t="shared" si="5"/>
        <v xml:space="preserve"> Président</v>
      </c>
    </row>
    <row r="167" spans="1:7" x14ac:dyDescent="0.25">
      <c r="A167" s="4" t="str">
        <f>IF(CE_et_liste_fontaines!H171="","",CE_et_liste_fontaines!H171)</f>
        <v/>
      </c>
      <c r="B167" t="e">
        <f>VLOOKUP(G167,Info2!$A$2:$B$204,2,0)</f>
        <v>#N/A</v>
      </c>
      <c r="C167">
        <f>CE_et_liste_fontaines!I171</f>
        <v>0</v>
      </c>
      <c r="D167" t="str">
        <f>IF(A167="","",COUNTIF(liste_des_abonnés!$G$6:$G$1040995,A167))</f>
        <v/>
      </c>
      <c r="E167" t="str">
        <f t="shared" si="4"/>
        <v/>
      </c>
      <c r="F167" s="24" t="s">
        <v>43</v>
      </c>
      <c r="G167" t="str">
        <f t="shared" si="5"/>
        <v xml:space="preserve"> Président</v>
      </c>
    </row>
    <row r="168" spans="1:7" x14ac:dyDescent="0.25">
      <c r="A168" s="4" t="str">
        <f>IF(CE_et_liste_fontaines!H172="","",CE_et_liste_fontaines!H172)</f>
        <v/>
      </c>
      <c r="B168" t="e">
        <f>VLOOKUP(G168,Info2!$A$2:$B$204,2,0)</f>
        <v>#N/A</v>
      </c>
      <c r="C168">
        <f>CE_et_liste_fontaines!I172</f>
        <v>0</v>
      </c>
      <c r="D168" t="str">
        <f>IF(A168="","",COUNTIF(liste_des_abonnés!$G$6:$G$1040995,A168))</f>
        <v/>
      </c>
      <c r="E168" t="str">
        <f t="shared" si="4"/>
        <v/>
      </c>
      <c r="F168" s="24" t="s">
        <v>43</v>
      </c>
      <c r="G168" t="str">
        <f t="shared" si="5"/>
        <v xml:space="preserve"> Président</v>
      </c>
    </row>
    <row r="169" spans="1:7" x14ac:dyDescent="0.25">
      <c r="A169" s="4" t="str">
        <f>IF(CE_et_liste_fontaines!H173="","",CE_et_liste_fontaines!H173)</f>
        <v/>
      </c>
      <c r="B169" t="e">
        <f>VLOOKUP(G169,Info2!$A$2:$B$204,2,0)</f>
        <v>#N/A</v>
      </c>
      <c r="C169">
        <f>CE_et_liste_fontaines!I173</f>
        <v>0</v>
      </c>
      <c r="D169" t="str">
        <f>IF(A169="","",COUNTIF(liste_des_abonnés!$G$6:$G$1040995,A169))</f>
        <v/>
      </c>
      <c r="E169" t="str">
        <f t="shared" si="4"/>
        <v/>
      </c>
      <c r="F169" s="24" t="s">
        <v>43</v>
      </c>
      <c r="G169" t="str">
        <f t="shared" si="5"/>
        <v xml:space="preserve"> Président</v>
      </c>
    </row>
    <row r="170" spans="1:7" x14ac:dyDescent="0.25">
      <c r="A170" s="4" t="str">
        <f>IF(CE_et_liste_fontaines!H174="","",CE_et_liste_fontaines!H174)</f>
        <v/>
      </c>
      <c r="B170" t="e">
        <f>VLOOKUP(G170,Info2!$A$2:$B$204,2,0)</f>
        <v>#N/A</v>
      </c>
      <c r="C170">
        <f>CE_et_liste_fontaines!I174</f>
        <v>0</v>
      </c>
      <c r="D170" t="str">
        <f>IF(A170="","",COUNTIF(liste_des_abonnés!$G$6:$G$1040995,A170))</f>
        <v/>
      </c>
      <c r="E170" t="str">
        <f t="shared" si="4"/>
        <v/>
      </c>
      <c r="F170" s="24" t="s">
        <v>43</v>
      </c>
      <c r="G170" t="str">
        <f t="shared" si="5"/>
        <v xml:space="preserve"> Président</v>
      </c>
    </row>
    <row r="171" spans="1:7" x14ac:dyDescent="0.25">
      <c r="A171" s="4" t="str">
        <f>IF(CE_et_liste_fontaines!H175="","",CE_et_liste_fontaines!H175)</f>
        <v/>
      </c>
      <c r="B171" t="e">
        <f>VLOOKUP(G171,Info2!$A$2:$B$204,2,0)</f>
        <v>#N/A</v>
      </c>
      <c r="C171">
        <f>CE_et_liste_fontaines!I175</f>
        <v>0</v>
      </c>
      <c r="D171" t="str">
        <f>IF(A171="","",COUNTIF(liste_des_abonnés!$G$6:$G$1040995,A171))</f>
        <v/>
      </c>
      <c r="E171" t="str">
        <f t="shared" si="4"/>
        <v/>
      </c>
      <c r="F171" s="24" t="s">
        <v>43</v>
      </c>
      <c r="G171" t="str">
        <f t="shared" si="5"/>
        <v xml:space="preserve"> Président</v>
      </c>
    </row>
    <row r="172" spans="1:7" x14ac:dyDescent="0.25">
      <c r="A172" s="4" t="str">
        <f>IF(CE_et_liste_fontaines!H176="","",CE_et_liste_fontaines!H176)</f>
        <v/>
      </c>
      <c r="B172" t="e">
        <f>VLOOKUP(G172,Info2!$A$2:$B$204,2,0)</f>
        <v>#N/A</v>
      </c>
      <c r="C172">
        <f>CE_et_liste_fontaines!I176</f>
        <v>0</v>
      </c>
      <c r="D172" t="str">
        <f>IF(A172="","",COUNTIF(liste_des_abonnés!$G$6:$G$1040995,A172))</f>
        <v/>
      </c>
      <c r="E172" t="str">
        <f t="shared" si="4"/>
        <v/>
      </c>
      <c r="F172" s="24" t="s">
        <v>43</v>
      </c>
      <c r="G172" t="str">
        <f t="shared" si="5"/>
        <v xml:space="preserve"> Président</v>
      </c>
    </row>
    <row r="173" spans="1:7" x14ac:dyDescent="0.25">
      <c r="A173" s="4" t="str">
        <f>IF(CE_et_liste_fontaines!H177="","",CE_et_liste_fontaines!H177)</f>
        <v/>
      </c>
      <c r="B173" t="e">
        <f>VLOOKUP(G173,Info2!$A$2:$B$204,2,0)</f>
        <v>#N/A</v>
      </c>
      <c r="C173">
        <f>CE_et_liste_fontaines!I177</f>
        <v>0</v>
      </c>
      <c r="D173" t="str">
        <f>IF(A173="","",COUNTIF(liste_des_abonnés!$G$6:$G$1040995,A173))</f>
        <v/>
      </c>
      <c r="E173" t="str">
        <f t="shared" si="4"/>
        <v/>
      </c>
      <c r="F173" s="24" t="s">
        <v>43</v>
      </c>
      <c r="G173" t="str">
        <f t="shared" si="5"/>
        <v xml:space="preserve"> Président</v>
      </c>
    </row>
    <row r="174" spans="1:7" x14ac:dyDescent="0.25">
      <c r="A174" s="4" t="str">
        <f>IF(CE_et_liste_fontaines!H178="","",CE_et_liste_fontaines!H178)</f>
        <v/>
      </c>
      <c r="B174" t="e">
        <f>VLOOKUP(G174,Info2!$A$2:$B$204,2,0)</f>
        <v>#N/A</v>
      </c>
      <c r="C174">
        <f>CE_et_liste_fontaines!I178</f>
        <v>0</v>
      </c>
      <c r="D174" t="str">
        <f>IF(A174="","",COUNTIF(liste_des_abonnés!$G$6:$G$1040995,A174))</f>
        <v/>
      </c>
      <c r="E174" t="str">
        <f t="shared" si="4"/>
        <v/>
      </c>
      <c r="F174" s="24" t="s">
        <v>43</v>
      </c>
      <c r="G174" t="str">
        <f t="shared" si="5"/>
        <v xml:space="preserve"> Président</v>
      </c>
    </row>
    <row r="175" spans="1:7" x14ac:dyDescent="0.25">
      <c r="A175" s="4" t="str">
        <f>IF(CE_et_liste_fontaines!H179="","",CE_et_liste_fontaines!H179)</f>
        <v/>
      </c>
      <c r="B175" t="e">
        <f>VLOOKUP(G175,Info2!$A$2:$B$204,2,0)</f>
        <v>#N/A</v>
      </c>
      <c r="C175">
        <f>CE_et_liste_fontaines!I179</f>
        <v>0</v>
      </c>
      <c r="D175" t="str">
        <f>IF(A175="","",COUNTIF(liste_des_abonnés!$G$6:$G$1040995,A175))</f>
        <v/>
      </c>
      <c r="E175" t="str">
        <f t="shared" si="4"/>
        <v/>
      </c>
      <c r="F175" s="24" t="s">
        <v>43</v>
      </c>
      <c r="G175" t="str">
        <f t="shared" si="5"/>
        <v xml:space="preserve"> Président</v>
      </c>
    </row>
    <row r="176" spans="1:7" x14ac:dyDescent="0.25">
      <c r="A176" s="4" t="str">
        <f>IF(CE_et_liste_fontaines!H180="","",CE_et_liste_fontaines!H180)</f>
        <v/>
      </c>
      <c r="B176" t="e">
        <f>VLOOKUP(G176,Info2!$A$2:$B$204,2,0)</f>
        <v>#N/A</v>
      </c>
      <c r="C176">
        <f>CE_et_liste_fontaines!I180</f>
        <v>0</v>
      </c>
      <c r="D176" t="str">
        <f>IF(A176="","",COUNTIF(liste_des_abonnés!$G$6:$G$1040995,A176))</f>
        <v/>
      </c>
      <c r="E176" t="str">
        <f t="shared" si="4"/>
        <v/>
      </c>
      <c r="F176" s="24" t="s">
        <v>43</v>
      </c>
      <c r="G176" t="str">
        <f t="shared" si="5"/>
        <v xml:space="preserve"> Président</v>
      </c>
    </row>
    <row r="177" spans="1:7" x14ac:dyDescent="0.25">
      <c r="A177" s="4" t="str">
        <f>IF(CE_et_liste_fontaines!H181="","",CE_et_liste_fontaines!H181)</f>
        <v/>
      </c>
      <c r="B177" t="e">
        <f>VLOOKUP(G177,Info2!$A$2:$B$204,2,0)</f>
        <v>#N/A</v>
      </c>
      <c r="C177">
        <f>CE_et_liste_fontaines!I181</f>
        <v>0</v>
      </c>
      <c r="D177" t="str">
        <f>IF(A177="","",COUNTIF(liste_des_abonnés!$G$6:$G$1040995,A177))</f>
        <v/>
      </c>
      <c r="E177" t="str">
        <f t="shared" si="4"/>
        <v/>
      </c>
      <c r="F177" s="24" t="s">
        <v>43</v>
      </c>
      <c r="G177" t="str">
        <f t="shared" si="5"/>
        <v xml:space="preserve"> Président</v>
      </c>
    </row>
    <row r="178" spans="1:7" x14ac:dyDescent="0.25">
      <c r="A178" s="4" t="str">
        <f>IF(CE_et_liste_fontaines!H182="","",CE_et_liste_fontaines!H182)</f>
        <v/>
      </c>
      <c r="B178" t="e">
        <f>VLOOKUP(G178,Info2!$A$2:$B$204,2,0)</f>
        <v>#N/A</v>
      </c>
      <c r="C178">
        <f>CE_et_liste_fontaines!I182</f>
        <v>0</v>
      </c>
      <c r="D178" t="str">
        <f>IF(A178="","",COUNTIF(liste_des_abonnés!$G$6:$G$1040995,A178))</f>
        <v/>
      </c>
      <c r="E178" t="str">
        <f t="shared" si="4"/>
        <v/>
      </c>
      <c r="F178" s="24" t="s">
        <v>43</v>
      </c>
      <c r="G178" t="str">
        <f t="shared" si="5"/>
        <v xml:space="preserve"> Président</v>
      </c>
    </row>
    <row r="179" spans="1:7" x14ac:dyDescent="0.25">
      <c r="A179" s="4" t="str">
        <f>IF(CE_et_liste_fontaines!H183="","",CE_et_liste_fontaines!H183)</f>
        <v/>
      </c>
      <c r="B179" t="e">
        <f>VLOOKUP(G179,Info2!$A$2:$B$204,2,0)</f>
        <v>#N/A</v>
      </c>
      <c r="C179">
        <f>CE_et_liste_fontaines!I183</f>
        <v>0</v>
      </c>
      <c r="D179" t="str">
        <f>IF(A179="","",COUNTIF(liste_des_abonnés!$G$6:$G$1040995,A179))</f>
        <v/>
      </c>
      <c r="E179" t="str">
        <f t="shared" si="4"/>
        <v/>
      </c>
      <c r="F179" s="24" t="s">
        <v>43</v>
      </c>
      <c r="G179" t="str">
        <f t="shared" si="5"/>
        <v xml:space="preserve"> Président</v>
      </c>
    </row>
    <row r="180" spans="1:7" x14ac:dyDescent="0.25">
      <c r="A180" s="4" t="str">
        <f>IF(CE_et_liste_fontaines!H184="","",CE_et_liste_fontaines!H184)</f>
        <v/>
      </c>
      <c r="B180" t="e">
        <f>VLOOKUP(G180,Info2!$A$2:$B$204,2,0)</f>
        <v>#N/A</v>
      </c>
      <c r="C180">
        <f>CE_et_liste_fontaines!I184</f>
        <v>0</v>
      </c>
      <c r="D180" t="str">
        <f>IF(A180="","",COUNTIF(liste_des_abonnés!$G$6:$G$1040995,A180))</f>
        <v/>
      </c>
      <c r="E180" t="str">
        <f t="shared" si="4"/>
        <v/>
      </c>
      <c r="F180" s="24" t="s">
        <v>43</v>
      </c>
      <c r="G180" t="str">
        <f t="shared" si="5"/>
        <v xml:space="preserve"> Président</v>
      </c>
    </row>
    <row r="181" spans="1:7" x14ac:dyDescent="0.25">
      <c r="A181" s="4" t="str">
        <f>IF(CE_et_liste_fontaines!H185="","",CE_et_liste_fontaines!H185)</f>
        <v/>
      </c>
      <c r="B181" t="e">
        <f>VLOOKUP(G181,Info2!$A$2:$B$204,2,0)</f>
        <v>#N/A</v>
      </c>
      <c r="C181">
        <f>CE_et_liste_fontaines!I185</f>
        <v>0</v>
      </c>
      <c r="D181" t="str">
        <f>IF(A181="","",COUNTIF(liste_des_abonnés!$G$6:$G$1040995,A181))</f>
        <v/>
      </c>
      <c r="E181" t="str">
        <f t="shared" si="4"/>
        <v/>
      </c>
      <c r="F181" s="24" t="s">
        <v>43</v>
      </c>
      <c r="G181" t="str">
        <f t="shared" si="5"/>
        <v xml:space="preserve"> Président</v>
      </c>
    </row>
    <row r="182" spans="1:7" x14ac:dyDescent="0.25">
      <c r="A182" s="4" t="str">
        <f>IF(CE_et_liste_fontaines!H186="","",CE_et_liste_fontaines!H186)</f>
        <v/>
      </c>
      <c r="B182" t="e">
        <f>VLOOKUP(G182,Info2!$A$2:$B$204,2,0)</f>
        <v>#N/A</v>
      </c>
      <c r="C182">
        <f>CE_et_liste_fontaines!I186</f>
        <v>0</v>
      </c>
      <c r="D182" t="str">
        <f>IF(A182="","",COUNTIF(liste_des_abonnés!$G$6:$G$1040995,A182))</f>
        <v/>
      </c>
      <c r="E182" t="str">
        <f t="shared" si="4"/>
        <v/>
      </c>
      <c r="F182" s="24" t="s">
        <v>43</v>
      </c>
      <c r="G182" t="str">
        <f t="shared" si="5"/>
        <v xml:space="preserve"> Président</v>
      </c>
    </row>
    <row r="183" spans="1:7" x14ac:dyDescent="0.25">
      <c r="A183" s="4" t="str">
        <f>IF(CE_et_liste_fontaines!H187="","",CE_et_liste_fontaines!H187)</f>
        <v/>
      </c>
      <c r="B183" t="e">
        <f>VLOOKUP(G183,Info2!$A$2:$B$204,2,0)</f>
        <v>#N/A</v>
      </c>
      <c r="C183">
        <f>CE_et_liste_fontaines!I187</f>
        <v>0</v>
      </c>
      <c r="D183" t="str">
        <f>IF(A183="","",COUNTIF(liste_des_abonnés!$G$6:$G$1040995,A183))</f>
        <v/>
      </c>
      <c r="E183" t="str">
        <f t="shared" si="4"/>
        <v/>
      </c>
      <c r="F183" s="24" t="s">
        <v>43</v>
      </c>
      <c r="G183" t="str">
        <f t="shared" si="5"/>
        <v xml:space="preserve"> Président</v>
      </c>
    </row>
    <row r="184" spans="1:7" x14ac:dyDescent="0.25">
      <c r="A184" s="4" t="str">
        <f>IF(CE_et_liste_fontaines!H188="","",CE_et_liste_fontaines!H188)</f>
        <v/>
      </c>
      <c r="B184" t="e">
        <f>VLOOKUP(G184,Info2!$A$2:$B$204,2,0)</f>
        <v>#N/A</v>
      </c>
      <c r="C184">
        <f>CE_et_liste_fontaines!I188</f>
        <v>0</v>
      </c>
      <c r="D184" t="str">
        <f>IF(A184="","",COUNTIF(liste_des_abonnés!$G$6:$G$1040995,A184))</f>
        <v/>
      </c>
      <c r="E184" t="str">
        <f t="shared" si="4"/>
        <v/>
      </c>
      <c r="F184" s="24" t="s">
        <v>43</v>
      </c>
      <c r="G184" t="str">
        <f t="shared" si="5"/>
        <v xml:space="preserve"> Président</v>
      </c>
    </row>
    <row r="185" spans="1:7" x14ac:dyDescent="0.25">
      <c r="A185" s="4" t="str">
        <f>IF(CE_et_liste_fontaines!H189="","",CE_et_liste_fontaines!H189)</f>
        <v/>
      </c>
      <c r="B185" t="e">
        <f>VLOOKUP(G185,Info2!$A$2:$B$204,2,0)</f>
        <v>#N/A</v>
      </c>
      <c r="C185">
        <f>CE_et_liste_fontaines!I189</f>
        <v>0</v>
      </c>
      <c r="D185" t="str">
        <f>IF(A185="","",COUNTIF(liste_des_abonnés!$G$6:$G$1040995,A185))</f>
        <v/>
      </c>
      <c r="E185" t="str">
        <f t="shared" si="4"/>
        <v/>
      </c>
      <c r="F185" s="24" t="s">
        <v>43</v>
      </c>
      <c r="G185" t="str">
        <f t="shared" si="5"/>
        <v xml:space="preserve"> Président</v>
      </c>
    </row>
    <row r="186" spans="1:7" x14ac:dyDescent="0.25">
      <c r="A186" s="4" t="str">
        <f>IF(CE_et_liste_fontaines!H190="","",CE_et_liste_fontaines!H190)</f>
        <v/>
      </c>
      <c r="B186" t="e">
        <f>VLOOKUP(G186,Info2!$A$2:$B$204,2,0)</f>
        <v>#N/A</v>
      </c>
      <c r="C186">
        <f>CE_et_liste_fontaines!I190</f>
        <v>0</v>
      </c>
      <c r="D186" t="str">
        <f>IF(A186="","",COUNTIF(liste_des_abonnés!$G$6:$G$1040995,A186))</f>
        <v/>
      </c>
      <c r="E186" t="str">
        <f t="shared" si="4"/>
        <v/>
      </c>
      <c r="F186" s="24" t="s">
        <v>43</v>
      </c>
      <c r="G186" t="str">
        <f t="shared" si="5"/>
        <v xml:space="preserve"> Président</v>
      </c>
    </row>
    <row r="187" spans="1:7" x14ac:dyDescent="0.25">
      <c r="A187" s="4" t="str">
        <f>IF(CE_et_liste_fontaines!H191="","",CE_et_liste_fontaines!H191)</f>
        <v/>
      </c>
      <c r="B187" t="e">
        <f>VLOOKUP(G187,Info2!$A$2:$B$204,2,0)</f>
        <v>#N/A</v>
      </c>
      <c r="C187">
        <f>CE_et_liste_fontaines!I191</f>
        <v>0</v>
      </c>
      <c r="D187" t="str">
        <f>IF(A187="","",COUNTIF(liste_des_abonnés!$G$6:$G$1040995,A187))</f>
        <v/>
      </c>
      <c r="E187" t="str">
        <f t="shared" si="4"/>
        <v/>
      </c>
      <c r="F187" s="24" t="s">
        <v>43</v>
      </c>
      <c r="G187" t="str">
        <f t="shared" si="5"/>
        <v xml:space="preserve"> Président</v>
      </c>
    </row>
    <row r="188" spans="1:7" x14ac:dyDescent="0.25">
      <c r="A188" s="4" t="str">
        <f>IF(CE_et_liste_fontaines!H192="","",CE_et_liste_fontaines!H192)</f>
        <v/>
      </c>
      <c r="B188" t="e">
        <f>VLOOKUP(G188,Info2!$A$2:$B$204,2,0)</f>
        <v>#N/A</v>
      </c>
      <c r="C188">
        <f>CE_et_liste_fontaines!I192</f>
        <v>0</v>
      </c>
      <c r="D188" t="str">
        <f>IF(A188="","",COUNTIF(liste_des_abonnés!$G$6:$G$1040995,A188))</f>
        <v/>
      </c>
      <c r="E188" t="str">
        <f t="shared" si="4"/>
        <v/>
      </c>
      <c r="F188" s="24" t="s">
        <v>43</v>
      </c>
      <c r="G188" t="str">
        <f t="shared" si="5"/>
        <v xml:space="preserve"> Président</v>
      </c>
    </row>
    <row r="189" spans="1:7" x14ac:dyDescent="0.25">
      <c r="A189" s="4" t="str">
        <f>IF(CE_et_liste_fontaines!H193="","",CE_et_liste_fontaines!H193)</f>
        <v/>
      </c>
      <c r="B189" t="e">
        <f>VLOOKUP(G189,Info2!$A$2:$B$204,2,0)</f>
        <v>#N/A</v>
      </c>
      <c r="C189">
        <f>CE_et_liste_fontaines!I193</f>
        <v>0</v>
      </c>
      <c r="D189" t="str">
        <f>IF(A189="","",COUNTIF(liste_des_abonnés!$G$6:$G$1040995,A189))</f>
        <v/>
      </c>
      <c r="E189" t="str">
        <f t="shared" si="4"/>
        <v/>
      </c>
      <c r="F189" s="24" t="s">
        <v>43</v>
      </c>
      <c r="G189" t="str">
        <f t="shared" si="5"/>
        <v xml:space="preserve"> Président</v>
      </c>
    </row>
    <row r="190" spans="1:7" x14ac:dyDescent="0.25">
      <c r="A190" s="4" t="str">
        <f>IF(CE_et_liste_fontaines!H194="","",CE_et_liste_fontaines!H194)</f>
        <v/>
      </c>
      <c r="B190" t="e">
        <f>VLOOKUP(G190,Info2!$A$2:$B$204,2,0)</f>
        <v>#N/A</v>
      </c>
      <c r="C190">
        <f>CE_et_liste_fontaines!I194</f>
        <v>0</v>
      </c>
      <c r="D190" t="str">
        <f>IF(A190="","",COUNTIF(liste_des_abonnés!$G$6:$G$1040995,A190))</f>
        <v/>
      </c>
      <c r="E190" t="str">
        <f t="shared" si="4"/>
        <v/>
      </c>
      <c r="F190" s="24" t="s">
        <v>43</v>
      </c>
      <c r="G190" t="str">
        <f t="shared" si="5"/>
        <v xml:space="preserve"> Président</v>
      </c>
    </row>
    <row r="191" spans="1:7" x14ac:dyDescent="0.25">
      <c r="A191" s="4" t="str">
        <f>IF(CE_et_liste_fontaines!H195="","",CE_et_liste_fontaines!H195)</f>
        <v/>
      </c>
      <c r="B191" t="e">
        <f>VLOOKUP(G191,Info2!$A$2:$B$204,2,0)</f>
        <v>#N/A</v>
      </c>
      <c r="C191">
        <f>CE_et_liste_fontaines!I195</f>
        <v>0</v>
      </c>
      <c r="D191" t="str">
        <f>IF(A191="","",COUNTIF(liste_des_abonnés!$G$6:$G$1040995,A191))</f>
        <v/>
      </c>
      <c r="E191" t="str">
        <f t="shared" si="4"/>
        <v/>
      </c>
      <c r="F191" s="24" t="s">
        <v>43</v>
      </c>
      <c r="G191" t="str">
        <f t="shared" si="5"/>
        <v xml:space="preserve"> Président</v>
      </c>
    </row>
    <row r="192" spans="1:7" x14ac:dyDescent="0.25">
      <c r="A192" s="4" t="str">
        <f>IF(CE_et_liste_fontaines!H196="","",CE_et_liste_fontaines!H196)</f>
        <v/>
      </c>
      <c r="B192" t="e">
        <f>VLOOKUP(G192,Info2!$A$2:$B$204,2,0)</f>
        <v>#N/A</v>
      </c>
      <c r="C192">
        <f>CE_et_liste_fontaines!I196</f>
        <v>0</v>
      </c>
      <c r="D192" t="str">
        <f>IF(A192="","",COUNTIF(liste_des_abonnés!$G$6:$G$1040995,A192))</f>
        <v/>
      </c>
      <c r="E192" t="str">
        <f t="shared" si="4"/>
        <v/>
      </c>
      <c r="F192" s="24" t="s">
        <v>43</v>
      </c>
      <c r="G192" t="str">
        <f t="shared" si="5"/>
        <v xml:space="preserve"> Président</v>
      </c>
    </row>
    <row r="193" spans="1:7" x14ac:dyDescent="0.25">
      <c r="A193" s="4" t="str">
        <f>IF(CE_et_liste_fontaines!H197="","",CE_et_liste_fontaines!H197)</f>
        <v/>
      </c>
      <c r="B193" t="e">
        <f>VLOOKUP(G193,Info2!$A$2:$B$204,2,0)</f>
        <v>#N/A</v>
      </c>
      <c r="C193">
        <f>CE_et_liste_fontaines!I197</f>
        <v>0</v>
      </c>
      <c r="D193" t="str">
        <f>IF(A193="","",COUNTIF(liste_des_abonnés!$G$6:$G$1040995,A193))</f>
        <v/>
      </c>
      <c r="E193" t="str">
        <f t="shared" si="4"/>
        <v/>
      </c>
      <c r="F193" s="24" t="s">
        <v>43</v>
      </c>
      <c r="G193" t="str">
        <f t="shared" si="5"/>
        <v xml:space="preserve"> Président</v>
      </c>
    </row>
    <row r="194" spans="1:7" x14ac:dyDescent="0.25">
      <c r="A194" s="4" t="str">
        <f>IF(CE_et_liste_fontaines!H198="","",CE_et_liste_fontaines!H198)</f>
        <v/>
      </c>
      <c r="B194" t="e">
        <f>VLOOKUP(G194,Info2!$A$2:$B$204,2,0)</f>
        <v>#N/A</v>
      </c>
      <c r="C194">
        <f>CE_et_liste_fontaines!I198</f>
        <v>0</v>
      </c>
      <c r="D194" t="str">
        <f>IF(A194="","",COUNTIF(liste_des_abonnés!$G$6:$G$1040995,A194))</f>
        <v/>
      </c>
      <c r="E194" t="str">
        <f t="shared" ref="E194:E203" si="6">A194</f>
        <v/>
      </c>
      <c r="F194" s="24" t="s">
        <v>43</v>
      </c>
      <c r="G194" t="str">
        <f t="shared" ref="G194:G203" si="7">E194&amp;F194</f>
        <v xml:space="preserve"> Président</v>
      </c>
    </row>
    <row r="195" spans="1:7" x14ac:dyDescent="0.25">
      <c r="A195" s="4" t="str">
        <f>IF(CE_et_liste_fontaines!H199="","",CE_et_liste_fontaines!H199)</f>
        <v/>
      </c>
      <c r="B195" t="e">
        <f>VLOOKUP(G195,Info2!$A$2:$B$204,2,0)</f>
        <v>#N/A</v>
      </c>
      <c r="C195">
        <f>CE_et_liste_fontaines!I199</f>
        <v>0</v>
      </c>
      <c r="D195" t="str">
        <f>IF(A195="","",COUNTIF(liste_des_abonnés!$G$6:$G$1040995,A195))</f>
        <v/>
      </c>
      <c r="E195" t="str">
        <f t="shared" si="6"/>
        <v/>
      </c>
      <c r="F195" s="24" t="s">
        <v>43</v>
      </c>
      <c r="G195" t="str">
        <f t="shared" si="7"/>
        <v xml:space="preserve"> Président</v>
      </c>
    </row>
    <row r="196" spans="1:7" x14ac:dyDescent="0.25">
      <c r="A196" s="4" t="str">
        <f>IF(CE_et_liste_fontaines!H200="","",CE_et_liste_fontaines!H200)</f>
        <v/>
      </c>
      <c r="B196" t="e">
        <f>VLOOKUP(G196,Info2!$A$2:$B$204,2,0)</f>
        <v>#N/A</v>
      </c>
      <c r="C196">
        <f>CE_et_liste_fontaines!I200</f>
        <v>0</v>
      </c>
      <c r="D196" t="str">
        <f>IF(A196="","",COUNTIF(liste_des_abonnés!$G$6:$G$1040995,A196))</f>
        <v/>
      </c>
      <c r="E196" t="str">
        <f t="shared" si="6"/>
        <v/>
      </c>
      <c r="F196" s="24" t="s">
        <v>43</v>
      </c>
      <c r="G196" t="str">
        <f t="shared" si="7"/>
        <v xml:space="preserve"> Président</v>
      </c>
    </row>
    <row r="197" spans="1:7" x14ac:dyDescent="0.25">
      <c r="A197" s="4" t="str">
        <f>IF(CE_et_liste_fontaines!H201="","",CE_et_liste_fontaines!H201)</f>
        <v/>
      </c>
      <c r="B197" t="e">
        <f>VLOOKUP(G197,Info2!$A$2:$B$204,2,0)</f>
        <v>#N/A</v>
      </c>
      <c r="C197">
        <f>CE_et_liste_fontaines!I201</f>
        <v>0</v>
      </c>
      <c r="D197" t="str">
        <f>IF(A197="","",COUNTIF(liste_des_abonnés!$G$6:$G$1040995,A197))</f>
        <v/>
      </c>
      <c r="E197" t="str">
        <f t="shared" si="6"/>
        <v/>
      </c>
      <c r="F197" s="24" t="s">
        <v>43</v>
      </c>
      <c r="G197" t="str">
        <f t="shared" si="7"/>
        <v xml:space="preserve"> Président</v>
      </c>
    </row>
    <row r="198" spans="1:7" x14ac:dyDescent="0.25">
      <c r="A198" s="4" t="str">
        <f>IF(CE_et_liste_fontaines!H202="","",CE_et_liste_fontaines!H202)</f>
        <v/>
      </c>
      <c r="B198" t="e">
        <f>VLOOKUP(G198,Info2!$A$2:$B$204,2,0)</f>
        <v>#N/A</v>
      </c>
      <c r="C198">
        <f>CE_et_liste_fontaines!I202</f>
        <v>0</v>
      </c>
      <c r="D198" t="str">
        <f>IF(A198="","",COUNTIF(liste_des_abonnés!$G$6:$G$1040995,A198))</f>
        <v/>
      </c>
      <c r="E198" t="str">
        <f t="shared" si="6"/>
        <v/>
      </c>
      <c r="F198" s="24" t="s">
        <v>43</v>
      </c>
      <c r="G198" t="str">
        <f t="shared" si="7"/>
        <v xml:space="preserve"> Président</v>
      </c>
    </row>
    <row r="199" spans="1:7" x14ac:dyDescent="0.25">
      <c r="A199" s="4" t="str">
        <f>IF(CE_et_liste_fontaines!H203="","",CE_et_liste_fontaines!H203)</f>
        <v/>
      </c>
      <c r="B199" t="e">
        <f>VLOOKUP(G199,Info2!$A$2:$B$204,2,0)</f>
        <v>#N/A</v>
      </c>
      <c r="C199">
        <f>CE_et_liste_fontaines!I203</f>
        <v>0</v>
      </c>
      <c r="D199" t="str">
        <f>IF(A199="","",COUNTIF(liste_des_abonnés!$G$6:$G$1040995,A199))</f>
        <v/>
      </c>
      <c r="E199" t="str">
        <f t="shared" si="6"/>
        <v/>
      </c>
      <c r="F199" s="24" t="s">
        <v>43</v>
      </c>
      <c r="G199" t="str">
        <f t="shared" si="7"/>
        <v xml:space="preserve"> Président</v>
      </c>
    </row>
    <row r="200" spans="1:7" x14ac:dyDescent="0.25">
      <c r="A200" s="4" t="str">
        <f>IF(CE_et_liste_fontaines!H204="","",CE_et_liste_fontaines!H204)</f>
        <v/>
      </c>
      <c r="B200" t="e">
        <f>VLOOKUP(G200,Info2!$A$2:$B$204,2,0)</f>
        <v>#N/A</v>
      </c>
      <c r="C200">
        <f>CE_et_liste_fontaines!I204</f>
        <v>0</v>
      </c>
      <c r="D200" t="str">
        <f>IF(A200="","",COUNTIF(liste_des_abonnés!$G$6:$G$1040995,A200))</f>
        <v/>
      </c>
      <c r="E200" t="str">
        <f t="shared" si="6"/>
        <v/>
      </c>
      <c r="F200" s="24" t="s">
        <v>43</v>
      </c>
      <c r="G200" t="str">
        <f t="shared" si="7"/>
        <v xml:space="preserve"> Président</v>
      </c>
    </row>
    <row r="201" spans="1:7" x14ac:dyDescent="0.25">
      <c r="A201" s="4" t="str">
        <f>IF(CE_et_liste_fontaines!H205="","",CE_et_liste_fontaines!H205)</f>
        <v/>
      </c>
      <c r="B201" t="e">
        <f>VLOOKUP(G201,Info2!$A$2:$B$204,2,0)</f>
        <v>#N/A</v>
      </c>
      <c r="C201">
        <f>CE_et_liste_fontaines!I205</f>
        <v>0</v>
      </c>
      <c r="D201" t="str">
        <f>IF(A201="","",COUNTIF(liste_des_abonnés!$G$6:$G$1040995,A201))</f>
        <v/>
      </c>
      <c r="E201" t="str">
        <f t="shared" si="6"/>
        <v/>
      </c>
      <c r="F201" s="24" t="s">
        <v>43</v>
      </c>
      <c r="G201" t="str">
        <f t="shared" si="7"/>
        <v xml:space="preserve"> Président</v>
      </c>
    </row>
    <row r="202" spans="1:7" x14ac:dyDescent="0.25">
      <c r="A202" s="4" t="str">
        <f>IF(CE_et_liste_fontaines!H206="","",CE_et_liste_fontaines!H206)</f>
        <v/>
      </c>
      <c r="B202" t="e">
        <f>VLOOKUP(G202,Info2!$A$2:$B$204,2,0)</f>
        <v>#N/A</v>
      </c>
      <c r="C202">
        <f>CE_et_liste_fontaines!I206</f>
        <v>0</v>
      </c>
      <c r="D202" t="str">
        <f>IF(A202="","",COUNTIF(liste_des_abonnés!$G$6:$G$1040995,A202))</f>
        <v/>
      </c>
      <c r="E202" t="str">
        <f t="shared" si="6"/>
        <v/>
      </c>
      <c r="F202" s="24" t="s">
        <v>43</v>
      </c>
      <c r="G202" t="str">
        <f t="shared" si="7"/>
        <v xml:space="preserve"> Président</v>
      </c>
    </row>
    <row r="203" spans="1:7" x14ac:dyDescent="0.25">
      <c r="A203" s="4" t="str">
        <f>IF(CE_et_liste_fontaines!H207="","",CE_et_liste_fontaines!H207)</f>
        <v/>
      </c>
      <c r="B203" t="e">
        <f>VLOOKUP(G203,Info2!$A$2:$B$204,2,0)</f>
        <v>#N/A</v>
      </c>
      <c r="C203">
        <f>CE_et_liste_fontaines!I207</f>
        <v>0</v>
      </c>
      <c r="D203" t="str">
        <f>IF(A203="","",COUNTIF(liste_des_abonnés!$G$6:$G$1040995,A203))</f>
        <v/>
      </c>
      <c r="E203" t="str">
        <f t="shared" si="6"/>
        <v/>
      </c>
      <c r="F203" s="24" t="s">
        <v>43</v>
      </c>
      <c r="G203" t="str">
        <f t="shared" si="7"/>
        <v xml:space="preserve"> Président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DJ167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20" sqref="E20"/>
    </sheetView>
  </sheetViews>
  <sheetFormatPr baseColWidth="10" defaultColWidth="9.140625" defaultRowHeight="15" x14ac:dyDescent="0.25"/>
  <cols>
    <col min="1" max="1" width="19.85546875" customWidth="1"/>
    <col min="2" max="2" width="21" customWidth="1"/>
    <col min="3" max="3" width="2.42578125" style="10" customWidth="1"/>
    <col min="4" max="4" width="18.28515625" customWidth="1"/>
    <col min="5" max="5" width="59" customWidth="1"/>
    <col min="6" max="6" width="16.7109375" customWidth="1"/>
    <col min="7" max="7" width="11.85546875" customWidth="1"/>
    <col min="8" max="8" width="9" customWidth="1"/>
    <col min="9" max="9" width="15.5703125" customWidth="1"/>
    <col min="10" max="10" width="14" customWidth="1"/>
    <col min="11" max="11" width="9.85546875" customWidth="1"/>
    <col min="12" max="12" width="16.5703125" customWidth="1"/>
    <col min="13" max="13" width="62.140625" customWidth="1"/>
    <col min="14" max="14" width="16.28515625" customWidth="1"/>
    <col min="15" max="15" width="11.28515625" customWidth="1"/>
    <col min="16" max="16" width="8.7109375" customWidth="1"/>
    <col min="17" max="18" width="14.85546875" customWidth="1"/>
    <col min="19" max="19" width="12.42578125" bestFit="1" customWidth="1"/>
    <col min="20" max="20" width="15.7109375" customWidth="1"/>
    <col min="21" max="21" width="65.42578125" customWidth="1"/>
    <col min="22" max="22" width="12" bestFit="1" customWidth="1"/>
    <col min="23" max="23" width="12" customWidth="1"/>
    <col min="24" max="24" width="9.42578125" customWidth="1"/>
    <col min="25" max="25" width="14.7109375" customWidth="1"/>
    <col min="26" max="26" width="15.28515625" customWidth="1"/>
    <col min="27" max="27" width="11.42578125" bestFit="1" customWidth="1"/>
    <col min="28" max="28" width="15.5703125" customWidth="1"/>
    <col min="29" max="29" width="66" customWidth="1"/>
    <col min="30" max="31" width="13" customWidth="1"/>
    <col min="33" max="33" width="14.85546875" bestFit="1" customWidth="1"/>
    <col min="34" max="34" width="13" customWidth="1"/>
    <col min="35" max="35" width="10.85546875" customWidth="1"/>
    <col min="36" max="36" width="17.5703125" customWidth="1"/>
    <col min="37" max="37" width="62" customWidth="1"/>
    <col min="38" max="39" width="13.140625" customWidth="1"/>
    <col min="40" max="40" width="8.85546875" customWidth="1"/>
    <col min="41" max="41" width="14.85546875" bestFit="1" customWidth="1"/>
    <col min="42" max="42" width="14.7109375" customWidth="1"/>
    <col min="43" max="43" width="10.140625" customWidth="1"/>
    <col min="44" max="44" width="15" customWidth="1"/>
    <col min="45" max="45" width="65.140625" customWidth="1"/>
    <col min="46" max="47" width="13.5703125" customWidth="1"/>
    <col min="48" max="48" width="9.7109375" customWidth="1"/>
    <col min="49" max="49" width="14.85546875" bestFit="1" customWidth="1"/>
    <col min="50" max="50" width="12.42578125" bestFit="1" customWidth="1"/>
    <col min="52" max="52" width="15.140625" customWidth="1"/>
    <col min="53" max="53" width="61.85546875" customWidth="1"/>
    <col min="54" max="55" width="14.5703125" customWidth="1"/>
    <col min="56" max="56" width="10.140625" customWidth="1"/>
    <col min="57" max="57" width="14.85546875" bestFit="1" customWidth="1"/>
    <col min="58" max="58" width="13.42578125" customWidth="1"/>
    <col min="59" max="59" width="12.42578125" bestFit="1" customWidth="1"/>
    <col min="60" max="60" width="15.7109375" customWidth="1"/>
    <col min="61" max="61" width="60.140625" customWidth="1"/>
    <col min="62" max="63" width="15.28515625" customWidth="1"/>
    <col min="64" max="64" width="10.28515625" customWidth="1"/>
    <col min="65" max="65" width="14.85546875" bestFit="1" customWidth="1"/>
    <col min="66" max="66" width="12.85546875" customWidth="1"/>
    <col min="67" max="67" width="11.42578125" bestFit="1" customWidth="1"/>
    <col min="68" max="68" width="17.85546875" customWidth="1"/>
    <col min="69" max="69" width="60.5703125" customWidth="1"/>
    <col min="70" max="70" width="16.42578125" customWidth="1"/>
    <col min="71" max="71" width="13.5703125" customWidth="1"/>
    <col min="72" max="72" width="8.7109375" customWidth="1"/>
    <col min="73" max="73" width="14.85546875" bestFit="1" customWidth="1"/>
    <col min="74" max="74" width="12.42578125" bestFit="1" customWidth="1"/>
    <col min="75" max="75" width="12.42578125" customWidth="1"/>
    <col min="76" max="76" width="15.85546875" customWidth="1"/>
    <col min="77" max="77" width="61.28515625" customWidth="1"/>
    <col min="78" max="79" width="14.5703125" customWidth="1"/>
    <col min="80" max="80" width="10.42578125" customWidth="1"/>
    <col min="81" max="81" width="14.85546875" bestFit="1" customWidth="1"/>
    <col min="82" max="82" width="13.140625" customWidth="1"/>
    <col min="83" max="83" width="11.85546875" bestFit="1" customWidth="1"/>
    <col min="84" max="84" width="15.5703125" customWidth="1"/>
    <col min="85" max="85" width="59.85546875" customWidth="1"/>
    <col min="86" max="87" width="15.140625" customWidth="1"/>
    <col min="88" max="88" width="10.7109375" customWidth="1"/>
    <col min="89" max="89" width="14.85546875" bestFit="1" customWidth="1"/>
    <col min="90" max="90" width="13.28515625" customWidth="1"/>
    <col min="92" max="92" width="16.140625" customWidth="1"/>
    <col min="93" max="93" width="62.7109375" customWidth="1"/>
    <col min="94" max="94" width="14.28515625" customWidth="1"/>
    <col min="95" max="95" width="13" customWidth="1"/>
    <col min="96" max="96" width="10.28515625" customWidth="1"/>
    <col min="97" max="97" width="14.85546875" bestFit="1" customWidth="1"/>
    <col min="98" max="98" width="13" customWidth="1"/>
    <col min="100" max="100" width="16.28515625" customWidth="1"/>
    <col min="101" max="101" width="61.28515625" customWidth="1"/>
    <col min="102" max="103" width="14.28515625" customWidth="1"/>
    <col min="104" max="104" width="10.140625" customWidth="1"/>
    <col min="105" max="105" width="14.85546875" bestFit="1" customWidth="1"/>
    <col min="106" max="106" width="13.42578125" customWidth="1"/>
    <col min="108" max="108" width="16" customWidth="1"/>
    <col min="109" max="109" width="59.85546875" customWidth="1"/>
    <col min="110" max="111" width="15.42578125" customWidth="1"/>
    <col min="112" max="112" width="9.85546875" customWidth="1"/>
    <col min="113" max="113" width="14.85546875" bestFit="1" customWidth="1"/>
    <col min="114" max="114" width="13.140625" customWidth="1"/>
  </cols>
  <sheetData>
    <row r="1" spans="1:114" s="18" customFormat="1" ht="15.75" x14ac:dyDescent="0.25">
      <c r="A1" s="39" t="s">
        <v>146</v>
      </c>
      <c r="B1" s="39" t="s">
        <v>166</v>
      </c>
      <c r="E1" s="75" t="s">
        <v>132</v>
      </c>
      <c r="F1" s="75"/>
      <c r="G1" s="75"/>
      <c r="M1" s="75" t="s">
        <v>64</v>
      </c>
      <c r="N1" s="75"/>
      <c r="O1" s="75"/>
      <c r="U1" s="75" t="s">
        <v>64</v>
      </c>
      <c r="V1" s="75"/>
      <c r="W1" s="75"/>
      <c r="AC1" s="75" t="s">
        <v>64</v>
      </c>
      <c r="AD1" s="75"/>
      <c r="AE1" s="75"/>
      <c r="AK1" s="75" t="s">
        <v>64</v>
      </c>
      <c r="AL1" s="75"/>
      <c r="AM1" s="75"/>
      <c r="AS1" s="75" t="s">
        <v>64</v>
      </c>
      <c r="AT1" s="75"/>
      <c r="AU1" s="75"/>
      <c r="BA1" s="75" t="s">
        <v>64</v>
      </c>
      <c r="BB1" s="75"/>
      <c r="BC1" s="75"/>
      <c r="BI1" s="75" t="s">
        <v>64</v>
      </c>
      <c r="BJ1" s="75"/>
      <c r="BK1" s="75"/>
      <c r="BQ1" s="75" t="s">
        <v>64</v>
      </c>
      <c r="BR1" s="75"/>
      <c r="BS1" s="75"/>
      <c r="BY1" s="75" t="s">
        <v>64</v>
      </c>
      <c r="BZ1" s="75"/>
      <c r="CA1" s="75"/>
      <c r="CG1" s="75" t="s">
        <v>64</v>
      </c>
      <c r="CH1" s="75"/>
      <c r="CI1" s="75"/>
      <c r="CO1" s="75" t="s">
        <v>64</v>
      </c>
      <c r="CP1" s="75"/>
      <c r="CQ1" s="75"/>
      <c r="CW1" s="75" t="s">
        <v>64</v>
      </c>
      <c r="CX1" s="75"/>
      <c r="CY1" s="75"/>
      <c r="DE1" s="75" t="s">
        <v>64</v>
      </c>
      <c r="DF1" s="75"/>
      <c r="DG1" s="75"/>
    </row>
    <row r="2" spans="1:114" s="18" customFormat="1" ht="16.5" thickBot="1" x14ac:dyDescent="0.3">
      <c r="A2" s="39" t="s">
        <v>118</v>
      </c>
      <c r="B2" s="39"/>
      <c r="E2" s="78" t="s">
        <v>74</v>
      </c>
      <c r="F2" s="78"/>
      <c r="G2" s="78"/>
      <c r="H2" s="62"/>
      <c r="I2" s="79" t="s">
        <v>130</v>
      </c>
      <c r="J2" s="80" t="s">
        <v>91</v>
      </c>
      <c r="M2" s="74" t="s">
        <v>75</v>
      </c>
      <c r="N2" s="74"/>
      <c r="O2" s="74"/>
      <c r="Q2" s="79" t="s">
        <v>90</v>
      </c>
      <c r="R2" s="80" t="s">
        <v>91</v>
      </c>
      <c r="T2" s="62"/>
      <c r="U2" s="74" t="s">
        <v>76</v>
      </c>
      <c r="V2" s="74"/>
      <c r="W2" s="74"/>
      <c r="Y2" s="79" t="s">
        <v>90</v>
      </c>
      <c r="Z2" s="80" t="s">
        <v>91</v>
      </c>
      <c r="AA2" s="62"/>
      <c r="AC2" s="74" t="s">
        <v>77</v>
      </c>
      <c r="AD2" s="74"/>
      <c r="AE2" s="74"/>
      <c r="AG2" s="79" t="s">
        <v>90</v>
      </c>
      <c r="AH2" s="80" t="s">
        <v>91</v>
      </c>
      <c r="AK2" s="74" t="s">
        <v>78</v>
      </c>
      <c r="AL2" s="74"/>
      <c r="AM2" s="74"/>
      <c r="AO2" s="79" t="s">
        <v>90</v>
      </c>
      <c r="AP2" s="80" t="s">
        <v>91</v>
      </c>
      <c r="AS2" s="74" t="s">
        <v>79</v>
      </c>
      <c r="AT2" s="74"/>
      <c r="AU2" s="74"/>
      <c r="AV2" s="62"/>
      <c r="AW2" s="79" t="s">
        <v>90</v>
      </c>
      <c r="AX2" s="80" t="s">
        <v>91</v>
      </c>
      <c r="BA2" s="74" t="s">
        <v>80</v>
      </c>
      <c r="BB2" s="74"/>
      <c r="BC2" s="74"/>
      <c r="BE2" s="79" t="s">
        <v>90</v>
      </c>
      <c r="BF2" s="80" t="s">
        <v>91</v>
      </c>
      <c r="BI2" s="74" t="s">
        <v>81</v>
      </c>
      <c r="BJ2" s="74"/>
      <c r="BK2" s="74"/>
      <c r="BM2" s="79" t="s">
        <v>90</v>
      </c>
      <c r="BN2" s="80" t="s">
        <v>91</v>
      </c>
      <c r="BO2" s="62"/>
      <c r="BQ2" s="74" t="s">
        <v>82</v>
      </c>
      <c r="BR2" s="74"/>
      <c r="BS2" s="74"/>
      <c r="BU2" s="79" t="s">
        <v>90</v>
      </c>
      <c r="BV2" s="80" t="s">
        <v>91</v>
      </c>
      <c r="BY2" s="74" t="s">
        <v>85</v>
      </c>
      <c r="BZ2" s="74"/>
      <c r="CA2" s="74"/>
      <c r="CC2" s="79" t="s">
        <v>90</v>
      </c>
      <c r="CD2" s="80" t="s">
        <v>91</v>
      </c>
      <c r="CG2" s="74" t="s">
        <v>83</v>
      </c>
      <c r="CH2" s="74"/>
      <c r="CI2" s="74"/>
      <c r="CJ2" s="62"/>
      <c r="CK2" s="79" t="s">
        <v>90</v>
      </c>
      <c r="CL2" s="80" t="s">
        <v>91</v>
      </c>
      <c r="CO2" s="74" t="s">
        <v>84</v>
      </c>
      <c r="CP2" s="74"/>
      <c r="CQ2" s="74"/>
      <c r="CS2" s="79" t="s">
        <v>90</v>
      </c>
      <c r="CT2" s="80" t="s">
        <v>91</v>
      </c>
      <c r="CW2" s="74" t="s">
        <v>86</v>
      </c>
      <c r="CX2" s="74"/>
      <c r="CY2" s="74"/>
      <c r="DA2" s="79" t="s">
        <v>90</v>
      </c>
      <c r="DB2" s="80" t="s">
        <v>91</v>
      </c>
      <c r="DE2" s="74" t="s">
        <v>87</v>
      </c>
      <c r="DF2" s="74"/>
      <c r="DG2" s="74"/>
      <c r="DI2" s="79" t="s">
        <v>90</v>
      </c>
      <c r="DJ2" s="80" t="s">
        <v>91</v>
      </c>
    </row>
    <row r="3" spans="1:114" s="18" customFormat="1" ht="18.75" customHeight="1" thickBot="1" x14ac:dyDescent="0.3">
      <c r="A3" s="105" t="s">
        <v>100</v>
      </c>
      <c r="B3" s="106">
        <v>2017</v>
      </c>
    </row>
    <row r="4" spans="1:114" ht="15.75" thickBot="1" x14ac:dyDescent="0.3">
      <c r="A4" s="107" t="s">
        <v>232</v>
      </c>
      <c r="B4" s="166">
        <f>SUMIF(Tableau9[Liste des rubriques],"Entrées",Tableau9[[Montant disponible ]])</f>
        <v>1533500</v>
      </c>
      <c r="D4" s="77" t="s">
        <v>89</v>
      </c>
      <c r="E4" s="60" t="s">
        <v>56</v>
      </c>
      <c r="F4" s="60" t="s">
        <v>139</v>
      </c>
      <c r="G4" s="60" t="s">
        <v>133</v>
      </c>
      <c r="H4" s="5" t="s">
        <v>88</v>
      </c>
      <c r="I4" s="5" t="s">
        <v>92</v>
      </c>
      <c r="J4" s="5" t="s">
        <v>93</v>
      </c>
      <c r="L4" s="77" t="s">
        <v>89</v>
      </c>
      <c r="M4" s="60" t="s">
        <v>56</v>
      </c>
      <c r="N4" s="60" t="s">
        <v>139</v>
      </c>
      <c r="O4" s="60" t="s">
        <v>133</v>
      </c>
      <c r="P4" s="5" t="s">
        <v>88</v>
      </c>
      <c r="Q4" s="5" t="s">
        <v>92</v>
      </c>
      <c r="R4" s="5" t="s">
        <v>93</v>
      </c>
      <c r="T4" s="77" t="s">
        <v>89</v>
      </c>
      <c r="U4" s="60" t="s">
        <v>56</v>
      </c>
      <c r="V4" s="60" t="s">
        <v>139</v>
      </c>
      <c r="W4" s="60" t="s">
        <v>133</v>
      </c>
      <c r="X4" s="5" t="s">
        <v>88</v>
      </c>
      <c r="Y4" s="5" t="s">
        <v>92</v>
      </c>
      <c r="Z4" s="5" t="s">
        <v>93</v>
      </c>
      <c r="AB4" s="77" t="s">
        <v>89</v>
      </c>
      <c r="AC4" s="60" t="s">
        <v>56</v>
      </c>
      <c r="AD4" s="60" t="s">
        <v>139</v>
      </c>
      <c r="AE4" s="60" t="s">
        <v>133</v>
      </c>
      <c r="AF4" s="5" t="s">
        <v>88</v>
      </c>
      <c r="AG4" s="5" t="s">
        <v>92</v>
      </c>
      <c r="AH4" s="5" t="s">
        <v>93</v>
      </c>
      <c r="AJ4" s="77" t="s">
        <v>89</v>
      </c>
      <c r="AK4" s="60" t="s">
        <v>56</v>
      </c>
      <c r="AL4" s="60" t="s">
        <v>139</v>
      </c>
      <c r="AM4" s="60" t="s">
        <v>133</v>
      </c>
      <c r="AN4" s="5" t="s">
        <v>88</v>
      </c>
      <c r="AO4" s="5" t="s">
        <v>92</v>
      </c>
      <c r="AP4" s="5" t="s">
        <v>93</v>
      </c>
      <c r="AR4" s="77" t="s">
        <v>89</v>
      </c>
      <c r="AS4" s="60" t="s">
        <v>56</v>
      </c>
      <c r="AT4" s="60" t="s">
        <v>139</v>
      </c>
      <c r="AU4" s="60" t="s">
        <v>133</v>
      </c>
      <c r="AV4" s="5" t="s">
        <v>88</v>
      </c>
      <c r="AW4" s="5" t="s">
        <v>92</v>
      </c>
      <c r="AX4" s="5" t="s">
        <v>93</v>
      </c>
      <c r="AZ4" s="77" t="s">
        <v>89</v>
      </c>
      <c r="BA4" s="60" t="s">
        <v>56</v>
      </c>
      <c r="BB4" s="60" t="s">
        <v>139</v>
      </c>
      <c r="BC4" s="60" t="s">
        <v>133</v>
      </c>
      <c r="BD4" s="5" t="s">
        <v>88</v>
      </c>
      <c r="BE4" s="5" t="s">
        <v>92</v>
      </c>
      <c r="BF4" s="5" t="s">
        <v>93</v>
      </c>
      <c r="BH4" s="77" t="s">
        <v>89</v>
      </c>
      <c r="BI4" s="60" t="s">
        <v>56</v>
      </c>
      <c r="BJ4" s="60" t="s">
        <v>139</v>
      </c>
      <c r="BK4" s="60" t="s">
        <v>133</v>
      </c>
      <c r="BL4" s="5" t="s">
        <v>88</v>
      </c>
      <c r="BM4" s="5" t="s">
        <v>92</v>
      </c>
      <c r="BN4" s="5" t="s">
        <v>93</v>
      </c>
      <c r="BP4" s="77" t="s">
        <v>89</v>
      </c>
      <c r="BQ4" s="60" t="s">
        <v>56</v>
      </c>
      <c r="BR4" s="60" t="s">
        <v>139</v>
      </c>
      <c r="BS4" s="60" t="s">
        <v>133</v>
      </c>
      <c r="BT4" s="5" t="s">
        <v>88</v>
      </c>
      <c r="BU4" s="5" t="s">
        <v>92</v>
      </c>
      <c r="BV4" s="5" t="s">
        <v>93</v>
      </c>
      <c r="BX4" s="77" t="s">
        <v>89</v>
      </c>
      <c r="BY4" s="60" t="s">
        <v>56</v>
      </c>
      <c r="BZ4" s="60" t="s">
        <v>139</v>
      </c>
      <c r="CA4" s="60" t="s">
        <v>133</v>
      </c>
      <c r="CB4" s="5" t="s">
        <v>88</v>
      </c>
      <c r="CC4" s="5" t="s">
        <v>92</v>
      </c>
      <c r="CD4" s="5" t="s">
        <v>93</v>
      </c>
      <c r="CF4" s="77" t="s">
        <v>89</v>
      </c>
      <c r="CG4" s="60" t="s">
        <v>56</v>
      </c>
      <c r="CH4" s="60" t="s">
        <v>139</v>
      </c>
      <c r="CI4" s="60" t="s">
        <v>133</v>
      </c>
      <c r="CJ4" s="5" t="s">
        <v>88</v>
      </c>
      <c r="CK4" s="5" t="s">
        <v>92</v>
      </c>
      <c r="CL4" s="5" t="s">
        <v>93</v>
      </c>
      <c r="CN4" s="77" t="s">
        <v>89</v>
      </c>
      <c r="CO4" s="60" t="s">
        <v>56</v>
      </c>
      <c r="CP4" s="60" t="s">
        <v>139</v>
      </c>
      <c r="CQ4" s="60" t="s">
        <v>133</v>
      </c>
      <c r="CR4" s="5" t="s">
        <v>88</v>
      </c>
      <c r="CS4" s="5" t="s">
        <v>92</v>
      </c>
      <c r="CT4" s="5" t="s">
        <v>93</v>
      </c>
      <c r="CV4" s="77" t="s">
        <v>89</v>
      </c>
      <c r="CW4" s="60" t="s">
        <v>56</v>
      </c>
      <c r="CX4" s="60" t="s">
        <v>139</v>
      </c>
      <c r="CY4" s="60" t="s">
        <v>133</v>
      </c>
      <c r="CZ4" s="5" t="s">
        <v>88</v>
      </c>
      <c r="DA4" s="5" t="s">
        <v>92</v>
      </c>
      <c r="DB4" s="5" t="s">
        <v>93</v>
      </c>
      <c r="DD4" s="77" t="s">
        <v>89</v>
      </c>
      <c r="DE4" s="60" t="s">
        <v>56</v>
      </c>
      <c r="DF4" s="60" t="s">
        <v>139</v>
      </c>
      <c r="DG4" s="60" t="s">
        <v>133</v>
      </c>
      <c r="DH4" s="5" t="s">
        <v>88</v>
      </c>
      <c r="DI4" s="5" t="s">
        <v>92</v>
      </c>
      <c r="DJ4" s="5" t="s">
        <v>93</v>
      </c>
    </row>
    <row r="5" spans="1:114" ht="15.75" thickBot="1" x14ac:dyDescent="0.3">
      <c r="A5" s="107" t="s">
        <v>233</v>
      </c>
      <c r="B5" s="166">
        <f>SUMIF(Tableau9[Liste des rubriques],"&lt;&gt;Entrées",Tableau9[[Montant disponible ]])</f>
        <v>328125</v>
      </c>
      <c r="D5" s="140" t="s">
        <v>215</v>
      </c>
      <c r="E5" s="140" t="s">
        <v>2003</v>
      </c>
      <c r="F5" s="140" t="s">
        <v>31</v>
      </c>
      <c r="G5" s="140"/>
      <c r="H5" s="140">
        <v>1</v>
      </c>
      <c r="I5" s="141">
        <v>18375</v>
      </c>
      <c r="J5" s="129">
        <f>IF(Table4[[#This Row],[Rubrique]]="","",Table4[[#This Row],[Qté]]*Table4[[#This Row],[Prix unitaire]])</f>
        <v>18375</v>
      </c>
      <c r="L5" s="43"/>
      <c r="M5" s="43"/>
      <c r="N5" s="43"/>
      <c r="O5" s="43"/>
      <c r="P5" s="43"/>
      <c r="Q5" s="128"/>
      <c r="R5" s="129" t="str">
        <f>IF(Table414[[#This Row],[Rubrique]]="","",Table414[[#This Row],[Qté]]*Table414[[#This Row],[Prix unitaire]])</f>
        <v/>
      </c>
      <c r="T5" s="43"/>
      <c r="U5" s="43"/>
      <c r="V5" s="43"/>
      <c r="W5" s="43"/>
      <c r="X5" s="43"/>
      <c r="Y5" s="128"/>
      <c r="Z5" s="129" t="str">
        <f>IF(Table415[[#This Row],[Rubrique]]="","",Table415[[#This Row],[Qté]]*Table415[[#This Row],[Prix unitaire]])</f>
        <v/>
      </c>
      <c r="AB5" s="43"/>
      <c r="AC5" s="43"/>
      <c r="AD5" s="43"/>
      <c r="AE5" s="43"/>
      <c r="AF5" s="43"/>
      <c r="AG5" s="128"/>
      <c r="AH5" s="129" t="str">
        <f>IF(Table416[[#This Row],[Rubrique]]="","",Table416[[#This Row],[Qté]]*Table416[[#This Row],[Prix unitaire]])</f>
        <v/>
      </c>
      <c r="AJ5" s="43"/>
      <c r="AK5" s="43"/>
      <c r="AL5" s="43"/>
      <c r="AM5" s="43"/>
      <c r="AN5" s="43"/>
      <c r="AO5" s="128"/>
      <c r="AP5" s="129" t="str">
        <f>IF(Table417[[#This Row],[Rubrique]]="","",Table417[[#This Row],[Qté]]*Table417[[#This Row],[Prix unitaire]])</f>
        <v/>
      </c>
      <c r="AR5" s="43"/>
      <c r="AS5" s="43"/>
      <c r="AT5" s="43"/>
      <c r="AU5" s="43"/>
      <c r="AV5" s="43"/>
      <c r="AW5" s="128"/>
      <c r="AX5" s="129" t="str">
        <f>IF(Table418[[#This Row],[Rubrique]]="","",Table418[[#This Row],[Qté]]*Table418[[#This Row],[Prix unitaire]])</f>
        <v/>
      </c>
      <c r="AZ5" s="43"/>
      <c r="BA5" s="43"/>
      <c r="BB5" s="43"/>
      <c r="BC5" s="43"/>
      <c r="BD5" s="43"/>
      <c r="BE5" s="128"/>
      <c r="BF5" s="129" t="str">
        <f>IF(Table419[[#This Row],[Rubrique]]="","",Table419[[#This Row],[Qté]]*Table419[[#This Row],[Prix unitaire]])</f>
        <v/>
      </c>
      <c r="BH5" s="43"/>
      <c r="BI5" s="43"/>
      <c r="BJ5" s="43"/>
      <c r="BK5" s="43"/>
      <c r="BL5" s="43"/>
      <c r="BM5" s="128"/>
      <c r="BN5" s="129" t="str">
        <f>IF(Table420[[#This Row],[Rubrique]]="","",Table420[[#This Row],[Qté]]*Table420[[#This Row],[Prix unitaire]])</f>
        <v/>
      </c>
      <c r="BP5" s="43"/>
      <c r="BQ5" s="43"/>
      <c r="BR5" s="43"/>
      <c r="BS5" s="43"/>
      <c r="BT5" s="43"/>
      <c r="BU5" s="128"/>
      <c r="BV5" s="129" t="str">
        <f>IF(Table421[[#This Row],[Rubrique]]="","",Table421[[#This Row],[Qté]]*Table421[[#This Row],[Prix unitaire]])</f>
        <v/>
      </c>
      <c r="BX5" s="43"/>
      <c r="BY5" s="43"/>
      <c r="BZ5" s="43"/>
      <c r="CA5" s="43"/>
      <c r="CB5" s="43"/>
      <c r="CC5" s="128"/>
      <c r="CD5" s="129" t="str">
        <f>IF(Table422[[#This Row],[Rubrique]]="","",Table422[[#This Row],[Qté]]*Table422[[#This Row],[Prix unitaire]])</f>
        <v/>
      </c>
      <c r="CF5" s="43"/>
      <c r="CG5" s="43"/>
      <c r="CH5" s="43"/>
      <c r="CI5" s="43"/>
      <c r="CJ5" s="43"/>
      <c r="CK5" s="128"/>
      <c r="CL5" s="129" t="str">
        <f>IF(Table424[[#This Row],[Rubrique]]="","",Table424[[#This Row],[Qté]]*Table424[[#This Row],[Prix unitaire]])</f>
        <v/>
      </c>
      <c r="CN5" s="43"/>
      <c r="CO5" s="43"/>
      <c r="CP5" s="43"/>
      <c r="CQ5" s="43"/>
      <c r="CR5" s="43"/>
      <c r="CS5" s="128"/>
      <c r="CT5" s="129" t="str">
        <f>IF(Table425[[#This Row],[Rubrique]]="","",Table425[[#This Row],[Qté]]*Table425[[#This Row],[Prix unitaire]])</f>
        <v/>
      </c>
      <c r="CV5" s="43"/>
      <c r="CW5" s="43"/>
      <c r="CX5" s="43"/>
      <c r="CY5" s="43"/>
      <c r="CZ5" s="43"/>
      <c r="DA5" s="128"/>
      <c r="DB5" s="129" t="str">
        <f>IF(Table42526[[#This Row],[Rubrique]]="","",Table42526[[#This Row],[Qté]]*Table42526[[#This Row],[Prix unitaire]])</f>
        <v/>
      </c>
      <c r="DD5" s="43"/>
      <c r="DE5" s="43"/>
      <c r="DF5" s="43"/>
      <c r="DG5" s="43"/>
      <c r="DH5" s="43"/>
      <c r="DI5" s="128"/>
      <c r="DJ5" s="129" t="str">
        <f>IF(Table42527[[#This Row],[Rubrique]]="","",Table42527[[#This Row],[Qté]]*Table42527[[#This Row],[Prix unitaire]])</f>
        <v/>
      </c>
    </row>
    <row r="6" spans="1:114" ht="15.75" thickBot="1" x14ac:dyDescent="0.3">
      <c r="A6" s="107" t="s">
        <v>234</v>
      </c>
      <c r="B6" s="166">
        <f>B4-B5</f>
        <v>1205375</v>
      </c>
      <c r="D6" s="43" t="s">
        <v>2008</v>
      </c>
      <c r="E6" s="43" t="s">
        <v>2004</v>
      </c>
      <c r="F6" s="140" t="s">
        <v>31</v>
      </c>
      <c r="G6" s="43"/>
      <c r="H6" s="43">
        <v>1</v>
      </c>
      <c r="I6" s="128">
        <v>20000</v>
      </c>
      <c r="J6" s="129">
        <f>IF(Table4[[#This Row],[Rubrique]]="","",Table4[[#This Row],[Qté]]*Table4[[#This Row],[Prix unitaire]])</f>
        <v>20000</v>
      </c>
      <c r="L6" s="43"/>
      <c r="M6" s="43"/>
      <c r="N6" s="43"/>
      <c r="O6" s="43"/>
      <c r="P6" s="43"/>
      <c r="Q6" s="128"/>
      <c r="R6" s="129" t="str">
        <f>IF(Table414[[#This Row],[Rubrique]]="","",Table414[[#This Row],[Qté]]*Table414[[#This Row],[Prix unitaire]])</f>
        <v/>
      </c>
      <c r="T6" s="43"/>
      <c r="U6" s="43"/>
      <c r="V6" s="43"/>
      <c r="W6" s="43"/>
      <c r="X6" s="43"/>
      <c r="Y6" s="128"/>
      <c r="Z6" s="129" t="str">
        <f>IF(Table415[[#This Row],[Rubrique]]="","",Table415[[#This Row],[Qté]]*Table415[[#This Row],[Prix unitaire]])</f>
        <v/>
      </c>
      <c r="AB6" s="43"/>
      <c r="AC6" s="43"/>
      <c r="AD6" s="43"/>
      <c r="AE6" s="43"/>
      <c r="AF6" s="43"/>
      <c r="AG6" s="128"/>
      <c r="AH6" s="129" t="str">
        <f>IF(Table416[[#This Row],[Rubrique]]="","",Table416[[#This Row],[Qté]]*Table416[[#This Row],[Prix unitaire]])</f>
        <v/>
      </c>
      <c r="AJ6" s="43"/>
      <c r="AK6" s="43"/>
      <c r="AL6" s="43"/>
      <c r="AM6" s="43"/>
      <c r="AN6" s="43"/>
      <c r="AO6" s="128"/>
      <c r="AP6" s="129" t="str">
        <f>IF(Table417[[#This Row],[Rubrique]]="","",Table417[[#This Row],[Qté]]*Table417[[#This Row],[Prix unitaire]])</f>
        <v/>
      </c>
      <c r="AR6" s="43"/>
      <c r="AS6" s="43"/>
      <c r="AT6" s="43"/>
      <c r="AU6" s="43"/>
      <c r="AV6" s="43"/>
      <c r="AW6" s="128"/>
      <c r="AX6" s="129" t="str">
        <f>IF(Table418[[#This Row],[Rubrique]]="","",Table418[[#This Row],[Qté]]*Table418[[#This Row],[Prix unitaire]])</f>
        <v/>
      </c>
      <c r="AZ6" s="43"/>
      <c r="BA6" s="43"/>
      <c r="BB6" s="43"/>
      <c r="BC6" s="43"/>
      <c r="BD6" s="43"/>
      <c r="BE6" s="128"/>
      <c r="BF6" s="129" t="str">
        <f>IF(Table419[[#This Row],[Rubrique]]="","",Table419[[#This Row],[Qté]]*Table419[[#This Row],[Prix unitaire]])</f>
        <v/>
      </c>
      <c r="BH6" s="43"/>
      <c r="BI6" s="43"/>
      <c r="BJ6" s="43"/>
      <c r="BK6" s="43"/>
      <c r="BL6" s="43"/>
      <c r="BM6" s="128"/>
      <c r="BN6" s="129" t="str">
        <f>IF(Table420[[#This Row],[Rubrique]]="","",Table420[[#This Row],[Qté]]*Table420[[#This Row],[Prix unitaire]])</f>
        <v/>
      </c>
      <c r="BP6" s="43"/>
      <c r="BQ6" s="43"/>
      <c r="BR6" s="43"/>
      <c r="BS6" s="43"/>
      <c r="BT6" s="43"/>
      <c r="BU6" s="128"/>
      <c r="BV6" s="129" t="str">
        <f>IF(Table421[[#This Row],[Rubrique]]="","",Table421[[#This Row],[Qté]]*Table421[[#This Row],[Prix unitaire]])</f>
        <v/>
      </c>
      <c r="BX6" s="43"/>
      <c r="BY6" s="43"/>
      <c r="BZ6" s="43"/>
      <c r="CA6" s="43"/>
      <c r="CB6" s="43"/>
      <c r="CC6" s="128"/>
      <c r="CD6" s="129" t="str">
        <f>IF(Table422[[#This Row],[Rubrique]]="","",Table422[[#This Row],[Qté]]*Table422[[#This Row],[Prix unitaire]])</f>
        <v/>
      </c>
      <c r="CF6" s="43"/>
      <c r="CG6" s="43"/>
      <c r="CH6" s="43"/>
      <c r="CI6" s="43"/>
      <c r="CJ6" s="43"/>
      <c r="CK6" s="128"/>
      <c r="CL6" s="129" t="str">
        <f>IF(Table424[[#This Row],[Rubrique]]="","",Table424[[#This Row],[Qté]]*Table424[[#This Row],[Prix unitaire]])</f>
        <v/>
      </c>
      <c r="CN6" s="43"/>
      <c r="CO6" s="43"/>
      <c r="CP6" s="43"/>
      <c r="CQ6" s="43"/>
      <c r="CR6" s="43"/>
      <c r="CS6" s="128"/>
      <c r="CT6" s="129" t="str">
        <f>IF(Table425[[#This Row],[Rubrique]]="","",Table425[[#This Row],[Qté]]*Table425[[#This Row],[Prix unitaire]])</f>
        <v/>
      </c>
      <c r="CV6" s="43"/>
      <c r="CW6" s="43"/>
      <c r="CX6" s="43"/>
      <c r="CY6" s="43"/>
      <c r="CZ6" s="43"/>
      <c r="DA6" s="128"/>
      <c r="DB6" s="129" t="str">
        <f>IF(Table42526[[#This Row],[Rubrique]]="","",Table42526[[#This Row],[Qté]]*Table42526[[#This Row],[Prix unitaire]])</f>
        <v/>
      </c>
      <c r="DD6" s="43"/>
      <c r="DE6" s="43"/>
      <c r="DF6" s="43"/>
      <c r="DG6" s="43"/>
      <c r="DH6" s="43"/>
      <c r="DI6" s="128"/>
      <c r="DJ6" s="129" t="str">
        <f>IF(Table42527[[#This Row],[Rubrique]]="","",Table42527[[#This Row],[Qté]]*Table42527[[#This Row],[Prix unitaire]])</f>
        <v/>
      </c>
    </row>
    <row r="7" spans="1:114" x14ac:dyDescent="0.25">
      <c r="A7" s="104" t="s">
        <v>98</v>
      </c>
      <c r="B7" s="104" t="s">
        <v>99</v>
      </c>
      <c r="D7" s="43" t="s">
        <v>215</v>
      </c>
      <c r="E7" s="43" t="s">
        <v>218</v>
      </c>
      <c r="F7" s="43" t="s">
        <v>31</v>
      </c>
      <c r="G7" s="43"/>
      <c r="H7" s="43">
        <v>2</v>
      </c>
      <c r="I7" s="128">
        <v>30000</v>
      </c>
      <c r="J7" s="129">
        <f>IF(Table4[[#This Row],[Rubrique]]="","",Table4[[#This Row],[Qté]]*Table4[[#This Row],[Prix unitaire]])</f>
        <v>60000</v>
      </c>
      <c r="L7" s="43"/>
      <c r="M7" s="43"/>
      <c r="N7" s="43"/>
      <c r="O7" s="43"/>
      <c r="P7" s="43"/>
      <c r="Q7" s="128"/>
      <c r="R7" s="129" t="str">
        <f>IF(Table414[[#This Row],[Rubrique]]="","",Table414[[#This Row],[Qté]]*Table414[[#This Row],[Prix unitaire]])</f>
        <v/>
      </c>
      <c r="T7" s="43"/>
      <c r="U7" s="43"/>
      <c r="V7" s="43"/>
      <c r="W7" s="43"/>
      <c r="X7" s="43"/>
      <c r="Y7" s="128"/>
      <c r="Z7" s="129" t="str">
        <f>IF(Table415[[#This Row],[Rubrique]]="","",Table415[[#This Row],[Qté]]*Table415[[#This Row],[Prix unitaire]])</f>
        <v/>
      </c>
      <c r="AB7" s="43"/>
      <c r="AC7" s="43"/>
      <c r="AD7" s="43"/>
      <c r="AE7" s="43"/>
      <c r="AF7" s="43"/>
      <c r="AG7" s="128"/>
      <c r="AH7" s="129" t="str">
        <f>IF(Table416[[#This Row],[Rubrique]]="","",Table416[[#This Row],[Qté]]*Table416[[#This Row],[Prix unitaire]])</f>
        <v/>
      </c>
      <c r="AJ7" s="43"/>
      <c r="AK7" s="43"/>
      <c r="AL7" s="43"/>
      <c r="AM7" s="43"/>
      <c r="AN7" s="43"/>
      <c r="AO7" s="128"/>
      <c r="AP7" s="129" t="str">
        <f>IF(Table417[[#This Row],[Rubrique]]="","",Table417[[#This Row],[Qté]]*Table417[[#This Row],[Prix unitaire]])</f>
        <v/>
      </c>
      <c r="AR7" s="43"/>
      <c r="AS7" s="43"/>
      <c r="AT7" s="43"/>
      <c r="AU7" s="43"/>
      <c r="AV7" s="43"/>
      <c r="AW7" s="128"/>
      <c r="AX7" s="129" t="str">
        <f>IF(Table418[[#This Row],[Rubrique]]="","",Table418[[#This Row],[Qté]]*Table418[[#This Row],[Prix unitaire]])</f>
        <v/>
      </c>
      <c r="AZ7" s="43"/>
      <c r="BA7" s="43"/>
      <c r="BB7" s="43"/>
      <c r="BC7" s="43"/>
      <c r="BD7" s="43"/>
      <c r="BE7" s="128"/>
      <c r="BF7" s="129" t="str">
        <f>IF(Table419[[#This Row],[Rubrique]]="","",Table419[[#This Row],[Qté]]*Table419[[#This Row],[Prix unitaire]])</f>
        <v/>
      </c>
      <c r="BH7" s="43"/>
      <c r="BI7" s="43"/>
      <c r="BJ7" s="43"/>
      <c r="BK7" s="43"/>
      <c r="BL7" s="43"/>
      <c r="BM7" s="128"/>
      <c r="BN7" s="129" t="str">
        <f>IF(Table420[[#This Row],[Rubrique]]="","",Table420[[#This Row],[Qté]]*Table420[[#This Row],[Prix unitaire]])</f>
        <v/>
      </c>
      <c r="BP7" s="43"/>
      <c r="BQ7" s="43"/>
      <c r="BR7" s="43"/>
      <c r="BS7" s="43"/>
      <c r="BT7" s="43"/>
      <c r="BU7" s="128"/>
      <c r="BV7" s="129" t="str">
        <f>IF(Table421[[#This Row],[Rubrique]]="","",Table421[[#This Row],[Qté]]*Table421[[#This Row],[Prix unitaire]])</f>
        <v/>
      </c>
      <c r="BX7" s="43"/>
      <c r="BY7" s="43"/>
      <c r="BZ7" s="43"/>
      <c r="CA7" s="43"/>
      <c r="CB7" s="43"/>
      <c r="CC7" s="128"/>
      <c r="CD7" s="129" t="str">
        <f>IF(Table422[[#This Row],[Rubrique]]="","",Table422[[#This Row],[Qté]]*Table422[[#This Row],[Prix unitaire]])</f>
        <v/>
      </c>
      <c r="CF7" s="43"/>
      <c r="CG7" s="43"/>
      <c r="CH7" s="43"/>
      <c r="CI7" s="43"/>
      <c r="CJ7" s="43"/>
      <c r="CK7" s="128"/>
      <c r="CL7" s="129" t="str">
        <f>IF(Table424[[#This Row],[Rubrique]]="","",Table424[[#This Row],[Qté]]*Table424[[#This Row],[Prix unitaire]])</f>
        <v/>
      </c>
      <c r="CN7" s="43"/>
      <c r="CO7" s="43"/>
      <c r="CP7" s="43"/>
      <c r="CQ7" s="43"/>
      <c r="CR7" s="43"/>
      <c r="CS7" s="128"/>
      <c r="CT7" s="129" t="str">
        <f>IF(Table425[[#This Row],[Rubrique]]="","",Table425[[#This Row],[Qté]]*Table425[[#This Row],[Prix unitaire]])</f>
        <v/>
      </c>
      <c r="CV7" s="43"/>
      <c r="CW7" s="43"/>
      <c r="CX7" s="43"/>
      <c r="CY7" s="43"/>
      <c r="CZ7" s="43"/>
      <c r="DA7" s="128"/>
      <c r="DB7" s="129" t="str">
        <f>IF(Table42526[[#This Row],[Rubrique]]="","",Table42526[[#This Row],[Qté]]*Table42526[[#This Row],[Prix unitaire]])</f>
        <v/>
      </c>
      <c r="DD7" s="43"/>
      <c r="DE7" s="43"/>
      <c r="DF7" s="43"/>
      <c r="DG7" s="43"/>
      <c r="DH7" s="43"/>
      <c r="DI7" s="128"/>
      <c r="DJ7" s="129" t="str">
        <f>IF(Table42527[[#This Row],[Rubrique]]="","",Table42527[[#This Row],[Qté]]*Table42527[[#This Row],[Prix unitaire]])</f>
        <v/>
      </c>
    </row>
    <row r="8" spans="1:114" x14ac:dyDescent="0.25">
      <c r="A8" s="63" t="str">
        <f>IF(Listes!A7="","",Listes!A7)</f>
        <v>Entrées</v>
      </c>
      <c r="B8" s="125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>1533500</v>
      </c>
      <c r="D8" s="43" t="s">
        <v>213</v>
      </c>
      <c r="E8" s="43" t="s">
        <v>219</v>
      </c>
      <c r="F8" s="43" t="s">
        <v>31</v>
      </c>
      <c r="G8" s="43"/>
      <c r="H8" s="43">
        <v>1</v>
      </c>
      <c r="I8" s="128">
        <v>10000</v>
      </c>
      <c r="J8" s="129">
        <f>IF(Table4[[#This Row],[Rubrique]]="","",Table4[[#This Row],[Qté]]*Table4[[#This Row],[Prix unitaire]])</f>
        <v>10000</v>
      </c>
      <c r="L8" s="43"/>
      <c r="M8" s="43"/>
      <c r="N8" s="43"/>
      <c r="O8" s="43"/>
      <c r="P8" s="43"/>
      <c r="Q8" s="128"/>
      <c r="R8" s="129" t="str">
        <f>IF(Table414[[#This Row],[Rubrique]]="","",Table414[[#This Row],[Qté]]*Table414[[#This Row],[Prix unitaire]])</f>
        <v/>
      </c>
      <c r="T8" s="43"/>
      <c r="U8" s="43"/>
      <c r="V8" s="43"/>
      <c r="W8" s="43"/>
      <c r="X8" s="43"/>
      <c r="Y8" s="128"/>
      <c r="Z8" s="129" t="str">
        <f>IF(Table415[[#This Row],[Rubrique]]="","",Table415[[#This Row],[Qté]]*Table415[[#This Row],[Prix unitaire]])</f>
        <v/>
      </c>
      <c r="AB8" s="43"/>
      <c r="AC8" s="43"/>
      <c r="AD8" s="43"/>
      <c r="AE8" s="43"/>
      <c r="AF8" s="43"/>
      <c r="AG8" s="128"/>
      <c r="AH8" s="129" t="str">
        <f>IF(Table416[[#This Row],[Rubrique]]="","",Table416[[#This Row],[Qté]]*Table416[[#This Row],[Prix unitaire]])</f>
        <v/>
      </c>
      <c r="AJ8" s="43"/>
      <c r="AK8" s="43"/>
      <c r="AL8" s="43"/>
      <c r="AM8" s="43"/>
      <c r="AN8" s="43"/>
      <c r="AO8" s="128"/>
      <c r="AP8" s="129" t="str">
        <f>IF(Table417[[#This Row],[Rubrique]]="","",Table417[[#This Row],[Qté]]*Table417[[#This Row],[Prix unitaire]])</f>
        <v/>
      </c>
      <c r="AR8" s="43"/>
      <c r="AS8" s="43"/>
      <c r="AT8" s="43"/>
      <c r="AU8" s="43"/>
      <c r="AV8" s="43"/>
      <c r="AW8" s="128"/>
      <c r="AX8" s="129" t="str">
        <f>IF(Table418[[#This Row],[Rubrique]]="","",Table418[[#This Row],[Qté]]*Table418[[#This Row],[Prix unitaire]])</f>
        <v/>
      </c>
      <c r="AZ8" s="43"/>
      <c r="BA8" s="43"/>
      <c r="BB8" s="43"/>
      <c r="BC8" s="43"/>
      <c r="BD8" s="43"/>
      <c r="BE8" s="128"/>
      <c r="BF8" s="129" t="str">
        <f>IF(Table419[[#This Row],[Rubrique]]="","",Table419[[#This Row],[Qté]]*Table419[[#This Row],[Prix unitaire]])</f>
        <v/>
      </c>
      <c r="BH8" s="43"/>
      <c r="BI8" s="43"/>
      <c r="BJ8" s="43"/>
      <c r="BK8" s="43"/>
      <c r="BL8" s="43"/>
      <c r="BM8" s="128"/>
      <c r="BN8" s="129" t="str">
        <f>IF(Table420[[#This Row],[Rubrique]]="","",Table420[[#This Row],[Qté]]*Table420[[#This Row],[Prix unitaire]])</f>
        <v/>
      </c>
      <c r="BP8" s="43"/>
      <c r="BQ8" s="43"/>
      <c r="BR8" s="43"/>
      <c r="BS8" s="43"/>
      <c r="BT8" s="43"/>
      <c r="BU8" s="128"/>
      <c r="BV8" s="129" t="str">
        <f>IF(Table421[[#This Row],[Rubrique]]="","",Table421[[#This Row],[Qté]]*Table421[[#This Row],[Prix unitaire]])</f>
        <v/>
      </c>
      <c r="BX8" s="43"/>
      <c r="BY8" s="43"/>
      <c r="BZ8" s="43"/>
      <c r="CA8" s="43"/>
      <c r="CB8" s="43"/>
      <c r="CC8" s="128"/>
      <c r="CD8" s="129" t="str">
        <f>IF(Table422[[#This Row],[Rubrique]]="","",Table422[[#This Row],[Qté]]*Table422[[#This Row],[Prix unitaire]])</f>
        <v/>
      </c>
      <c r="CF8" s="43"/>
      <c r="CG8" s="43"/>
      <c r="CH8" s="43"/>
      <c r="CI8" s="43"/>
      <c r="CJ8" s="43"/>
      <c r="CK8" s="128"/>
      <c r="CL8" s="129" t="str">
        <f>IF(Table424[[#This Row],[Rubrique]]="","",Table424[[#This Row],[Qté]]*Table424[[#This Row],[Prix unitaire]])</f>
        <v/>
      </c>
      <c r="CN8" s="43"/>
      <c r="CO8" s="43"/>
      <c r="CP8" s="43"/>
      <c r="CQ8" s="43"/>
      <c r="CR8" s="43"/>
      <c r="CS8" s="128"/>
      <c r="CT8" s="129" t="str">
        <f>IF(Table425[[#This Row],[Rubrique]]="","",Table425[[#This Row],[Qté]]*Table425[[#This Row],[Prix unitaire]])</f>
        <v/>
      </c>
      <c r="CV8" s="43"/>
      <c r="CW8" s="43"/>
      <c r="CX8" s="43"/>
      <c r="CY8" s="43"/>
      <c r="CZ8" s="43"/>
      <c r="DA8" s="128"/>
      <c r="DB8" s="129" t="str">
        <f>IF(Table42526[[#This Row],[Rubrique]]="","",Table42526[[#This Row],[Qté]]*Table42526[[#This Row],[Prix unitaire]])</f>
        <v/>
      </c>
      <c r="DD8" s="43"/>
      <c r="DE8" s="43"/>
      <c r="DF8" s="43"/>
      <c r="DG8" s="43"/>
      <c r="DH8" s="43"/>
      <c r="DI8" s="128"/>
      <c r="DJ8" s="129" t="str">
        <f>IF(Table42527[[#This Row],[Rubrique]]="","",Table42527[[#This Row],[Qté]]*Table42527[[#This Row],[Prix unitaire]])</f>
        <v/>
      </c>
    </row>
    <row r="9" spans="1:114" x14ac:dyDescent="0.25">
      <c r="A9" s="63" t="str">
        <f>IF(Listes!A8="","",Listes!A8)</f>
        <v>Fon.</v>
      </c>
      <c r="B9" s="125">
        <f>IF(Tableau9[[#This Row],[Liste des rubriques]]="","",IF($B$3=Stockage!$B$2,SUMIF($D$5:$D$80,Tableau9[[#This Row],[Liste des rubriques]],$J$5:$J$80),IF($B$3=Stockage!$B$3,SUMIF($L$5:$L$70,Tableau9[[#This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>29750</v>
      </c>
      <c r="D9" s="43" t="s">
        <v>213</v>
      </c>
      <c r="E9" s="43" t="s">
        <v>220</v>
      </c>
      <c r="F9" s="43" t="s">
        <v>31</v>
      </c>
      <c r="G9" s="43"/>
      <c r="H9" s="43">
        <v>30</v>
      </c>
      <c r="I9" s="128">
        <v>500</v>
      </c>
      <c r="J9" s="129">
        <f>IF(Table4[[#This Row],[Rubrique]]="","",Table4[[#This Row],[Qté]]*Table4[[#This Row],[Prix unitaire]])</f>
        <v>15000</v>
      </c>
      <c r="L9" s="43"/>
      <c r="M9" s="43"/>
      <c r="N9" s="43"/>
      <c r="O9" s="43"/>
      <c r="P9" s="43"/>
      <c r="Q9" s="128"/>
      <c r="R9" s="129" t="str">
        <f>IF(Table414[[#This Row],[Rubrique]]="","",Table414[[#This Row],[Qté]]*Table414[[#This Row],[Prix unitaire]])</f>
        <v/>
      </c>
      <c r="T9" s="43"/>
      <c r="U9" s="43"/>
      <c r="V9" s="43"/>
      <c r="W9" s="43"/>
      <c r="X9" s="43"/>
      <c r="Y9" s="128"/>
      <c r="Z9" s="129" t="str">
        <f>IF(Table415[[#This Row],[Rubrique]]="","",Table415[[#This Row],[Qté]]*Table415[[#This Row],[Prix unitaire]])</f>
        <v/>
      </c>
      <c r="AB9" s="43"/>
      <c r="AC9" s="43"/>
      <c r="AD9" s="43"/>
      <c r="AE9" s="43"/>
      <c r="AF9" s="43"/>
      <c r="AG9" s="128"/>
      <c r="AH9" s="129" t="str">
        <f>IF(Table416[[#This Row],[Rubrique]]="","",Table416[[#This Row],[Qté]]*Table416[[#This Row],[Prix unitaire]])</f>
        <v/>
      </c>
      <c r="AJ9" s="43"/>
      <c r="AK9" s="43"/>
      <c r="AL9" s="43"/>
      <c r="AM9" s="43"/>
      <c r="AN9" s="43"/>
      <c r="AO9" s="128"/>
      <c r="AP9" s="129" t="str">
        <f>IF(Table417[[#This Row],[Rubrique]]="","",Table417[[#This Row],[Qté]]*Table417[[#This Row],[Prix unitaire]])</f>
        <v/>
      </c>
      <c r="AR9" s="43"/>
      <c r="AS9" s="43"/>
      <c r="AT9" s="43"/>
      <c r="AU9" s="43"/>
      <c r="AV9" s="43"/>
      <c r="AW9" s="128"/>
      <c r="AX9" s="129" t="str">
        <f>IF(Table418[[#This Row],[Rubrique]]="","",Table418[[#This Row],[Qté]]*Table418[[#This Row],[Prix unitaire]])</f>
        <v/>
      </c>
      <c r="AZ9" s="43"/>
      <c r="BA9" s="43"/>
      <c r="BB9" s="43"/>
      <c r="BC9" s="43"/>
      <c r="BD9" s="43"/>
      <c r="BE9" s="128"/>
      <c r="BF9" s="129" t="str">
        <f>IF(Table419[[#This Row],[Rubrique]]="","",Table419[[#This Row],[Qté]]*Table419[[#This Row],[Prix unitaire]])</f>
        <v/>
      </c>
      <c r="BH9" s="43"/>
      <c r="BI9" s="43"/>
      <c r="BJ9" s="43"/>
      <c r="BK9" s="43"/>
      <c r="BL9" s="43"/>
      <c r="BM9" s="128"/>
      <c r="BN9" s="129" t="str">
        <f>IF(Table420[[#This Row],[Rubrique]]="","",Table420[[#This Row],[Qté]]*Table420[[#This Row],[Prix unitaire]])</f>
        <v/>
      </c>
      <c r="BP9" s="43"/>
      <c r="BQ9" s="43"/>
      <c r="BR9" s="43"/>
      <c r="BS9" s="43"/>
      <c r="BT9" s="43"/>
      <c r="BU9" s="128"/>
      <c r="BV9" s="129" t="str">
        <f>IF(Table421[[#This Row],[Rubrique]]="","",Table421[[#This Row],[Qté]]*Table421[[#This Row],[Prix unitaire]])</f>
        <v/>
      </c>
      <c r="BX9" s="43"/>
      <c r="BY9" s="43"/>
      <c r="BZ9" s="43"/>
      <c r="CA9" s="43"/>
      <c r="CB9" s="43"/>
      <c r="CC9" s="128"/>
      <c r="CD9" s="129" t="str">
        <f>IF(Table422[[#This Row],[Rubrique]]="","",Table422[[#This Row],[Qté]]*Table422[[#This Row],[Prix unitaire]])</f>
        <v/>
      </c>
      <c r="CF9" s="43"/>
      <c r="CG9" s="43"/>
      <c r="CH9" s="43"/>
      <c r="CI9" s="43"/>
      <c r="CJ9" s="43"/>
      <c r="CK9" s="128"/>
      <c r="CL9" s="129" t="str">
        <f>IF(Table424[[#This Row],[Rubrique]]="","",Table424[[#This Row],[Qté]]*Table424[[#This Row],[Prix unitaire]])</f>
        <v/>
      </c>
      <c r="CN9" s="43"/>
      <c r="CO9" s="43"/>
      <c r="CP9" s="43"/>
      <c r="CQ9" s="43"/>
      <c r="CR9" s="43"/>
      <c r="CS9" s="128"/>
      <c r="CT9" s="129" t="str">
        <f>IF(Table425[[#This Row],[Rubrique]]="","",Table425[[#This Row],[Qté]]*Table425[[#This Row],[Prix unitaire]])</f>
        <v/>
      </c>
      <c r="CV9" s="43"/>
      <c r="CW9" s="43"/>
      <c r="CX9" s="43"/>
      <c r="CY9" s="43"/>
      <c r="CZ9" s="43"/>
      <c r="DA9" s="128"/>
      <c r="DB9" s="129" t="str">
        <f>IF(Table42526[[#This Row],[Rubrique]]="","",Table42526[[#This Row],[Qté]]*Table42526[[#This Row],[Prix unitaire]])</f>
        <v/>
      </c>
      <c r="DD9" s="43"/>
      <c r="DE9" s="43"/>
      <c r="DF9" s="43"/>
      <c r="DG9" s="43"/>
      <c r="DH9" s="43"/>
      <c r="DI9" s="128"/>
      <c r="DJ9" s="129" t="str">
        <f>IF(Table42527[[#This Row],[Rubrique]]="","",Table42527[[#This Row],[Qté]]*Table42527[[#This Row],[Prix unitaire]])</f>
        <v/>
      </c>
    </row>
    <row r="10" spans="1:114" x14ac:dyDescent="0.25">
      <c r="A10" s="63" t="str">
        <f>IF(Listes!A9="","",Listes!A9)</f>
        <v>Sal.</v>
      </c>
      <c r="B10" s="125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>78375</v>
      </c>
      <c r="D10" s="43" t="s">
        <v>2008</v>
      </c>
      <c r="E10" s="43" t="s">
        <v>221</v>
      </c>
      <c r="F10" s="43" t="s">
        <v>31</v>
      </c>
      <c r="G10" s="43"/>
      <c r="H10" s="43">
        <v>1</v>
      </c>
      <c r="I10" s="128">
        <v>50000</v>
      </c>
      <c r="J10" s="129">
        <f>IF(Table4[[#This Row],[Rubrique]]="","",Table4[[#This Row],[Qté]]*Table4[[#This Row],[Prix unitaire]])</f>
        <v>50000</v>
      </c>
      <c r="L10" s="43"/>
      <c r="M10" s="43"/>
      <c r="N10" s="43"/>
      <c r="O10" s="43"/>
      <c r="P10" s="43"/>
      <c r="Q10" s="128"/>
      <c r="R10" s="129" t="str">
        <f>IF(Table414[[#This Row],[Rubrique]]="","",Table414[[#This Row],[Qté]]*Table414[[#This Row],[Prix unitaire]])</f>
        <v/>
      </c>
      <c r="T10" s="43"/>
      <c r="U10" s="43"/>
      <c r="V10" s="43"/>
      <c r="W10" s="43"/>
      <c r="X10" s="43"/>
      <c r="Y10" s="128"/>
      <c r="Z10" s="129" t="str">
        <f>IF(Table415[[#This Row],[Rubrique]]="","",Table415[[#This Row],[Qté]]*Table415[[#This Row],[Prix unitaire]])</f>
        <v/>
      </c>
      <c r="AB10" s="43"/>
      <c r="AC10" s="43"/>
      <c r="AD10" s="43"/>
      <c r="AE10" s="43"/>
      <c r="AF10" s="43"/>
      <c r="AG10" s="128"/>
      <c r="AH10" s="129" t="str">
        <f>IF(Table416[[#This Row],[Rubrique]]="","",Table416[[#This Row],[Qté]]*Table416[[#This Row],[Prix unitaire]])</f>
        <v/>
      </c>
      <c r="AJ10" s="43"/>
      <c r="AK10" s="43"/>
      <c r="AL10" s="43"/>
      <c r="AM10" s="43"/>
      <c r="AN10" s="43"/>
      <c r="AO10" s="128"/>
      <c r="AP10" s="129" t="str">
        <f>IF(Table417[[#This Row],[Rubrique]]="","",Table417[[#This Row],[Qté]]*Table417[[#This Row],[Prix unitaire]])</f>
        <v/>
      </c>
      <c r="AR10" s="43"/>
      <c r="AS10" s="43"/>
      <c r="AT10" s="43"/>
      <c r="AU10" s="43"/>
      <c r="AV10" s="43"/>
      <c r="AW10" s="128"/>
      <c r="AX10" s="129" t="str">
        <f>IF(Table418[[#This Row],[Rubrique]]="","",Table418[[#This Row],[Qté]]*Table418[[#This Row],[Prix unitaire]])</f>
        <v/>
      </c>
      <c r="AZ10" s="43"/>
      <c r="BA10" s="43"/>
      <c r="BB10" s="43"/>
      <c r="BC10" s="43"/>
      <c r="BD10" s="43"/>
      <c r="BE10" s="128"/>
      <c r="BF10" s="129" t="str">
        <f>IF(Table419[[#This Row],[Rubrique]]="","",Table419[[#This Row],[Qté]]*Table419[[#This Row],[Prix unitaire]])</f>
        <v/>
      </c>
      <c r="BH10" s="43"/>
      <c r="BI10" s="43"/>
      <c r="BJ10" s="43"/>
      <c r="BK10" s="43"/>
      <c r="BL10" s="43"/>
      <c r="BM10" s="128"/>
      <c r="BN10" s="129" t="str">
        <f>IF(Table420[[#This Row],[Rubrique]]="","",Table420[[#This Row],[Qté]]*Table420[[#This Row],[Prix unitaire]])</f>
        <v/>
      </c>
      <c r="BP10" s="43"/>
      <c r="BQ10" s="43"/>
      <c r="BR10" s="43"/>
      <c r="BS10" s="43"/>
      <c r="BT10" s="43"/>
      <c r="BU10" s="128"/>
      <c r="BV10" s="129" t="str">
        <f>IF(Table421[[#This Row],[Rubrique]]="","",Table421[[#This Row],[Qté]]*Table421[[#This Row],[Prix unitaire]])</f>
        <v/>
      </c>
      <c r="BX10" s="43"/>
      <c r="BY10" s="43"/>
      <c r="BZ10" s="43"/>
      <c r="CA10" s="43"/>
      <c r="CB10" s="43"/>
      <c r="CC10" s="128"/>
      <c r="CD10" s="129" t="str">
        <f>IF(Table422[[#This Row],[Rubrique]]="","",Table422[[#This Row],[Qté]]*Table422[[#This Row],[Prix unitaire]])</f>
        <v/>
      </c>
      <c r="CF10" s="43"/>
      <c r="CG10" s="43"/>
      <c r="CH10" s="43"/>
      <c r="CI10" s="43"/>
      <c r="CJ10" s="43"/>
      <c r="CK10" s="128"/>
      <c r="CL10" s="129" t="str">
        <f>IF(Table424[[#This Row],[Rubrique]]="","",Table424[[#This Row],[Qté]]*Table424[[#This Row],[Prix unitaire]])</f>
        <v/>
      </c>
      <c r="CN10" s="43"/>
      <c r="CO10" s="43"/>
      <c r="CP10" s="43"/>
      <c r="CQ10" s="43"/>
      <c r="CR10" s="43"/>
      <c r="CS10" s="128"/>
      <c r="CT10" s="129" t="str">
        <f>IF(Table425[[#This Row],[Rubrique]]="","",Table425[[#This Row],[Qté]]*Table425[[#This Row],[Prix unitaire]])</f>
        <v/>
      </c>
      <c r="CV10" s="43"/>
      <c r="CW10" s="43"/>
      <c r="CX10" s="43"/>
      <c r="CY10" s="43"/>
      <c r="CZ10" s="43"/>
      <c r="DA10" s="128"/>
      <c r="DB10" s="129" t="str">
        <f>IF(Table42526[[#This Row],[Rubrique]]="","",Table42526[[#This Row],[Qté]]*Table42526[[#This Row],[Prix unitaire]])</f>
        <v/>
      </c>
      <c r="DD10" s="43"/>
      <c r="DE10" s="43"/>
      <c r="DF10" s="43"/>
      <c r="DG10" s="43"/>
      <c r="DH10" s="43"/>
      <c r="DI10" s="128"/>
      <c r="DJ10" s="129" t="str">
        <f>IF(Table42527[[#This Row],[Rubrique]]="","",Table42527[[#This Row],[Qté]]*Table42527[[#This Row],[Prix unitaire]])</f>
        <v/>
      </c>
    </row>
    <row r="11" spans="1:114" x14ac:dyDescent="0.25">
      <c r="A11" s="63" t="str">
        <f>IF(Listes!A10="","",Listes!A10)</f>
        <v>Inv.</v>
      </c>
      <c r="B11" s="125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>220000</v>
      </c>
      <c r="D11" s="43" t="s">
        <v>2008</v>
      </c>
      <c r="E11" s="43" t="s">
        <v>223</v>
      </c>
      <c r="F11" s="43" t="s">
        <v>31</v>
      </c>
      <c r="G11" s="43"/>
      <c r="H11" s="43">
        <v>1</v>
      </c>
      <c r="I11" s="128">
        <v>50000</v>
      </c>
      <c r="J11" s="129">
        <f>IF(Table4[[#This Row],[Rubrique]]="","",Table4[[#This Row],[Qté]]*Table4[[#This Row],[Prix unitaire]])</f>
        <v>50000</v>
      </c>
      <c r="L11" s="43"/>
      <c r="M11" s="43"/>
      <c r="N11" s="43"/>
      <c r="O11" s="43"/>
      <c r="P11" s="43"/>
      <c r="Q11" s="128"/>
      <c r="R11" s="129" t="str">
        <f>IF(Table414[[#This Row],[Rubrique]]="","",Table414[[#This Row],[Qté]]*Table414[[#This Row],[Prix unitaire]])</f>
        <v/>
      </c>
      <c r="T11" s="43"/>
      <c r="U11" s="43"/>
      <c r="V11" s="43"/>
      <c r="W11" s="43"/>
      <c r="X11" s="43"/>
      <c r="Y11" s="128"/>
      <c r="Z11" s="129" t="str">
        <f>IF(Table415[[#This Row],[Rubrique]]="","",Table415[[#This Row],[Qté]]*Table415[[#This Row],[Prix unitaire]])</f>
        <v/>
      </c>
      <c r="AB11" s="43"/>
      <c r="AC11" s="43"/>
      <c r="AD11" s="43"/>
      <c r="AE11" s="43"/>
      <c r="AF11" s="43"/>
      <c r="AG11" s="128"/>
      <c r="AH11" s="129" t="str">
        <f>IF(Table416[[#This Row],[Rubrique]]="","",Table416[[#This Row],[Qté]]*Table416[[#This Row],[Prix unitaire]])</f>
        <v/>
      </c>
      <c r="AJ11" s="43"/>
      <c r="AK11" s="43"/>
      <c r="AL11" s="43"/>
      <c r="AM11" s="43"/>
      <c r="AN11" s="43"/>
      <c r="AO11" s="128"/>
      <c r="AP11" s="129" t="str">
        <f>IF(Table417[[#This Row],[Rubrique]]="","",Table417[[#This Row],[Qté]]*Table417[[#This Row],[Prix unitaire]])</f>
        <v/>
      </c>
      <c r="AR11" s="43"/>
      <c r="AS11" s="43"/>
      <c r="AT11" s="43"/>
      <c r="AU11" s="43"/>
      <c r="AV11" s="43"/>
      <c r="AW11" s="128"/>
      <c r="AX11" s="129" t="str">
        <f>IF(Table418[[#This Row],[Rubrique]]="","",Table418[[#This Row],[Qté]]*Table418[[#This Row],[Prix unitaire]])</f>
        <v/>
      </c>
      <c r="AZ11" s="43"/>
      <c r="BA11" s="43"/>
      <c r="BB11" s="43"/>
      <c r="BC11" s="43"/>
      <c r="BD11" s="43"/>
      <c r="BE11" s="128"/>
      <c r="BF11" s="129" t="str">
        <f>IF(Table419[[#This Row],[Rubrique]]="","",Table419[[#This Row],[Qté]]*Table419[[#This Row],[Prix unitaire]])</f>
        <v/>
      </c>
      <c r="BH11" s="43"/>
      <c r="BI11" s="43"/>
      <c r="BJ11" s="43"/>
      <c r="BK11" s="43"/>
      <c r="BL11" s="43"/>
      <c r="BM11" s="128"/>
      <c r="BN11" s="129" t="str">
        <f>IF(Table420[[#This Row],[Rubrique]]="","",Table420[[#This Row],[Qté]]*Table420[[#This Row],[Prix unitaire]])</f>
        <v/>
      </c>
      <c r="BP11" s="43"/>
      <c r="BQ11" s="43"/>
      <c r="BR11" s="43"/>
      <c r="BS11" s="43"/>
      <c r="BT11" s="43"/>
      <c r="BU11" s="128"/>
      <c r="BV11" s="129" t="str">
        <f>IF(Table421[[#This Row],[Rubrique]]="","",Table421[[#This Row],[Qté]]*Table421[[#This Row],[Prix unitaire]])</f>
        <v/>
      </c>
      <c r="BX11" s="43"/>
      <c r="BY11" s="43"/>
      <c r="BZ11" s="43"/>
      <c r="CA11" s="43"/>
      <c r="CB11" s="43"/>
      <c r="CC11" s="128"/>
      <c r="CD11" s="129" t="str">
        <f>IF(Table422[[#This Row],[Rubrique]]="","",Table422[[#This Row],[Qté]]*Table422[[#This Row],[Prix unitaire]])</f>
        <v/>
      </c>
      <c r="CF11" s="43"/>
      <c r="CG11" s="43"/>
      <c r="CH11" s="43"/>
      <c r="CI11" s="43"/>
      <c r="CJ11" s="43"/>
      <c r="CK11" s="128"/>
      <c r="CL11" s="129" t="str">
        <f>IF(Table424[[#This Row],[Rubrique]]="","",Table424[[#This Row],[Qté]]*Table424[[#This Row],[Prix unitaire]])</f>
        <v/>
      </c>
      <c r="CN11" s="43"/>
      <c r="CO11" s="43"/>
      <c r="CP11" s="43"/>
      <c r="CQ11" s="43"/>
      <c r="CR11" s="43"/>
      <c r="CS11" s="128"/>
      <c r="CT11" s="129" t="str">
        <f>IF(Table425[[#This Row],[Rubrique]]="","",Table425[[#This Row],[Qté]]*Table425[[#This Row],[Prix unitaire]])</f>
        <v/>
      </c>
      <c r="CV11" s="43"/>
      <c r="CW11" s="43"/>
      <c r="CX11" s="43"/>
      <c r="CY11" s="43"/>
      <c r="CZ11" s="43"/>
      <c r="DA11" s="128"/>
      <c r="DB11" s="129" t="str">
        <f>IF(Table42526[[#This Row],[Rubrique]]="","",Table42526[[#This Row],[Qté]]*Table42526[[#This Row],[Prix unitaire]])</f>
        <v/>
      </c>
      <c r="DD11" s="43"/>
      <c r="DE11" s="43"/>
      <c r="DF11" s="43"/>
      <c r="DG11" s="43"/>
      <c r="DH11" s="43"/>
      <c r="DI11" s="128"/>
      <c r="DJ11" s="129" t="str">
        <f>IF(Table42527[[#This Row],[Rubrique]]="","",Table42527[[#This Row],[Qté]]*Table42527[[#This Row],[Prix unitaire]])</f>
        <v/>
      </c>
    </row>
    <row r="12" spans="1:114" x14ac:dyDescent="0.25">
      <c r="A12" s="63" t="str">
        <f>IF(Listes!A11="","",Listes!A11)</f>
        <v/>
      </c>
      <c r="B1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2" s="43" t="s">
        <v>213</v>
      </c>
      <c r="E12" s="43" t="s">
        <v>222</v>
      </c>
      <c r="F12" s="43" t="s">
        <v>31</v>
      </c>
      <c r="G12" s="43"/>
      <c r="H12" s="43">
        <v>1</v>
      </c>
      <c r="I12" s="128">
        <v>2500</v>
      </c>
      <c r="J12" s="129">
        <f>IF(Table4[[#This Row],[Rubrique]]="","",Table4[[#This Row],[Qté]]*Table4[[#This Row],[Prix unitaire]])</f>
        <v>2500</v>
      </c>
      <c r="L12" s="43"/>
      <c r="M12" s="43"/>
      <c r="N12" s="43"/>
      <c r="O12" s="43"/>
      <c r="P12" s="43"/>
      <c r="Q12" s="128"/>
      <c r="R12" s="129" t="str">
        <f>IF(Table414[[#This Row],[Rubrique]]="","",Table414[[#This Row],[Qté]]*Table414[[#This Row],[Prix unitaire]])</f>
        <v/>
      </c>
      <c r="T12" s="43"/>
      <c r="U12" s="43"/>
      <c r="V12" s="43"/>
      <c r="W12" s="43"/>
      <c r="X12" s="43"/>
      <c r="Y12" s="128"/>
      <c r="Z12" s="129" t="str">
        <f>IF(Table415[[#This Row],[Rubrique]]="","",Table415[[#This Row],[Qté]]*Table415[[#This Row],[Prix unitaire]])</f>
        <v/>
      </c>
      <c r="AB12" s="43"/>
      <c r="AC12" s="43"/>
      <c r="AD12" s="43"/>
      <c r="AE12" s="43"/>
      <c r="AF12" s="43"/>
      <c r="AG12" s="128"/>
      <c r="AH12" s="129" t="str">
        <f>IF(Table416[[#This Row],[Rubrique]]="","",Table416[[#This Row],[Qté]]*Table416[[#This Row],[Prix unitaire]])</f>
        <v/>
      </c>
      <c r="AJ12" s="43"/>
      <c r="AK12" s="43"/>
      <c r="AL12" s="43"/>
      <c r="AM12" s="43"/>
      <c r="AN12" s="43"/>
      <c r="AO12" s="128"/>
      <c r="AP12" s="129" t="str">
        <f>IF(Table417[[#This Row],[Rubrique]]="","",Table417[[#This Row],[Qté]]*Table417[[#This Row],[Prix unitaire]])</f>
        <v/>
      </c>
      <c r="AR12" s="43"/>
      <c r="AS12" s="43"/>
      <c r="AT12" s="43"/>
      <c r="AU12" s="43"/>
      <c r="AV12" s="43"/>
      <c r="AW12" s="128"/>
      <c r="AX12" s="129" t="str">
        <f>IF(Table418[[#This Row],[Rubrique]]="","",Table418[[#This Row],[Qté]]*Table418[[#This Row],[Prix unitaire]])</f>
        <v/>
      </c>
      <c r="AZ12" s="43"/>
      <c r="BA12" s="43"/>
      <c r="BB12" s="43"/>
      <c r="BC12" s="43"/>
      <c r="BD12" s="43"/>
      <c r="BE12" s="128"/>
      <c r="BF12" s="129" t="str">
        <f>IF(Table419[[#This Row],[Rubrique]]="","",Table419[[#This Row],[Qté]]*Table419[[#This Row],[Prix unitaire]])</f>
        <v/>
      </c>
      <c r="BH12" s="43"/>
      <c r="BI12" s="43"/>
      <c r="BJ12" s="43"/>
      <c r="BK12" s="43"/>
      <c r="BL12" s="43"/>
      <c r="BM12" s="128"/>
      <c r="BN12" s="129" t="str">
        <f>IF(Table420[[#This Row],[Rubrique]]="","",Table420[[#This Row],[Qté]]*Table420[[#This Row],[Prix unitaire]])</f>
        <v/>
      </c>
      <c r="BP12" s="43"/>
      <c r="BQ12" s="43"/>
      <c r="BR12" s="43"/>
      <c r="BS12" s="43"/>
      <c r="BT12" s="43"/>
      <c r="BU12" s="128"/>
      <c r="BV12" s="129" t="str">
        <f>IF(Table421[[#This Row],[Rubrique]]="","",Table421[[#This Row],[Qté]]*Table421[[#This Row],[Prix unitaire]])</f>
        <v/>
      </c>
      <c r="BX12" s="43"/>
      <c r="BY12" s="43"/>
      <c r="BZ12" s="43"/>
      <c r="CA12" s="43"/>
      <c r="CB12" s="43"/>
      <c r="CC12" s="128"/>
      <c r="CD12" s="129" t="str">
        <f>IF(Table422[[#This Row],[Rubrique]]="","",Table422[[#This Row],[Qté]]*Table422[[#This Row],[Prix unitaire]])</f>
        <v/>
      </c>
      <c r="CF12" s="43"/>
      <c r="CG12" s="43"/>
      <c r="CH12" s="43"/>
      <c r="CI12" s="43"/>
      <c r="CJ12" s="43"/>
      <c r="CK12" s="128"/>
      <c r="CL12" s="129" t="str">
        <f>IF(Table424[[#This Row],[Rubrique]]="","",Table424[[#This Row],[Qté]]*Table424[[#This Row],[Prix unitaire]])</f>
        <v/>
      </c>
      <c r="CN12" s="43"/>
      <c r="CO12" s="43"/>
      <c r="CP12" s="43"/>
      <c r="CQ12" s="43"/>
      <c r="CR12" s="43"/>
      <c r="CS12" s="128"/>
      <c r="CT12" s="129" t="str">
        <f>IF(Table425[[#This Row],[Rubrique]]="","",Table425[[#This Row],[Qté]]*Table425[[#This Row],[Prix unitaire]])</f>
        <v/>
      </c>
      <c r="CV12" s="43"/>
      <c r="CW12" s="43"/>
      <c r="CX12" s="43"/>
      <c r="CY12" s="43"/>
      <c r="CZ12" s="43"/>
      <c r="DA12" s="128"/>
      <c r="DB12" s="129" t="str">
        <f>IF(Table42526[[#This Row],[Rubrique]]="","",Table42526[[#This Row],[Qté]]*Table42526[[#This Row],[Prix unitaire]])</f>
        <v/>
      </c>
      <c r="DD12" s="43"/>
      <c r="DE12" s="43"/>
      <c r="DF12" s="43"/>
      <c r="DG12" s="43"/>
      <c r="DH12" s="43"/>
      <c r="DI12" s="128"/>
      <c r="DJ12" s="129" t="str">
        <f>IF(Table42527[[#This Row],[Rubrique]]="","",Table42527[[#This Row],[Qté]]*Table42527[[#This Row],[Prix unitaire]])</f>
        <v/>
      </c>
    </row>
    <row r="13" spans="1:114" x14ac:dyDescent="0.25">
      <c r="A13" s="186" t="str">
        <f>IF(Listes!A12="","",Listes!A12)</f>
        <v/>
      </c>
      <c r="B1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3" s="43" t="s">
        <v>213</v>
      </c>
      <c r="E13" s="43" t="s">
        <v>224</v>
      </c>
      <c r="F13" s="43" t="s">
        <v>31</v>
      </c>
      <c r="G13" s="43"/>
      <c r="H13" s="43">
        <v>1</v>
      </c>
      <c r="I13" s="128">
        <v>2250</v>
      </c>
      <c r="J13" s="129">
        <f>IF(Table4[[#This Row],[Rubrique]]="","",Table4[[#This Row],[Qté]]*Table4[[#This Row],[Prix unitaire]])</f>
        <v>2250</v>
      </c>
      <c r="L13" s="43"/>
      <c r="M13" s="43"/>
      <c r="N13" s="43"/>
      <c r="O13" s="43"/>
      <c r="P13" s="43"/>
      <c r="Q13" s="128"/>
      <c r="R13" s="129" t="str">
        <f>IF(Table414[[#This Row],[Rubrique]]="","",Table414[[#This Row],[Qté]]*Table414[[#This Row],[Prix unitaire]])</f>
        <v/>
      </c>
      <c r="T13" s="43"/>
      <c r="U13" s="43"/>
      <c r="V13" s="43"/>
      <c r="W13" s="43"/>
      <c r="X13" s="43"/>
      <c r="Y13" s="128"/>
      <c r="Z13" s="129" t="str">
        <f>IF(Table415[[#This Row],[Rubrique]]="","",Table415[[#This Row],[Qté]]*Table415[[#This Row],[Prix unitaire]])</f>
        <v/>
      </c>
      <c r="AB13" s="43"/>
      <c r="AC13" s="43"/>
      <c r="AD13" s="43"/>
      <c r="AE13" s="43"/>
      <c r="AF13" s="43"/>
      <c r="AG13" s="128"/>
      <c r="AH13" s="129" t="str">
        <f>IF(Table416[[#This Row],[Rubrique]]="","",Table416[[#This Row],[Qté]]*Table416[[#This Row],[Prix unitaire]])</f>
        <v/>
      </c>
      <c r="AJ13" s="43"/>
      <c r="AK13" s="43"/>
      <c r="AL13" s="43"/>
      <c r="AM13" s="43"/>
      <c r="AN13" s="43"/>
      <c r="AO13" s="128"/>
      <c r="AP13" s="129" t="str">
        <f>IF(Table417[[#This Row],[Rubrique]]="","",Table417[[#This Row],[Qté]]*Table417[[#This Row],[Prix unitaire]])</f>
        <v/>
      </c>
      <c r="AR13" s="43"/>
      <c r="AS13" s="43"/>
      <c r="AT13" s="43"/>
      <c r="AU13" s="43"/>
      <c r="AV13" s="43"/>
      <c r="AW13" s="128"/>
      <c r="AX13" s="129" t="str">
        <f>IF(Table418[[#This Row],[Rubrique]]="","",Table418[[#This Row],[Qté]]*Table418[[#This Row],[Prix unitaire]])</f>
        <v/>
      </c>
      <c r="AZ13" s="43"/>
      <c r="BA13" s="43"/>
      <c r="BB13" s="43"/>
      <c r="BC13" s="43"/>
      <c r="BD13" s="43"/>
      <c r="BE13" s="128"/>
      <c r="BF13" s="129" t="str">
        <f>IF(Table419[[#This Row],[Rubrique]]="","",Table419[[#This Row],[Qté]]*Table419[[#This Row],[Prix unitaire]])</f>
        <v/>
      </c>
      <c r="BH13" s="43"/>
      <c r="BI13" s="43"/>
      <c r="BJ13" s="43"/>
      <c r="BK13" s="43"/>
      <c r="BL13" s="43"/>
      <c r="BM13" s="128"/>
      <c r="BN13" s="129" t="str">
        <f>IF(Table420[[#This Row],[Rubrique]]="","",Table420[[#This Row],[Qté]]*Table420[[#This Row],[Prix unitaire]])</f>
        <v/>
      </c>
      <c r="BP13" s="43"/>
      <c r="BQ13" s="43"/>
      <c r="BR13" s="43"/>
      <c r="BS13" s="43"/>
      <c r="BT13" s="43"/>
      <c r="BU13" s="128"/>
      <c r="BV13" s="129" t="str">
        <f>IF(Table421[[#This Row],[Rubrique]]="","",Table421[[#This Row],[Qté]]*Table421[[#This Row],[Prix unitaire]])</f>
        <v/>
      </c>
      <c r="BX13" s="43"/>
      <c r="BY13" s="43"/>
      <c r="BZ13" s="43"/>
      <c r="CA13" s="43"/>
      <c r="CB13" s="43"/>
      <c r="CC13" s="128"/>
      <c r="CD13" s="129" t="str">
        <f>IF(Table422[[#This Row],[Rubrique]]="","",Table422[[#This Row],[Qté]]*Table422[[#This Row],[Prix unitaire]])</f>
        <v/>
      </c>
      <c r="CF13" s="43"/>
      <c r="CG13" s="43"/>
      <c r="CH13" s="43"/>
      <c r="CI13" s="43"/>
      <c r="CJ13" s="43"/>
      <c r="CK13" s="128"/>
      <c r="CL13" s="129" t="str">
        <f>IF(Table424[[#This Row],[Rubrique]]="","",Table424[[#This Row],[Qté]]*Table424[[#This Row],[Prix unitaire]])</f>
        <v/>
      </c>
      <c r="CN13" s="43"/>
      <c r="CO13" s="43"/>
      <c r="CP13" s="43"/>
      <c r="CQ13" s="43"/>
      <c r="CR13" s="43"/>
      <c r="CS13" s="128"/>
      <c r="CT13" s="129" t="str">
        <f>IF(Table425[[#This Row],[Rubrique]]="","",Table425[[#This Row],[Qté]]*Table425[[#This Row],[Prix unitaire]])</f>
        <v/>
      </c>
      <c r="CV13" s="43"/>
      <c r="CW13" s="43"/>
      <c r="CX13" s="43"/>
      <c r="CY13" s="43"/>
      <c r="CZ13" s="43"/>
      <c r="DA13" s="128"/>
      <c r="DB13" s="129" t="str">
        <f>IF(Table42526[[#This Row],[Rubrique]]="","",Table42526[[#This Row],[Qté]]*Table42526[[#This Row],[Prix unitaire]])</f>
        <v/>
      </c>
      <c r="DD13" s="43"/>
      <c r="DE13" s="43"/>
      <c r="DF13" s="43"/>
      <c r="DG13" s="43"/>
      <c r="DH13" s="43"/>
      <c r="DI13" s="128"/>
      <c r="DJ13" s="129" t="str">
        <f>IF(Table42527[[#This Row],[Rubrique]]="","",Table42527[[#This Row],[Qté]]*Table42527[[#This Row],[Prix unitaire]])</f>
        <v/>
      </c>
    </row>
    <row r="14" spans="1:114" x14ac:dyDescent="0.25">
      <c r="A14" s="186" t="str">
        <f>IF(Listes!A13="","",Listes!A13)</f>
        <v/>
      </c>
      <c r="B1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4" s="43" t="s">
        <v>2008</v>
      </c>
      <c r="E14" s="43" t="s">
        <v>225</v>
      </c>
      <c r="F14" s="43" t="s">
        <v>31</v>
      </c>
      <c r="G14" s="43"/>
      <c r="H14" s="43">
        <v>1</v>
      </c>
      <c r="I14" s="128">
        <v>100000</v>
      </c>
      <c r="J14" s="129">
        <f>IF(Table4[[#This Row],[Rubrique]]="","",Table4[[#This Row],[Qté]]*Table4[[#This Row],[Prix unitaire]])</f>
        <v>100000</v>
      </c>
      <c r="L14" s="43"/>
      <c r="M14" s="43"/>
      <c r="N14" s="43"/>
      <c r="O14" s="43"/>
      <c r="P14" s="43"/>
      <c r="Q14" s="128"/>
      <c r="R14" s="129" t="str">
        <f>IF(Table414[[#This Row],[Rubrique]]="","",Table414[[#This Row],[Qté]]*Table414[[#This Row],[Prix unitaire]])</f>
        <v/>
      </c>
      <c r="T14" s="43"/>
      <c r="U14" s="43"/>
      <c r="V14" s="43"/>
      <c r="W14" s="43"/>
      <c r="X14" s="43"/>
      <c r="Y14" s="128"/>
      <c r="Z14" s="129" t="str">
        <f>IF(Table415[[#This Row],[Rubrique]]="","",Table415[[#This Row],[Qté]]*Table415[[#This Row],[Prix unitaire]])</f>
        <v/>
      </c>
      <c r="AB14" s="43"/>
      <c r="AC14" s="43"/>
      <c r="AD14" s="43"/>
      <c r="AE14" s="43"/>
      <c r="AF14" s="43"/>
      <c r="AG14" s="128"/>
      <c r="AH14" s="129" t="str">
        <f>IF(Table416[[#This Row],[Rubrique]]="","",Table416[[#This Row],[Qté]]*Table416[[#This Row],[Prix unitaire]])</f>
        <v/>
      </c>
      <c r="AJ14" s="43"/>
      <c r="AK14" s="43"/>
      <c r="AL14" s="43"/>
      <c r="AM14" s="43"/>
      <c r="AN14" s="43"/>
      <c r="AO14" s="128"/>
      <c r="AP14" s="129" t="str">
        <f>IF(Table417[[#This Row],[Rubrique]]="","",Table417[[#This Row],[Qté]]*Table417[[#This Row],[Prix unitaire]])</f>
        <v/>
      </c>
      <c r="AR14" s="43"/>
      <c r="AS14" s="43"/>
      <c r="AT14" s="43"/>
      <c r="AU14" s="43"/>
      <c r="AV14" s="43"/>
      <c r="AW14" s="128"/>
      <c r="AX14" s="129" t="str">
        <f>IF(Table418[[#This Row],[Rubrique]]="","",Table418[[#This Row],[Qté]]*Table418[[#This Row],[Prix unitaire]])</f>
        <v/>
      </c>
      <c r="AZ14" s="43"/>
      <c r="BA14" s="43"/>
      <c r="BB14" s="43"/>
      <c r="BC14" s="43"/>
      <c r="BD14" s="43"/>
      <c r="BE14" s="128"/>
      <c r="BF14" s="129" t="str">
        <f>IF(Table419[[#This Row],[Rubrique]]="","",Table419[[#This Row],[Qté]]*Table419[[#This Row],[Prix unitaire]])</f>
        <v/>
      </c>
      <c r="BH14" s="43"/>
      <c r="BI14" s="43"/>
      <c r="BJ14" s="43"/>
      <c r="BK14" s="43"/>
      <c r="BL14" s="43"/>
      <c r="BM14" s="128"/>
      <c r="BN14" s="129" t="str">
        <f>IF(Table420[[#This Row],[Rubrique]]="","",Table420[[#This Row],[Qté]]*Table420[[#This Row],[Prix unitaire]])</f>
        <v/>
      </c>
      <c r="BP14" s="43"/>
      <c r="BQ14" s="43"/>
      <c r="BR14" s="43"/>
      <c r="BS14" s="43"/>
      <c r="BT14" s="43"/>
      <c r="BU14" s="128"/>
      <c r="BV14" s="129" t="str">
        <f>IF(Table421[[#This Row],[Rubrique]]="","",Table421[[#This Row],[Qté]]*Table421[[#This Row],[Prix unitaire]])</f>
        <v/>
      </c>
      <c r="BX14" s="43"/>
      <c r="BY14" s="43"/>
      <c r="BZ14" s="43"/>
      <c r="CA14" s="43"/>
      <c r="CB14" s="43"/>
      <c r="CC14" s="128"/>
      <c r="CD14" s="129" t="str">
        <f>IF(Table422[[#This Row],[Rubrique]]="","",Table422[[#This Row],[Qté]]*Table422[[#This Row],[Prix unitaire]])</f>
        <v/>
      </c>
      <c r="CF14" s="43"/>
      <c r="CG14" s="43"/>
      <c r="CH14" s="43"/>
      <c r="CI14" s="43"/>
      <c r="CJ14" s="43"/>
      <c r="CK14" s="128"/>
      <c r="CL14" s="129" t="str">
        <f>IF(Table424[[#This Row],[Rubrique]]="","",Table424[[#This Row],[Qté]]*Table424[[#This Row],[Prix unitaire]])</f>
        <v/>
      </c>
      <c r="CN14" s="43"/>
      <c r="CO14" s="43"/>
      <c r="CP14" s="43"/>
      <c r="CQ14" s="43"/>
      <c r="CR14" s="43"/>
      <c r="CS14" s="128"/>
      <c r="CT14" s="129" t="str">
        <f>IF(Table425[[#This Row],[Rubrique]]="","",Table425[[#This Row],[Qté]]*Table425[[#This Row],[Prix unitaire]])</f>
        <v/>
      </c>
      <c r="CV14" s="43"/>
      <c r="CW14" s="43"/>
      <c r="CX14" s="43"/>
      <c r="CY14" s="43"/>
      <c r="CZ14" s="43"/>
      <c r="DA14" s="128"/>
      <c r="DB14" s="129" t="str">
        <f>IF(Table42526[[#This Row],[Rubrique]]="","",Table42526[[#This Row],[Qté]]*Table42526[[#This Row],[Prix unitaire]])</f>
        <v/>
      </c>
      <c r="DD14" s="43"/>
      <c r="DE14" s="43"/>
      <c r="DF14" s="43"/>
      <c r="DG14" s="43"/>
      <c r="DH14" s="43"/>
      <c r="DI14" s="128"/>
      <c r="DJ14" s="129" t="str">
        <f>IF(Table42527[[#This Row],[Rubrique]]="","",Table42527[[#This Row],[Qté]]*Table42527[[#This Row],[Prix unitaire]])</f>
        <v/>
      </c>
    </row>
    <row r="15" spans="1:114" x14ac:dyDescent="0.25">
      <c r="A15" s="186" t="str">
        <f>IF(Listes!A14="","",Listes!A14)</f>
        <v/>
      </c>
      <c r="B15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5" s="43" t="s">
        <v>227</v>
      </c>
      <c r="E15" s="43" t="s">
        <v>228</v>
      </c>
      <c r="F15" s="43" t="s">
        <v>229</v>
      </c>
      <c r="G15" s="43"/>
      <c r="H15" s="43">
        <v>10000</v>
      </c>
      <c r="I15" s="128">
        <v>150</v>
      </c>
      <c r="J15" s="129">
        <f>IF(Table4[[#This Row],[Rubrique]]="","",Table4[[#This Row],[Qté]]*Table4[[#This Row],[Prix unitaire]])</f>
        <v>1500000</v>
      </c>
      <c r="L15" s="43"/>
      <c r="M15" s="43"/>
      <c r="N15" s="43"/>
      <c r="O15" s="43"/>
      <c r="P15" s="43"/>
      <c r="Q15" s="128"/>
      <c r="R15" s="129" t="str">
        <f>IF(Table414[[#This Row],[Rubrique]]="","",Table414[[#This Row],[Qté]]*Table414[[#This Row],[Prix unitaire]])</f>
        <v/>
      </c>
      <c r="T15" s="43"/>
      <c r="U15" s="43"/>
      <c r="V15" s="43"/>
      <c r="W15" s="43"/>
      <c r="X15" s="43"/>
      <c r="Y15" s="128"/>
      <c r="Z15" s="129" t="str">
        <f>IF(Table415[[#This Row],[Rubrique]]="","",Table415[[#This Row],[Qté]]*Table415[[#This Row],[Prix unitaire]])</f>
        <v/>
      </c>
      <c r="AB15" s="43"/>
      <c r="AC15" s="43"/>
      <c r="AD15" s="43"/>
      <c r="AE15" s="43"/>
      <c r="AF15" s="43"/>
      <c r="AG15" s="128"/>
      <c r="AH15" s="129" t="str">
        <f>IF(Table416[[#This Row],[Rubrique]]="","",Table416[[#This Row],[Qté]]*Table416[[#This Row],[Prix unitaire]])</f>
        <v/>
      </c>
      <c r="AJ15" s="43"/>
      <c r="AK15" s="43"/>
      <c r="AL15" s="43"/>
      <c r="AM15" s="43"/>
      <c r="AN15" s="43"/>
      <c r="AO15" s="128"/>
      <c r="AP15" s="129" t="str">
        <f>IF(Table417[[#This Row],[Rubrique]]="","",Table417[[#This Row],[Qté]]*Table417[[#This Row],[Prix unitaire]])</f>
        <v/>
      </c>
      <c r="AR15" s="43"/>
      <c r="AS15" s="43"/>
      <c r="AT15" s="43"/>
      <c r="AU15" s="43"/>
      <c r="AV15" s="43"/>
      <c r="AW15" s="128"/>
      <c r="AX15" s="129" t="str">
        <f>IF(Table418[[#This Row],[Rubrique]]="","",Table418[[#This Row],[Qté]]*Table418[[#This Row],[Prix unitaire]])</f>
        <v/>
      </c>
      <c r="AZ15" s="43"/>
      <c r="BA15" s="43"/>
      <c r="BB15" s="43"/>
      <c r="BC15" s="43"/>
      <c r="BD15" s="43"/>
      <c r="BE15" s="128"/>
      <c r="BF15" s="129" t="str">
        <f>IF(Table419[[#This Row],[Rubrique]]="","",Table419[[#This Row],[Qté]]*Table419[[#This Row],[Prix unitaire]])</f>
        <v/>
      </c>
      <c r="BH15" s="43"/>
      <c r="BI15" s="43"/>
      <c r="BJ15" s="43"/>
      <c r="BK15" s="43"/>
      <c r="BL15" s="43"/>
      <c r="BM15" s="128"/>
      <c r="BN15" s="129" t="str">
        <f>IF(Table420[[#This Row],[Rubrique]]="","",Table420[[#This Row],[Qté]]*Table420[[#This Row],[Prix unitaire]])</f>
        <v/>
      </c>
      <c r="BP15" s="43"/>
      <c r="BQ15" s="43"/>
      <c r="BR15" s="43"/>
      <c r="BS15" s="43"/>
      <c r="BT15" s="43"/>
      <c r="BU15" s="128"/>
      <c r="BV15" s="129" t="str">
        <f>IF(Table421[[#This Row],[Rubrique]]="","",Table421[[#This Row],[Qté]]*Table421[[#This Row],[Prix unitaire]])</f>
        <v/>
      </c>
      <c r="BX15" s="43"/>
      <c r="BY15" s="43"/>
      <c r="BZ15" s="43"/>
      <c r="CA15" s="43"/>
      <c r="CB15" s="43"/>
      <c r="CC15" s="128"/>
      <c r="CD15" s="129" t="str">
        <f>IF(Table422[[#This Row],[Rubrique]]="","",Table422[[#This Row],[Qté]]*Table422[[#This Row],[Prix unitaire]])</f>
        <v/>
      </c>
      <c r="CF15" s="43"/>
      <c r="CG15" s="43"/>
      <c r="CH15" s="43"/>
      <c r="CI15" s="43"/>
      <c r="CJ15" s="43"/>
      <c r="CK15" s="128"/>
      <c r="CL15" s="129" t="str">
        <f>IF(Table424[[#This Row],[Rubrique]]="","",Table424[[#This Row],[Qté]]*Table424[[#This Row],[Prix unitaire]])</f>
        <v/>
      </c>
      <c r="CN15" s="43"/>
      <c r="CO15" s="43"/>
      <c r="CP15" s="43"/>
      <c r="CQ15" s="43"/>
      <c r="CR15" s="43"/>
      <c r="CS15" s="128"/>
      <c r="CT15" s="129" t="str">
        <f>IF(Table425[[#This Row],[Rubrique]]="","",Table425[[#This Row],[Qté]]*Table425[[#This Row],[Prix unitaire]])</f>
        <v/>
      </c>
      <c r="CV15" s="43"/>
      <c r="CW15" s="43"/>
      <c r="CX15" s="43"/>
      <c r="CY15" s="43"/>
      <c r="CZ15" s="43"/>
      <c r="DA15" s="128"/>
      <c r="DB15" s="129" t="str">
        <f>IF(Table42526[[#This Row],[Rubrique]]="","",Table42526[[#This Row],[Qté]]*Table42526[[#This Row],[Prix unitaire]])</f>
        <v/>
      </c>
      <c r="DD15" s="43"/>
      <c r="DE15" s="43"/>
      <c r="DF15" s="43"/>
      <c r="DG15" s="43"/>
      <c r="DH15" s="43"/>
      <c r="DI15" s="128"/>
      <c r="DJ15" s="129" t="str">
        <f>IF(Table42527[[#This Row],[Rubrique]]="","",Table42527[[#This Row],[Qté]]*Table42527[[#This Row],[Prix unitaire]])</f>
        <v/>
      </c>
    </row>
    <row r="16" spans="1:114" x14ac:dyDescent="0.25">
      <c r="A16" s="186" t="str">
        <f>IF(Listes!A15="","",Listes!A15)</f>
        <v/>
      </c>
      <c r="B1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6" s="43" t="s">
        <v>227</v>
      </c>
      <c r="E16" s="43" t="s">
        <v>230</v>
      </c>
      <c r="F16" s="43" t="s">
        <v>229</v>
      </c>
      <c r="G16" s="43"/>
      <c r="H16" s="43">
        <v>50</v>
      </c>
      <c r="I16" s="128">
        <v>250</v>
      </c>
      <c r="J16" s="129">
        <f>IF(Table4[[#This Row],[Rubrique]]="","",Table4[[#This Row],[Qté]]*Table4[[#This Row],[Prix unitaire]])</f>
        <v>12500</v>
      </c>
      <c r="L16" s="43"/>
      <c r="M16" s="43"/>
      <c r="N16" s="43"/>
      <c r="O16" s="43"/>
      <c r="P16" s="43"/>
      <c r="Q16" s="128"/>
      <c r="R16" s="129" t="str">
        <f>IF(Table414[[#This Row],[Rubrique]]="","",Table414[[#This Row],[Qté]]*Table414[[#This Row],[Prix unitaire]])</f>
        <v/>
      </c>
      <c r="T16" s="43"/>
      <c r="U16" s="43"/>
      <c r="V16" s="43"/>
      <c r="W16" s="43"/>
      <c r="X16" s="43"/>
      <c r="Y16" s="128"/>
      <c r="Z16" s="129" t="str">
        <f>IF(Table415[[#This Row],[Rubrique]]="","",Table415[[#This Row],[Qté]]*Table415[[#This Row],[Prix unitaire]])</f>
        <v/>
      </c>
      <c r="AB16" s="43"/>
      <c r="AC16" s="43"/>
      <c r="AD16" s="43"/>
      <c r="AE16" s="43"/>
      <c r="AF16" s="43"/>
      <c r="AG16" s="128"/>
      <c r="AH16" s="129" t="str">
        <f>IF(Table416[[#This Row],[Rubrique]]="","",Table416[[#This Row],[Qté]]*Table416[[#This Row],[Prix unitaire]])</f>
        <v/>
      </c>
      <c r="AJ16" s="43"/>
      <c r="AK16" s="43"/>
      <c r="AL16" s="43"/>
      <c r="AM16" s="43"/>
      <c r="AN16" s="43"/>
      <c r="AO16" s="128"/>
      <c r="AP16" s="129" t="str">
        <f>IF(Table417[[#This Row],[Rubrique]]="","",Table417[[#This Row],[Qté]]*Table417[[#This Row],[Prix unitaire]])</f>
        <v/>
      </c>
      <c r="AR16" s="43"/>
      <c r="AS16" s="43"/>
      <c r="AT16" s="43"/>
      <c r="AU16" s="43"/>
      <c r="AV16" s="43"/>
      <c r="AW16" s="128"/>
      <c r="AX16" s="129" t="str">
        <f>IF(Table418[[#This Row],[Rubrique]]="","",Table418[[#This Row],[Qté]]*Table418[[#This Row],[Prix unitaire]])</f>
        <v/>
      </c>
      <c r="AZ16" s="43"/>
      <c r="BA16" s="43"/>
      <c r="BB16" s="43"/>
      <c r="BC16" s="43"/>
      <c r="BD16" s="43"/>
      <c r="BE16" s="128"/>
      <c r="BF16" s="129" t="str">
        <f>IF(Table419[[#This Row],[Rubrique]]="","",Table419[[#This Row],[Qté]]*Table419[[#This Row],[Prix unitaire]])</f>
        <v/>
      </c>
      <c r="BH16" s="43"/>
      <c r="BI16" s="43"/>
      <c r="BJ16" s="43"/>
      <c r="BK16" s="43"/>
      <c r="BL16" s="43"/>
      <c r="BM16" s="128"/>
      <c r="BN16" s="129" t="str">
        <f>IF(Table420[[#This Row],[Rubrique]]="","",Table420[[#This Row],[Qté]]*Table420[[#This Row],[Prix unitaire]])</f>
        <v/>
      </c>
      <c r="BP16" s="43"/>
      <c r="BQ16" s="43"/>
      <c r="BR16" s="43"/>
      <c r="BS16" s="43"/>
      <c r="BT16" s="43"/>
      <c r="BU16" s="128"/>
      <c r="BV16" s="129" t="str">
        <f>IF(Table421[[#This Row],[Rubrique]]="","",Table421[[#This Row],[Qté]]*Table421[[#This Row],[Prix unitaire]])</f>
        <v/>
      </c>
      <c r="BX16" s="43"/>
      <c r="BY16" s="43"/>
      <c r="BZ16" s="43"/>
      <c r="CA16" s="43"/>
      <c r="CB16" s="43"/>
      <c r="CC16" s="128"/>
      <c r="CD16" s="129" t="str">
        <f>IF(Table422[[#This Row],[Rubrique]]="","",Table422[[#This Row],[Qté]]*Table422[[#This Row],[Prix unitaire]])</f>
        <v/>
      </c>
      <c r="CF16" s="43"/>
      <c r="CG16" s="43"/>
      <c r="CH16" s="43"/>
      <c r="CI16" s="43"/>
      <c r="CJ16" s="43"/>
      <c r="CK16" s="128"/>
      <c r="CL16" s="129" t="str">
        <f>IF(Table424[[#This Row],[Rubrique]]="","",Table424[[#This Row],[Qté]]*Table424[[#This Row],[Prix unitaire]])</f>
        <v/>
      </c>
      <c r="CN16" s="43"/>
      <c r="CO16" s="43"/>
      <c r="CP16" s="43"/>
      <c r="CQ16" s="43"/>
      <c r="CR16" s="43"/>
      <c r="CS16" s="128"/>
      <c r="CT16" s="129" t="str">
        <f>IF(Table425[[#This Row],[Rubrique]]="","",Table425[[#This Row],[Qté]]*Table425[[#This Row],[Prix unitaire]])</f>
        <v/>
      </c>
      <c r="CV16" s="43"/>
      <c r="CW16" s="43"/>
      <c r="CX16" s="43"/>
      <c r="CY16" s="43"/>
      <c r="CZ16" s="43"/>
      <c r="DA16" s="128"/>
      <c r="DB16" s="129" t="str">
        <f>IF(Table42526[[#This Row],[Rubrique]]="","",Table42526[[#This Row],[Qté]]*Table42526[[#This Row],[Prix unitaire]])</f>
        <v/>
      </c>
      <c r="DD16" s="43"/>
      <c r="DE16" s="43"/>
      <c r="DF16" s="43"/>
      <c r="DG16" s="43"/>
      <c r="DH16" s="43"/>
      <c r="DI16" s="128"/>
      <c r="DJ16" s="129" t="str">
        <f>IF(Table42527[[#This Row],[Rubrique]]="","",Table42527[[#This Row],[Qté]]*Table42527[[#This Row],[Prix unitaire]])</f>
        <v/>
      </c>
    </row>
    <row r="17" spans="1:114" x14ac:dyDescent="0.25">
      <c r="A17" s="186" t="str">
        <f>IF(Listes!A16="","",Listes!A16)</f>
        <v/>
      </c>
      <c r="B1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7" s="43" t="s">
        <v>227</v>
      </c>
      <c r="E17" s="43" t="s">
        <v>231</v>
      </c>
      <c r="F17" s="43" t="s">
        <v>229</v>
      </c>
      <c r="G17" s="43"/>
      <c r="H17" s="43">
        <v>3</v>
      </c>
      <c r="I17" s="128">
        <v>7000</v>
      </c>
      <c r="J17" s="129">
        <f>IF(Table4[[#This Row],[Rubrique]]="","",Table4[[#This Row],[Qté]]*Table4[[#This Row],[Prix unitaire]])</f>
        <v>21000</v>
      </c>
      <c r="L17" s="43"/>
      <c r="M17" s="43"/>
      <c r="N17" s="43"/>
      <c r="O17" s="43"/>
      <c r="P17" s="43"/>
      <c r="Q17" s="128"/>
      <c r="R17" s="129" t="str">
        <f>IF(Table414[[#This Row],[Rubrique]]="","",Table414[[#This Row],[Qté]]*Table414[[#This Row],[Prix unitaire]])</f>
        <v/>
      </c>
      <c r="T17" s="43"/>
      <c r="U17" s="43"/>
      <c r="V17" s="43"/>
      <c r="W17" s="43"/>
      <c r="X17" s="43"/>
      <c r="Y17" s="128"/>
      <c r="Z17" s="129" t="str">
        <f>IF(Table415[[#This Row],[Rubrique]]="","",Table415[[#This Row],[Qté]]*Table415[[#This Row],[Prix unitaire]])</f>
        <v/>
      </c>
      <c r="AB17" s="43"/>
      <c r="AC17" s="43"/>
      <c r="AD17" s="43"/>
      <c r="AE17" s="43"/>
      <c r="AF17" s="43"/>
      <c r="AG17" s="128"/>
      <c r="AH17" s="129" t="str">
        <f>IF(Table416[[#This Row],[Rubrique]]="","",Table416[[#This Row],[Qté]]*Table416[[#This Row],[Prix unitaire]])</f>
        <v/>
      </c>
      <c r="AJ17" s="43"/>
      <c r="AK17" s="43"/>
      <c r="AL17" s="43"/>
      <c r="AM17" s="43"/>
      <c r="AN17" s="43"/>
      <c r="AO17" s="128"/>
      <c r="AP17" s="129" t="str">
        <f>IF(Table417[[#This Row],[Rubrique]]="","",Table417[[#This Row],[Qté]]*Table417[[#This Row],[Prix unitaire]])</f>
        <v/>
      </c>
      <c r="AR17" s="43"/>
      <c r="AS17" s="43"/>
      <c r="AT17" s="43"/>
      <c r="AU17" s="43"/>
      <c r="AV17" s="43"/>
      <c r="AW17" s="128"/>
      <c r="AX17" s="129" t="str">
        <f>IF(Table418[[#This Row],[Rubrique]]="","",Table418[[#This Row],[Qté]]*Table418[[#This Row],[Prix unitaire]])</f>
        <v/>
      </c>
      <c r="AZ17" s="43"/>
      <c r="BA17" s="43"/>
      <c r="BB17" s="43"/>
      <c r="BC17" s="43"/>
      <c r="BD17" s="43"/>
      <c r="BE17" s="128"/>
      <c r="BF17" s="129" t="str">
        <f>IF(Table419[[#This Row],[Rubrique]]="","",Table419[[#This Row],[Qté]]*Table419[[#This Row],[Prix unitaire]])</f>
        <v/>
      </c>
      <c r="BH17" s="43"/>
      <c r="BI17" s="43"/>
      <c r="BJ17" s="43"/>
      <c r="BK17" s="43"/>
      <c r="BL17" s="43"/>
      <c r="BM17" s="128"/>
      <c r="BN17" s="129" t="str">
        <f>IF(Table420[[#This Row],[Rubrique]]="","",Table420[[#This Row],[Qté]]*Table420[[#This Row],[Prix unitaire]])</f>
        <v/>
      </c>
      <c r="BP17" s="43"/>
      <c r="BQ17" s="43"/>
      <c r="BR17" s="43"/>
      <c r="BS17" s="43"/>
      <c r="BT17" s="43"/>
      <c r="BU17" s="128"/>
      <c r="BV17" s="129" t="str">
        <f>IF(Table421[[#This Row],[Rubrique]]="","",Table421[[#This Row],[Qté]]*Table421[[#This Row],[Prix unitaire]])</f>
        <v/>
      </c>
      <c r="BX17" s="43"/>
      <c r="BY17" s="43"/>
      <c r="BZ17" s="43"/>
      <c r="CA17" s="43"/>
      <c r="CB17" s="43"/>
      <c r="CC17" s="128"/>
      <c r="CD17" s="129" t="str">
        <f>IF(Table422[[#This Row],[Rubrique]]="","",Table422[[#This Row],[Qté]]*Table422[[#This Row],[Prix unitaire]])</f>
        <v/>
      </c>
      <c r="CF17" s="43"/>
      <c r="CG17" s="43"/>
      <c r="CH17" s="43"/>
      <c r="CI17" s="43"/>
      <c r="CJ17" s="43"/>
      <c r="CK17" s="128"/>
      <c r="CL17" s="129" t="str">
        <f>IF(Table424[[#This Row],[Rubrique]]="","",Table424[[#This Row],[Qté]]*Table424[[#This Row],[Prix unitaire]])</f>
        <v/>
      </c>
      <c r="CN17" s="43"/>
      <c r="CO17" s="43"/>
      <c r="CP17" s="43"/>
      <c r="CQ17" s="43"/>
      <c r="CR17" s="43"/>
      <c r="CS17" s="128"/>
      <c r="CT17" s="129" t="str">
        <f>IF(Table425[[#This Row],[Rubrique]]="","",Table425[[#This Row],[Qté]]*Table425[[#This Row],[Prix unitaire]])</f>
        <v/>
      </c>
      <c r="CV17" s="43"/>
      <c r="CW17" s="43"/>
      <c r="CX17" s="43"/>
      <c r="CY17" s="43"/>
      <c r="CZ17" s="43"/>
      <c r="DA17" s="128"/>
      <c r="DB17" s="129" t="str">
        <f>IF(Table42526[[#This Row],[Rubrique]]="","",Table42526[[#This Row],[Qté]]*Table42526[[#This Row],[Prix unitaire]])</f>
        <v/>
      </c>
      <c r="DD17" s="43"/>
      <c r="DE17" s="43"/>
      <c r="DF17" s="43"/>
      <c r="DG17" s="43"/>
      <c r="DH17" s="43"/>
      <c r="DI17" s="128"/>
      <c r="DJ17" s="129" t="str">
        <f>IF(Table42527[[#This Row],[Rubrique]]="","",Table42527[[#This Row],[Qté]]*Table42527[[#This Row],[Prix unitaire]])</f>
        <v/>
      </c>
    </row>
    <row r="18" spans="1:114" x14ac:dyDescent="0.25">
      <c r="A18" s="186" t="str">
        <f>IF(Listes!A17="","",Listes!A17)</f>
        <v/>
      </c>
      <c r="B1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8" s="43"/>
      <c r="E18" s="43"/>
      <c r="F18" s="43"/>
      <c r="G18" s="43"/>
      <c r="H18" s="43"/>
      <c r="I18" s="128"/>
      <c r="J18" s="129" t="str">
        <f>IF(Table4[[#This Row],[Rubrique]]="","",Table4[[#This Row],[Qté]]*Table4[[#This Row],[Prix unitaire]])</f>
        <v/>
      </c>
      <c r="L18" s="43"/>
      <c r="M18" s="43"/>
      <c r="N18" s="43"/>
      <c r="O18" s="43"/>
      <c r="P18" s="43"/>
      <c r="Q18" s="128"/>
      <c r="R18" s="129" t="str">
        <f>IF(Table414[[#This Row],[Rubrique]]="","",Table414[[#This Row],[Qté]]*Table414[[#This Row],[Prix unitaire]])</f>
        <v/>
      </c>
      <c r="T18" s="43"/>
      <c r="U18" s="43"/>
      <c r="V18" s="43"/>
      <c r="W18" s="43"/>
      <c r="X18" s="43"/>
      <c r="Y18" s="128"/>
      <c r="Z18" s="129" t="str">
        <f>IF(Table415[[#This Row],[Rubrique]]="","",Table415[[#This Row],[Qté]]*Table415[[#This Row],[Prix unitaire]])</f>
        <v/>
      </c>
      <c r="AB18" s="43"/>
      <c r="AC18" s="43"/>
      <c r="AD18" s="43"/>
      <c r="AE18" s="43"/>
      <c r="AF18" s="43"/>
      <c r="AG18" s="128"/>
      <c r="AH18" s="129" t="str">
        <f>IF(Table416[[#This Row],[Rubrique]]="","",Table416[[#This Row],[Qté]]*Table416[[#This Row],[Prix unitaire]])</f>
        <v/>
      </c>
      <c r="AJ18" s="43"/>
      <c r="AK18" s="43"/>
      <c r="AL18" s="43"/>
      <c r="AM18" s="43"/>
      <c r="AN18" s="43"/>
      <c r="AO18" s="128"/>
      <c r="AP18" s="129" t="str">
        <f>IF(Table417[[#This Row],[Rubrique]]="","",Table417[[#This Row],[Qté]]*Table417[[#This Row],[Prix unitaire]])</f>
        <v/>
      </c>
      <c r="AR18" s="43"/>
      <c r="AS18" s="43"/>
      <c r="AT18" s="43"/>
      <c r="AU18" s="43"/>
      <c r="AV18" s="43"/>
      <c r="AW18" s="128"/>
      <c r="AX18" s="129" t="str">
        <f>IF(Table418[[#This Row],[Rubrique]]="","",Table418[[#This Row],[Qté]]*Table418[[#This Row],[Prix unitaire]])</f>
        <v/>
      </c>
      <c r="AZ18" s="43"/>
      <c r="BA18" s="43"/>
      <c r="BB18" s="43"/>
      <c r="BC18" s="43"/>
      <c r="BD18" s="43"/>
      <c r="BE18" s="128"/>
      <c r="BF18" s="129" t="str">
        <f>IF(Table419[[#This Row],[Rubrique]]="","",Table419[[#This Row],[Qté]]*Table419[[#This Row],[Prix unitaire]])</f>
        <v/>
      </c>
      <c r="BH18" s="43"/>
      <c r="BI18" s="43"/>
      <c r="BJ18" s="43"/>
      <c r="BK18" s="43"/>
      <c r="BL18" s="43"/>
      <c r="BM18" s="128"/>
      <c r="BN18" s="129" t="str">
        <f>IF(Table420[[#This Row],[Rubrique]]="","",Table420[[#This Row],[Qté]]*Table420[[#This Row],[Prix unitaire]])</f>
        <v/>
      </c>
      <c r="BP18" s="43"/>
      <c r="BQ18" s="43"/>
      <c r="BR18" s="43"/>
      <c r="BS18" s="43"/>
      <c r="BT18" s="43"/>
      <c r="BU18" s="128"/>
      <c r="BV18" s="129" t="str">
        <f>IF(Table421[[#This Row],[Rubrique]]="","",Table421[[#This Row],[Qté]]*Table421[[#This Row],[Prix unitaire]])</f>
        <v/>
      </c>
      <c r="BX18" s="43"/>
      <c r="BY18" s="43"/>
      <c r="BZ18" s="43"/>
      <c r="CA18" s="43"/>
      <c r="CB18" s="43"/>
      <c r="CC18" s="128"/>
      <c r="CD18" s="129" t="str">
        <f>IF(Table422[[#This Row],[Rubrique]]="","",Table422[[#This Row],[Qté]]*Table422[[#This Row],[Prix unitaire]])</f>
        <v/>
      </c>
      <c r="CF18" s="43"/>
      <c r="CG18" s="43"/>
      <c r="CH18" s="43"/>
      <c r="CI18" s="43"/>
      <c r="CJ18" s="43"/>
      <c r="CK18" s="128"/>
      <c r="CL18" s="129" t="str">
        <f>IF(Table424[[#This Row],[Rubrique]]="","",Table424[[#This Row],[Qté]]*Table424[[#This Row],[Prix unitaire]])</f>
        <v/>
      </c>
      <c r="CN18" s="43"/>
      <c r="CO18" s="43"/>
      <c r="CP18" s="43"/>
      <c r="CQ18" s="43"/>
      <c r="CR18" s="43"/>
      <c r="CS18" s="128"/>
      <c r="CT18" s="129" t="str">
        <f>IF(Table425[[#This Row],[Rubrique]]="","",Table425[[#This Row],[Qté]]*Table425[[#This Row],[Prix unitaire]])</f>
        <v/>
      </c>
      <c r="CV18" s="43"/>
      <c r="CW18" s="43"/>
      <c r="CX18" s="43"/>
      <c r="CY18" s="43"/>
      <c r="CZ18" s="43"/>
      <c r="DA18" s="128"/>
      <c r="DB18" s="129" t="str">
        <f>IF(Table42526[[#This Row],[Rubrique]]="","",Table42526[[#This Row],[Qté]]*Table42526[[#This Row],[Prix unitaire]])</f>
        <v/>
      </c>
      <c r="DD18" s="43"/>
      <c r="DE18" s="43"/>
      <c r="DF18" s="43"/>
      <c r="DG18" s="43"/>
      <c r="DH18" s="43"/>
      <c r="DI18" s="128"/>
      <c r="DJ18" s="129" t="str">
        <f>IF(Table42527[[#This Row],[Rubrique]]="","",Table42527[[#This Row],[Qté]]*Table42527[[#This Row],[Prix unitaire]])</f>
        <v/>
      </c>
    </row>
    <row r="19" spans="1:114" x14ac:dyDescent="0.25">
      <c r="A19" s="186" t="str">
        <f>IF(Listes!A18="","",Listes!A18)</f>
        <v/>
      </c>
      <c r="B19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19" s="43"/>
      <c r="E19" s="43"/>
      <c r="F19" s="43"/>
      <c r="G19" s="43"/>
      <c r="H19" s="43"/>
      <c r="I19" s="128"/>
      <c r="J19" s="129" t="str">
        <f>IF(Table4[[#This Row],[Rubrique]]="","",Table4[[#This Row],[Qté]]*Table4[[#This Row],[Prix unitaire]])</f>
        <v/>
      </c>
      <c r="L19" s="43"/>
      <c r="M19" s="43"/>
      <c r="N19" s="43"/>
      <c r="O19" s="43"/>
      <c r="P19" s="43"/>
      <c r="Q19" s="128"/>
      <c r="R19" s="129" t="str">
        <f>IF(Table414[[#This Row],[Rubrique]]="","",Table414[[#This Row],[Qté]]*Table414[[#This Row],[Prix unitaire]])</f>
        <v/>
      </c>
      <c r="T19" s="43"/>
      <c r="U19" s="43"/>
      <c r="V19" s="43"/>
      <c r="W19" s="43"/>
      <c r="X19" s="43"/>
      <c r="Y19" s="128"/>
      <c r="Z19" s="129" t="str">
        <f>IF(Table415[[#This Row],[Rubrique]]="","",Table415[[#This Row],[Qté]]*Table415[[#This Row],[Prix unitaire]])</f>
        <v/>
      </c>
      <c r="AB19" s="43"/>
      <c r="AC19" s="43"/>
      <c r="AD19" s="43"/>
      <c r="AE19" s="43"/>
      <c r="AF19" s="43"/>
      <c r="AG19" s="128"/>
      <c r="AH19" s="129" t="str">
        <f>IF(Table416[[#This Row],[Rubrique]]="","",Table416[[#This Row],[Qté]]*Table416[[#This Row],[Prix unitaire]])</f>
        <v/>
      </c>
      <c r="AJ19" s="43"/>
      <c r="AK19" s="43"/>
      <c r="AL19" s="43"/>
      <c r="AM19" s="43"/>
      <c r="AN19" s="43"/>
      <c r="AO19" s="128"/>
      <c r="AP19" s="129" t="str">
        <f>IF(Table417[[#This Row],[Rubrique]]="","",Table417[[#This Row],[Qté]]*Table417[[#This Row],[Prix unitaire]])</f>
        <v/>
      </c>
      <c r="AR19" s="43"/>
      <c r="AS19" s="43"/>
      <c r="AT19" s="43"/>
      <c r="AU19" s="43"/>
      <c r="AV19" s="43"/>
      <c r="AW19" s="128"/>
      <c r="AX19" s="129" t="str">
        <f>IF(Table418[[#This Row],[Rubrique]]="","",Table418[[#This Row],[Qté]]*Table418[[#This Row],[Prix unitaire]])</f>
        <v/>
      </c>
      <c r="AZ19" s="43"/>
      <c r="BA19" s="43"/>
      <c r="BB19" s="43"/>
      <c r="BC19" s="43"/>
      <c r="BD19" s="43"/>
      <c r="BE19" s="128"/>
      <c r="BF19" s="129" t="str">
        <f>IF(Table419[[#This Row],[Rubrique]]="","",Table419[[#This Row],[Qté]]*Table419[[#This Row],[Prix unitaire]])</f>
        <v/>
      </c>
      <c r="BH19" s="43"/>
      <c r="BI19" s="43"/>
      <c r="BJ19" s="43"/>
      <c r="BK19" s="43"/>
      <c r="BL19" s="43"/>
      <c r="BM19" s="128"/>
      <c r="BN19" s="129" t="str">
        <f>IF(Table420[[#This Row],[Rubrique]]="","",Table420[[#This Row],[Qté]]*Table420[[#This Row],[Prix unitaire]])</f>
        <v/>
      </c>
      <c r="BP19" s="43"/>
      <c r="BQ19" s="43"/>
      <c r="BR19" s="43"/>
      <c r="BS19" s="43"/>
      <c r="BT19" s="43"/>
      <c r="BU19" s="128"/>
      <c r="BV19" s="129" t="str">
        <f>IF(Table421[[#This Row],[Rubrique]]="","",Table421[[#This Row],[Qté]]*Table421[[#This Row],[Prix unitaire]])</f>
        <v/>
      </c>
      <c r="BX19" s="43"/>
      <c r="BY19" s="43"/>
      <c r="BZ19" s="43"/>
      <c r="CA19" s="43"/>
      <c r="CB19" s="43"/>
      <c r="CC19" s="128"/>
      <c r="CD19" s="129" t="str">
        <f>IF(Table422[[#This Row],[Rubrique]]="","",Table422[[#This Row],[Qté]]*Table422[[#This Row],[Prix unitaire]])</f>
        <v/>
      </c>
      <c r="CF19" s="43"/>
      <c r="CG19" s="43"/>
      <c r="CH19" s="43"/>
      <c r="CI19" s="43"/>
      <c r="CJ19" s="43"/>
      <c r="CK19" s="128"/>
      <c r="CL19" s="129" t="str">
        <f>IF(Table424[[#This Row],[Rubrique]]="","",Table424[[#This Row],[Qté]]*Table424[[#This Row],[Prix unitaire]])</f>
        <v/>
      </c>
      <c r="CN19" s="43"/>
      <c r="CO19" s="43"/>
      <c r="CP19" s="43"/>
      <c r="CQ19" s="43"/>
      <c r="CR19" s="43"/>
      <c r="CS19" s="128"/>
      <c r="CT19" s="129" t="str">
        <f>IF(Table425[[#This Row],[Rubrique]]="","",Table425[[#This Row],[Qté]]*Table425[[#This Row],[Prix unitaire]])</f>
        <v/>
      </c>
      <c r="CV19" s="43"/>
      <c r="CW19" s="43"/>
      <c r="CX19" s="43"/>
      <c r="CY19" s="43"/>
      <c r="CZ19" s="43"/>
      <c r="DA19" s="128"/>
      <c r="DB19" s="129" t="str">
        <f>IF(Table42526[[#This Row],[Rubrique]]="","",Table42526[[#This Row],[Qté]]*Table42526[[#This Row],[Prix unitaire]])</f>
        <v/>
      </c>
      <c r="DD19" s="43"/>
      <c r="DE19" s="43"/>
      <c r="DF19" s="43"/>
      <c r="DG19" s="43"/>
      <c r="DH19" s="43"/>
      <c r="DI19" s="128"/>
      <c r="DJ19" s="129" t="str">
        <f>IF(Table42527[[#This Row],[Rubrique]]="","",Table42527[[#This Row],[Qté]]*Table42527[[#This Row],[Prix unitaire]])</f>
        <v/>
      </c>
    </row>
    <row r="20" spans="1:114" x14ac:dyDescent="0.25">
      <c r="A20" s="186" t="str">
        <f>IF(Listes!A19="","",Listes!A19)</f>
        <v/>
      </c>
      <c r="B20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0" s="43"/>
      <c r="E20" s="43"/>
      <c r="F20" s="43"/>
      <c r="G20" s="43"/>
      <c r="H20" s="43"/>
      <c r="I20" s="128"/>
      <c r="J20" s="129" t="str">
        <f>IF(Table4[[#This Row],[Rubrique]]="","",Table4[[#This Row],[Qté]]*Table4[[#This Row],[Prix unitaire]])</f>
        <v/>
      </c>
      <c r="L20" s="43"/>
      <c r="M20" s="43"/>
      <c r="N20" s="43"/>
      <c r="O20" s="43"/>
      <c r="P20" s="43"/>
      <c r="Q20" s="128"/>
      <c r="R20" s="129" t="str">
        <f>IF(Table414[[#This Row],[Rubrique]]="","",Table414[[#This Row],[Qté]]*Table414[[#This Row],[Prix unitaire]])</f>
        <v/>
      </c>
      <c r="T20" s="43"/>
      <c r="U20" s="43"/>
      <c r="V20" s="43"/>
      <c r="W20" s="43"/>
      <c r="X20" s="43"/>
      <c r="Y20" s="128"/>
      <c r="Z20" s="129" t="str">
        <f>IF(Table415[[#This Row],[Rubrique]]="","",Table415[[#This Row],[Qté]]*Table415[[#This Row],[Prix unitaire]])</f>
        <v/>
      </c>
      <c r="AB20" s="43"/>
      <c r="AC20" s="43"/>
      <c r="AD20" s="43"/>
      <c r="AE20" s="43"/>
      <c r="AF20" s="43"/>
      <c r="AG20" s="128"/>
      <c r="AH20" s="129" t="str">
        <f>IF(Table416[[#This Row],[Rubrique]]="","",Table416[[#This Row],[Qté]]*Table416[[#This Row],[Prix unitaire]])</f>
        <v/>
      </c>
      <c r="AJ20" s="43"/>
      <c r="AK20" s="43"/>
      <c r="AL20" s="43"/>
      <c r="AM20" s="43"/>
      <c r="AN20" s="43"/>
      <c r="AO20" s="128"/>
      <c r="AP20" s="129" t="str">
        <f>IF(Table417[[#This Row],[Rubrique]]="","",Table417[[#This Row],[Qté]]*Table417[[#This Row],[Prix unitaire]])</f>
        <v/>
      </c>
      <c r="AR20" s="43"/>
      <c r="AS20" s="43"/>
      <c r="AT20" s="43"/>
      <c r="AU20" s="43"/>
      <c r="AV20" s="43"/>
      <c r="AW20" s="128"/>
      <c r="AX20" s="129" t="str">
        <f>IF(Table418[[#This Row],[Rubrique]]="","",Table418[[#This Row],[Qté]]*Table418[[#This Row],[Prix unitaire]])</f>
        <v/>
      </c>
      <c r="AZ20" s="43"/>
      <c r="BA20" s="43"/>
      <c r="BB20" s="43"/>
      <c r="BC20" s="43"/>
      <c r="BD20" s="43"/>
      <c r="BE20" s="128"/>
      <c r="BF20" s="129" t="str">
        <f>IF(Table419[[#This Row],[Rubrique]]="","",Table419[[#This Row],[Qté]]*Table419[[#This Row],[Prix unitaire]])</f>
        <v/>
      </c>
      <c r="BH20" s="43"/>
      <c r="BI20" s="43"/>
      <c r="BJ20" s="43"/>
      <c r="BK20" s="43"/>
      <c r="BL20" s="43"/>
      <c r="BM20" s="128"/>
      <c r="BN20" s="129" t="str">
        <f>IF(Table420[[#This Row],[Rubrique]]="","",Table420[[#This Row],[Qté]]*Table420[[#This Row],[Prix unitaire]])</f>
        <v/>
      </c>
      <c r="BP20" s="43"/>
      <c r="BQ20" s="43"/>
      <c r="BR20" s="43"/>
      <c r="BS20" s="43"/>
      <c r="BT20" s="43"/>
      <c r="BU20" s="128"/>
      <c r="BV20" s="129" t="str">
        <f>IF(Table421[[#This Row],[Rubrique]]="","",Table421[[#This Row],[Qté]]*Table421[[#This Row],[Prix unitaire]])</f>
        <v/>
      </c>
      <c r="BX20" s="43"/>
      <c r="BY20" s="43"/>
      <c r="BZ20" s="43"/>
      <c r="CA20" s="43"/>
      <c r="CB20" s="43"/>
      <c r="CC20" s="128"/>
      <c r="CD20" s="129" t="str">
        <f>IF(Table422[[#This Row],[Rubrique]]="","",Table422[[#This Row],[Qté]]*Table422[[#This Row],[Prix unitaire]])</f>
        <v/>
      </c>
      <c r="CF20" s="43"/>
      <c r="CG20" s="43"/>
      <c r="CH20" s="43"/>
      <c r="CI20" s="43"/>
      <c r="CJ20" s="43"/>
      <c r="CK20" s="128"/>
      <c r="CL20" s="129" t="str">
        <f>IF(Table424[[#This Row],[Rubrique]]="","",Table424[[#This Row],[Qté]]*Table424[[#This Row],[Prix unitaire]])</f>
        <v/>
      </c>
      <c r="CN20" s="43"/>
      <c r="CO20" s="43"/>
      <c r="CP20" s="43"/>
      <c r="CQ20" s="43"/>
      <c r="CR20" s="43"/>
      <c r="CS20" s="128"/>
      <c r="CT20" s="129" t="str">
        <f>IF(Table425[[#This Row],[Rubrique]]="","",Table425[[#This Row],[Qté]]*Table425[[#This Row],[Prix unitaire]])</f>
        <v/>
      </c>
      <c r="CV20" s="43"/>
      <c r="CW20" s="43"/>
      <c r="CX20" s="43"/>
      <c r="CY20" s="43"/>
      <c r="CZ20" s="43"/>
      <c r="DA20" s="128"/>
      <c r="DB20" s="129" t="str">
        <f>IF(Table42526[[#This Row],[Rubrique]]="","",Table42526[[#This Row],[Qté]]*Table42526[[#This Row],[Prix unitaire]])</f>
        <v/>
      </c>
      <c r="DD20" s="43"/>
      <c r="DE20" s="43"/>
      <c r="DF20" s="43"/>
      <c r="DG20" s="43"/>
      <c r="DH20" s="43"/>
      <c r="DI20" s="128"/>
      <c r="DJ20" s="129" t="str">
        <f>IF(Table42527[[#This Row],[Rubrique]]="","",Table42527[[#This Row],[Qté]]*Table42527[[#This Row],[Prix unitaire]])</f>
        <v/>
      </c>
    </row>
    <row r="21" spans="1:114" x14ac:dyDescent="0.25">
      <c r="A21" s="186" t="str">
        <f>IF(Listes!A20="","",Listes!A20)</f>
        <v/>
      </c>
      <c r="B21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1" s="43"/>
      <c r="E21" s="43"/>
      <c r="F21" s="43"/>
      <c r="G21" s="43"/>
      <c r="H21" s="43"/>
      <c r="I21" s="128"/>
      <c r="J21" s="129" t="str">
        <f>IF(Table4[[#This Row],[Rubrique]]="","",Table4[[#This Row],[Qté]]*Table4[[#This Row],[Prix unitaire]])</f>
        <v/>
      </c>
      <c r="L21" s="43"/>
      <c r="M21" s="43"/>
      <c r="N21" s="43"/>
      <c r="O21" s="43"/>
      <c r="P21" s="43"/>
      <c r="Q21" s="128"/>
      <c r="R21" s="129" t="str">
        <f>IF(Table414[[#This Row],[Rubrique]]="","",Table414[[#This Row],[Qté]]*Table414[[#This Row],[Prix unitaire]])</f>
        <v/>
      </c>
      <c r="T21" s="43"/>
      <c r="U21" s="43"/>
      <c r="V21" s="43"/>
      <c r="W21" s="43"/>
      <c r="X21" s="43"/>
      <c r="Y21" s="128"/>
      <c r="Z21" s="129" t="str">
        <f>IF(Table415[[#This Row],[Rubrique]]="","",Table415[[#This Row],[Qté]]*Table415[[#This Row],[Prix unitaire]])</f>
        <v/>
      </c>
      <c r="AB21" s="43"/>
      <c r="AC21" s="43"/>
      <c r="AD21" s="43"/>
      <c r="AE21" s="43"/>
      <c r="AF21" s="43"/>
      <c r="AG21" s="128"/>
      <c r="AH21" s="129" t="str">
        <f>IF(Table416[[#This Row],[Rubrique]]="","",Table416[[#This Row],[Qté]]*Table416[[#This Row],[Prix unitaire]])</f>
        <v/>
      </c>
      <c r="AJ21" s="43"/>
      <c r="AK21" s="43"/>
      <c r="AL21" s="43"/>
      <c r="AM21" s="43"/>
      <c r="AN21" s="43"/>
      <c r="AO21" s="128"/>
      <c r="AP21" s="129" t="str">
        <f>IF(Table417[[#This Row],[Rubrique]]="","",Table417[[#This Row],[Qté]]*Table417[[#This Row],[Prix unitaire]])</f>
        <v/>
      </c>
      <c r="AR21" s="43"/>
      <c r="AS21" s="43"/>
      <c r="AT21" s="43"/>
      <c r="AU21" s="43"/>
      <c r="AV21" s="43"/>
      <c r="AW21" s="128"/>
      <c r="AX21" s="129" t="str">
        <f>IF(Table418[[#This Row],[Rubrique]]="","",Table418[[#This Row],[Qté]]*Table418[[#This Row],[Prix unitaire]])</f>
        <v/>
      </c>
      <c r="AZ21" s="43"/>
      <c r="BA21" s="43"/>
      <c r="BB21" s="43"/>
      <c r="BC21" s="43"/>
      <c r="BD21" s="43"/>
      <c r="BE21" s="128"/>
      <c r="BF21" s="129" t="str">
        <f>IF(Table419[[#This Row],[Rubrique]]="","",Table419[[#This Row],[Qté]]*Table419[[#This Row],[Prix unitaire]])</f>
        <v/>
      </c>
      <c r="BH21" s="43"/>
      <c r="BI21" s="43"/>
      <c r="BJ21" s="43"/>
      <c r="BK21" s="43"/>
      <c r="BL21" s="43"/>
      <c r="BM21" s="128"/>
      <c r="BN21" s="129" t="str">
        <f>IF(Table420[[#This Row],[Rubrique]]="","",Table420[[#This Row],[Qté]]*Table420[[#This Row],[Prix unitaire]])</f>
        <v/>
      </c>
      <c r="BP21" s="43"/>
      <c r="BQ21" s="43"/>
      <c r="BR21" s="43"/>
      <c r="BS21" s="43"/>
      <c r="BT21" s="43"/>
      <c r="BU21" s="128"/>
      <c r="BV21" s="129" t="str">
        <f>IF(Table421[[#This Row],[Rubrique]]="","",Table421[[#This Row],[Qté]]*Table421[[#This Row],[Prix unitaire]])</f>
        <v/>
      </c>
      <c r="BX21" s="43"/>
      <c r="BY21" s="43"/>
      <c r="BZ21" s="43"/>
      <c r="CA21" s="43"/>
      <c r="CB21" s="43"/>
      <c r="CC21" s="128"/>
      <c r="CD21" s="129" t="str">
        <f>IF(Table422[[#This Row],[Rubrique]]="","",Table422[[#This Row],[Qté]]*Table422[[#This Row],[Prix unitaire]])</f>
        <v/>
      </c>
      <c r="CF21" s="43"/>
      <c r="CG21" s="43"/>
      <c r="CH21" s="43"/>
      <c r="CI21" s="43"/>
      <c r="CJ21" s="43"/>
      <c r="CK21" s="128"/>
      <c r="CL21" s="129" t="str">
        <f>IF(Table424[[#This Row],[Rubrique]]="","",Table424[[#This Row],[Qté]]*Table424[[#This Row],[Prix unitaire]])</f>
        <v/>
      </c>
      <c r="CN21" s="43"/>
      <c r="CO21" s="43"/>
      <c r="CP21" s="43"/>
      <c r="CQ21" s="43"/>
      <c r="CR21" s="43"/>
      <c r="CS21" s="128"/>
      <c r="CT21" s="129" t="str">
        <f>IF(Table425[[#This Row],[Rubrique]]="","",Table425[[#This Row],[Qté]]*Table425[[#This Row],[Prix unitaire]])</f>
        <v/>
      </c>
      <c r="CV21" s="43"/>
      <c r="CW21" s="43"/>
      <c r="CX21" s="43"/>
      <c r="CY21" s="43"/>
      <c r="CZ21" s="43"/>
      <c r="DA21" s="128"/>
      <c r="DB21" s="129" t="str">
        <f>IF(Table42526[[#This Row],[Rubrique]]="","",Table42526[[#This Row],[Qté]]*Table42526[[#This Row],[Prix unitaire]])</f>
        <v/>
      </c>
      <c r="DD21" s="43"/>
      <c r="DE21" s="43"/>
      <c r="DF21" s="43"/>
      <c r="DG21" s="43"/>
      <c r="DH21" s="43"/>
      <c r="DI21" s="128"/>
      <c r="DJ21" s="129" t="str">
        <f>IF(Table42527[[#This Row],[Rubrique]]="","",Table42527[[#This Row],[Qté]]*Table42527[[#This Row],[Prix unitaire]])</f>
        <v/>
      </c>
    </row>
    <row r="22" spans="1:114" x14ac:dyDescent="0.25">
      <c r="A22" s="186" t="str">
        <f>IF(Listes!A21="","",Listes!A21)</f>
        <v/>
      </c>
      <c r="B2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2" s="43"/>
      <c r="E22" s="43"/>
      <c r="F22" s="43"/>
      <c r="G22" s="43"/>
      <c r="H22" s="43"/>
      <c r="I22" s="128"/>
      <c r="J22" s="129" t="str">
        <f>IF(Table4[[#This Row],[Rubrique]]="","",Table4[[#This Row],[Qté]]*Table4[[#This Row],[Prix unitaire]])</f>
        <v/>
      </c>
      <c r="L22" s="43"/>
      <c r="M22" s="43"/>
      <c r="N22" s="43"/>
      <c r="O22" s="43"/>
      <c r="P22" s="43"/>
      <c r="Q22" s="128"/>
      <c r="R22" s="129" t="str">
        <f>IF(Table414[[#This Row],[Rubrique]]="","",Table414[[#This Row],[Qté]]*Table414[[#This Row],[Prix unitaire]])</f>
        <v/>
      </c>
      <c r="T22" s="43"/>
      <c r="U22" s="43"/>
      <c r="V22" s="43"/>
      <c r="W22" s="43"/>
      <c r="X22" s="43"/>
      <c r="Y22" s="128"/>
      <c r="Z22" s="129" t="str">
        <f>IF(Table415[[#This Row],[Rubrique]]="","",Table415[[#This Row],[Qté]]*Table415[[#This Row],[Prix unitaire]])</f>
        <v/>
      </c>
      <c r="AB22" s="43"/>
      <c r="AC22" s="43"/>
      <c r="AD22" s="43"/>
      <c r="AE22" s="43"/>
      <c r="AF22" s="43"/>
      <c r="AG22" s="128"/>
      <c r="AH22" s="129" t="str">
        <f>IF(Table416[[#This Row],[Rubrique]]="","",Table416[[#This Row],[Qté]]*Table416[[#This Row],[Prix unitaire]])</f>
        <v/>
      </c>
      <c r="AJ22" s="43"/>
      <c r="AK22" s="43"/>
      <c r="AL22" s="43"/>
      <c r="AM22" s="43"/>
      <c r="AN22" s="43"/>
      <c r="AO22" s="128"/>
      <c r="AP22" s="129" t="str">
        <f>IF(Table417[[#This Row],[Rubrique]]="","",Table417[[#This Row],[Qté]]*Table417[[#This Row],[Prix unitaire]])</f>
        <v/>
      </c>
      <c r="AR22" s="43"/>
      <c r="AS22" s="43"/>
      <c r="AT22" s="43"/>
      <c r="AU22" s="43"/>
      <c r="AV22" s="43"/>
      <c r="AW22" s="128"/>
      <c r="AX22" s="129" t="str">
        <f>IF(Table418[[#This Row],[Rubrique]]="","",Table418[[#This Row],[Qté]]*Table418[[#This Row],[Prix unitaire]])</f>
        <v/>
      </c>
      <c r="AZ22" s="43"/>
      <c r="BA22" s="43"/>
      <c r="BB22" s="43"/>
      <c r="BC22" s="43"/>
      <c r="BD22" s="43"/>
      <c r="BE22" s="128"/>
      <c r="BF22" s="129" t="str">
        <f>IF(Table419[[#This Row],[Rubrique]]="","",Table419[[#This Row],[Qté]]*Table419[[#This Row],[Prix unitaire]])</f>
        <v/>
      </c>
      <c r="BH22" s="43"/>
      <c r="BI22" s="43"/>
      <c r="BJ22" s="43"/>
      <c r="BK22" s="43"/>
      <c r="BL22" s="43"/>
      <c r="BM22" s="128"/>
      <c r="BN22" s="129" t="str">
        <f>IF(Table420[[#This Row],[Rubrique]]="","",Table420[[#This Row],[Qté]]*Table420[[#This Row],[Prix unitaire]])</f>
        <v/>
      </c>
      <c r="BP22" s="43"/>
      <c r="BQ22" s="43"/>
      <c r="BR22" s="43"/>
      <c r="BS22" s="43"/>
      <c r="BT22" s="43"/>
      <c r="BU22" s="128"/>
      <c r="BV22" s="129" t="str">
        <f>IF(Table421[[#This Row],[Rubrique]]="","",Table421[[#This Row],[Qté]]*Table421[[#This Row],[Prix unitaire]])</f>
        <v/>
      </c>
      <c r="BX22" s="43"/>
      <c r="BY22" s="43"/>
      <c r="BZ22" s="43"/>
      <c r="CA22" s="43"/>
      <c r="CB22" s="43"/>
      <c r="CC22" s="128"/>
      <c r="CD22" s="129" t="str">
        <f>IF(Table422[[#This Row],[Rubrique]]="","",Table422[[#This Row],[Qté]]*Table422[[#This Row],[Prix unitaire]])</f>
        <v/>
      </c>
      <c r="CF22" s="43"/>
      <c r="CG22" s="43"/>
      <c r="CH22" s="43"/>
      <c r="CI22" s="43"/>
      <c r="CJ22" s="43"/>
      <c r="CK22" s="128"/>
      <c r="CL22" s="129" t="str">
        <f>IF(Table424[[#This Row],[Rubrique]]="","",Table424[[#This Row],[Qté]]*Table424[[#This Row],[Prix unitaire]])</f>
        <v/>
      </c>
      <c r="CN22" s="43"/>
      <c r="CO22" s="43"/>
      <c r="CP22" s="43"/>
      <c r="CQ22" s="43"/>
      <c r="CR22" s="43"/>
      <c r="CS22" s="128"/>
      <c r="CT22" s="129" t="str">
        <f>IF(Table425[[#This Row],[Rubrique]]="","",Table425[[#This Row],[Qté]]*Table425[[#This Row],[Prix unitaire]])</f>
        <v/>
      </c>
      <c r="CV22" s="43"/>
      <c r="CW22" s="43"/>
      <c r="CX22" s="43"/>
      <c r="CY22" s="43"/>
      <c r="CZ22" s="43"/>
      <c r="DA22" s="128"/>
      <c r="DB22" s="129" t="str">
        <f>IF(Table42526[[#This Row],[Rubrique]]="","",Table42526[[#This Row],[Qté]]*Table42526[[#This Row],[Prix unitaire]])</f>
        <v/>
      </c>
      <c r="DD22" s="43"/>
      <c r="DE22" s="43"/>
      <c r="DF22" s="43"/>
      <c r="DG22" s="43"/>
      <c r="DH22" s="43"/>
      <c r="DI22" s="128"/>
      <c r="DJ22" s="129" t="str">
        <f>IF(Table42527[[#This Row],[Rubrique]]="","",Table42527[[#This Row],[Qté]]*Table42527[[#This Row],[Prix unitaire]])</f>
        <v/>
      </c>
    </row>
    <row r="23" spans="1:114" x14ac:dyDescent="0.25">
      <c r="A23" s="186" t="str">
        <f>IF(Listes!A22="","",Listes!A22)</f>
        <v/>
      </c>
      <c r="B2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3" s="43"/>
      <c r="E23" s="43"/>
      <c r="F23" s="43"/>
      <c r="G23" s="43"/>
      <c r="H23" s="43"/>
      <c r="I23" s="128"/>
      <c r="J23" s="129" t="str">
        <f>IF(Table4[[#This Row],[Rubrique]]="","",Table4[[#This Row],[Qté]]*Table4[[#This Row],[Prix unitaire]])</f>
        <v/>
      </c>
      <c r="L23" s="43"/>
      <c r="M23" s="43"/>
      <c r="N23" s="43"/>
      <c r="O23" s="43"/>
      <c r="P23" s="43"/>
      <c r="Q23" s="128"/>
      <c r="R23" s="129" t="str">
        <f>IF(Table414[[#This Row],[Rubrique]]="","",Table414[[#This Row],[Qté]]*Table414[[#This Row],[Prix unitaire]])</f>
        <v/>
      </c>
      <c r="T23" s="43"/>
      <c r="U23" s="43"/>
      <c r="V23" s="43"/>
      <c r="W23" s="43"/>
      <c r="X23" s="43"/>
      <c r="Y23" s="128"/>
      <c r="Z23" s="129" t="str">
        <f>IF(Table415[[#This Row],[Rubrique]]="","",Table415[[#This Row],[Qté]]*Table415[[#This Row],[Prix unitaire]])</f>
        <v/>
      </c>
      <c r="AB23" s="43"/>
      <c r="AC23" s="43"/>
      <c r="AD23" s="43"/>
      <c r="AE23" s="43"/>
      <c r="AF23" s="43"/>
      <c r="AG23" s="128"/>
      <c r="AH23" s="129" t="str">
        <f>IF(Table416[[#This Row],[Rubrique]]="","",Table416[[#This Row],[Qté]]*Table416[[#This Row],[Prix unitaire]])</f>
        <v/>
      </c>
      <c r="AJ23" s="43"/>
      <c r="AK23" s="43"/>
      <c r="AL23" s="43"/>
      <c r="AM23" s="43"/>
      <c r="AN23" s="43"/>
      <c r="AO23" s="128"/>
      <c r="AP23" s="129" t="str">
        <f>IF(Table417[[#This Row],[Rubrique]]="","",Table417[[#This Row],[Qté]]*Table417[[#This Row],[Prix unitaire]])</f>
        <v/>
      </c>
      <c r="AR23" s="43"/>
      <c r="AS23" s="43"/>
      <c r="AT23" s="43"/>
      <c r="AU23" s="43"/>
      <c r="AV23" s="43"/>
      <c r="AW23" s="128"/>
      <c r="AX23" s="129" t="str">
        <f>IF(Table418[[#This Row],[Rubrique]]="","",Table418[[#This Row],[Qté]]*Table418[[#This Row],[Prix unitaire]])</f>
        <v/>
      </c>
      <c r="AZ23" s="43"/>
      <c r="BA23" s="43"/>
      <c r="BB23" s="43"/>
      <c r="BC23" s="43"/>
      <c r="BD23" s="43"/>
      <c r="BE23" s="128"/>
      <c r="BF23" s="129" t="str">
        <f>IF(Table419[[#This Row],[Rubrique]]="","",Table419[[#This Row],[Qté]]*Table419[[#This Row],[Prix unitaire]])</f>
        <v/>
      </c>
      <c r="BH23" s="43"/>
      <c r="BI23" s="43"/>
      <c r="BJ23" s="43"/>
      <c r="BK23" s="43"/>
      <c r="BL23" s="43"/>
      <c r="BM23" s="128"/>
      <c r="BN23" s="129" t="str">
        <f>IF(Table420[[#This Row],[Rubrique]]="","",Table420[[#This Row],[Qté]]*Table420[[#This Row],[Prix unitaire]])</f>
        <v/>
      </c>
      <c r="BP23" s="43"/>
      <c r="BQ23" s="43"/>
      <c r="BR23" s="43"/>
      <c r="BS23" s="43"/>
      <c r="BT23" s="43"/>
      <c r="BU23" s="128"/>
      <c r="BV23" s="129" t="str">
        <f>IF(Table421[[#This Row],[Rubrique]]="","",Table421[[#This Row],[Qté]]*Table421[[#This Row],[Prix unitaire]])</f>
        <v/>
      </c>
      <c r="BX23" s="43"/>
      <c r="BY23" s="43"/>
      <c r="BZ23" s="43"/>
      <c r="CA23" s="43"/>
      <c r="CB23" s="43"/>
      <c r="CC23" s="128"/>
      <c r="CD23" s="129" t="str">
        <f>IF(Table422[[#This Row],[Rubrique]]="","",Table422[[#This Row],[Qté]]*Table422[[#This Row],[Prix unitaire]])</f>
        <v/>
      </c>
      <c r="CF23" s="43"/>
      <c r="CG23" s="43"/>
      <c r="CH23" s="43"/>
      <c r="CI23" s="43"/>
      <c r="CJ23" s="43"/>
      <c r="CK23" s="128"/>
      <c r="CL23" s="129" t="str">
        <f>IF(Table424[[#This Row],[Rubrique]]="","",Table424[[#This Row],[Qté]]*Table424[[#This Row],[Prix unitaire]])</f>
        <v/>
      </c>
      <c r="CN23" s="43"/>
      <c r="CO23" s="43"/>
      <c r="CP23" s="43"/>
      <c r="CQ23" s="43"/>
      <c r="CR23" s="43"/>
      <c r="CS23" s="128"/>
      <c r="CT23" s="129" t="str">
        <f>IF(Table425[[#This Row],[Rubrique]]="","",Table425[[#This Row],[Qté]]*Table425[[#This Row],[Prix unitaire]])</f>
        <v/>
      </c>
      <c r="CV23" s="43"/>
      <c r="CW23" s="43"/>
      <c r="CX23" s="43"/>
      <c r="CY23" s="43"/>
      <c r="CZ23" s="43"/>
      <c r="DA23" s="128"/>
      <c r="DB23" s="129" t="str">
        <f>IF(Table42526[[#This Row],[Rubrique]]="","",Table42526[[#This Row],[Qté]]*Table42526[[#This Row],[Prix unitaire]])</f>
        <v/>
      </c>
      <c r="DD23" s="43"/>
      <c r="DE23" s="43"/>
      <c r="DF23" s="43"/>
      <c r="DG23" s="43"/>
      <c r="DH23" s="43"/>
      <c r="DI23" s="128"/>
      <c r="DJ23" s="129" t="str">
        <f>IF(Table42527[[#This Row],[Rubrique]]="","",Table42527[[#This Row],[Qté]]*Table42527[[#This Row],[Prix unitaire]])</f>
        <v/>
      </c>
    </row>
    <row r="24" spans="1:114" x14ac:dyDescent="0.25">
      <c r="A24" s="186" t="str">
        <f>IF(Listes!A23="","",Listes!A23)</f>
        <v/>
      </c>
      <c r="B2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4" s="43"/>
      <c r="E24" s="43"/>
      <c r="F24" s="43"/>
      <c r="G24" s="43"/>
      <c r="H24" s="43"/>
      <c r="I24" s="128"/>
      <c r="J24" s="129" t="str">
        <f>IF(Table4[[#This Row],[Rubrique]]="","",Table4[[#This Row],[Qté]]*Table4[[#This Row],[Prix unitaire]])</f>
        <v/>
      </c>
      <c r="L24" s="43"/>
      <c r="M24" s="43"/>
      <c r="N24" s="43"/>
      <c r="O24" s="43"/>
      <c r="P24" s="43"/>
      <c r="Q24" s="128"/>
      <c r="R24" s="129" t="str">
        <f>IF(Table414[[#This Row],[Rubrique]]="","",Table414[[#This Row],[Qté]]*Table414[[#This Row],[Prix unitaire]])</f>
        <v/>
      </c>
      <c r="T24" s="43"/>
      <c r="U24" s="43"/>
      <c r="V24" s="43"/>
      <c r="W24" s="43"/>
      <c r="X24" s="43"/>
      <c r="Y24" s="128"/>
      <c r="Z24" s="129" t="str">
        <f>IF(Table415[[#This Row],[Rubrique]]="","",Table415[[#This Row],[Qté]]*Table415[[#This Row],[Prix unitaire]])</f>
        <v/>
      </c>
      <c r="AB24" s="43"/>
      <c r="AC24" s="43"/>
      <c r="AD24" s="43"/>
      <c r="AE24" s="43"/>
      <c r="AF24" s="43"/>
      <c r="AG24" s="128"/>
      <c r="AH24" s="129" t="str">
        <f>IF(Table416[[#This Row],[Rubrique]]="","",Table416[[#This Row],[Qté]]*Table416[[#This Row],[Prix unitaire]])</f>
        <v/>
      </c>
      <c r="AJ24" s="43"/>
      <c r="AK24" s="43"/>
      <c r="AL24" s="43"/>
      <c r="AM24" s="43"/>
      <c r="AN24" s="43"/>
      <c r="AO24" s="128"/>
      <c r="AP24" s="129" t="str">
        <f>IF(Table417[[#This Row],[Rubrique]]="","",Table417[[#This Row],[Qté]]*Table417[[#This Row],[Prix unitaire]])</f>
        <v/>
      </c>
      <c r="AR24" s="43"/>
      <c r="AS24" s="43"/>
      <c r="AT24" s="43"/>
      <c r="AU24" s="43"/>
      <c r="AV24" s="43"/>
      <c r="AW24" s="128"/>
      <c r="AX24" s="129" t="str">
        <f>IF(Table418[[#This Row],[Rubrique]]="","",Table418[[#This Row],[Qté]]*Table418[[#This Row],[Prix unitaire]])</f>
        <v/>
      </c>
      <c r="AZ24" s="43"/>
      <c r="BA24" s="43"/>
      <c r="BB24" s="43"/>
      <c r="BC24" s="43"/>
      <c r="BD24" s="43"/>
      <c r="BE24" s="128"/>
      <c r="BF24" s="129" t="str">
        <f>IF(Table419[[#This Row],[Rubrique]]="","",Table419[[#This Row],[Qté]]*Table419[[#This Row],[Prix unitaire]])</f>
        <v/>
      </c>
      <c r="BH24" s="43"/>
      <c r="BI24" s="43"/>
      <c r="BJ24" s="43"/>
      <c r="BK24" s="43"/>
      <c r="BL24" s="43"/>
      <c r="BM24" s="128"/>
      <c r="BN24" s="129" t="str">
        <f>IF(Table420[[#This Row],[Rubrique]]="","",Table420[[#This Row],[Qté]]*Table420[[#This Row],[Prix unitaire]])</f>
        <v/>
      </c>
      <c r="BP24" s="43"/>
      <c r="BQ24" s="43"/>
      <c r="BR24" s="43"/>
      <c r="BS24" s="43"/>
      <c r="BT24" s="43"/>
      <c r="BU24" s="128"/>
      <c r="BV24" s="129" t="str">
        <f>IF(Table421[[#This Row],[Rubrique]]="","",Table421[[#This Row],[Qté]]*Table421[[#This Row],[Prix unitaire]])</f>
        <v/>
      </c>
      <c r="BX24" s="43"/>
      <c r="BY24" s="43"/>
      <c r="BZ24" s="43"/>
      <c r="CA24" s="43"/>
      <c r="CB24" s="43"/>
      <c r="CC24" s="128"/>
      <c r="CD24" s="129" t="str">
        <f>IF(Table422[[#This Row],[Rubrique]]="","",Table422[[#This Row],[Qté]]*Table422[[#This Row],[Prix unitaire]])</f>
        <v/>
      </c>
      <c r="CF24" s="43"/>
      <c r="CG24" s="43"/>
      <c r="CH24" s="43"/>
      <c r="CI24" s="43"/>
      <c r="CJ24" s="43"/>
      <c r="CK24" s="128"/>
      <c r="CL24" s="129" t="str">
        <f>IF(Table424[[#This Row],[Rubrique]]="","",Table424[[#This Row],[Qté]]*Table424[[#This Row],[Prix unitaire]])</f>
        <v/>
      </c>
      <c r="CN24" s="43"/>
      <c r="CO24" s="43"/>
      <c r="CP24" s="43"/>
      <c r="CQ24" s="43"/>
      <c r="CR24" s="43"/>
      <c r="CS24" s="128"/>
      <c r="CT24" s="129" t="str">
        <f>IF(Table425[[#This Row],[Rubrique]]="","",Table425[[#This Row],[Qté]]*Table425[[#This Row],[Prix unitaire]])</f>
        <v/>
      </c>
      <c r="CV24" s="43"/>
      <c r="CW24" s="43"/>
      <c r="CX24" s="43"/>
      <c r="CY24" s="43"/>
      <c r="CZ24" s="43"/>
      <c r="DA24" s="128"/>
      <c r="DB24" s="129" t="str">
        <f>IF(Table42526[[#This Row],[Rubrique]]="","",Table42526[[#This Row],[Qté]]*Table42526[[#This Row],[Prix unitaire]])</f>
        <v/>
      </c>
      <c r="DD24" s="43"/>
      <c r="DE24" s="43"/>
      <c r="DF24" s="43"/>
      <c r="DG24" s="43"/>
      <c r="DH24" s="43"/>
      <c r="DI24" s="128"/>
      <c r="DJ24" s="129" t="str">
        <f>IF(Table42527[[#This Row],[Rubrique]]="","",Table42527[[#This Row],[Qté]]*Table42527[[#This Row],[Prix unitaire]])</f>
        <v/>
      </c>
    </row>
    <row r="25" spans="1:114" x14ac:dyDescent="0.25">
      <c r="A25" s="186" t="str">
        <f>IF(Listes!A24="","",Listes!A24)</f>
        <v/>
      </c>
      <c r="B25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5" s="43"/>
      <c r="E25" s="43"/>
      <c r="F25" s="43"/>
      <c r="G25" s="43"/>
      <c r="H25" s="43"/>
      <c r="I25" s="128"/>
      <c r="J25" s="129" t="str">
        <f>IF(Table4[[#This Row],[Rubrique]]="","",Table4[[#This Row],[Qté]]*Table4[[#This Row],[Prix unitaire]])</f>
        <v/>
      </c>
      <c r="L25" s="43"/>
      <c r="M25" s="43"/>
      <c r="N25" s="43"/>
      <c r="O25" s="43"/>
      <c r="P25" s="43"/>
      <c r="Q25" s="128"/>
      <c r="R25" s="129" t="str">
        <f>IF(Table414[[#This Row],[Rubrique]]="","",Table414[[#This Row],[Qté]]*Table414[[#This Row],[Prix unitaire]])</f>
        <v/>
      </c>
      <c r="T25" s="43"/>
      <c r="U25" s="43"/>
      <c r="V25" s="43"/>
      <c r="W25" s="43"/>
      <c r="X25" s="43"/>
      <c r="Y25" s="128"/>
      <c r="Z25" s="129" t="str">
        <f>IF(Table415[[#This Row],[Rubrique]]="","",Table415[[#This Row],[Qté]]*Table415[[#This Row],[Prix unitaire]])</f>
        <v/>
      </c>
      <c r="AB25" s="43"/>
      <c r="AC25" s="43"/>
      <c r="AD25" s="43"/>
      <c r="AE25" s="43"/>
      <c r="AF25" s="43"/>
      <c r="AG25" s="128"/>
      <c r="AH25" s="129" t="str">
        <f>IF(Table416[[#This Row],[Rubrique]]="","",Table416[[#This Row],[Qté]]*Table416[[#This Row],[Prix unitaire]])</f>
        <v/>
      </c>
      <c r="AJ25" s="43"/>
      <c r="AK25" s="43"/>
      <c r="AL25" s="43"/>
      <c r="AM25" s="43"/>
      <c r="AN25" s="43"/>
      <c r="AO25" s="128"/>
      <c r="AP25" s="129" t="str">
        <f>IF(Table417[[#This Row],[Rubrique]]="","",Table417[[#This Row],[Qté]]*Table417[[#This Row],[Prix unitaire]])</f>
        <v/>
      </c>
      <c r="AR25" s="43"/>
      <c r="AS25" s="43"/>
      <c r="AT25" s="43"/>
      <c r="AU25" s="43"/>
      <c r="AV25" s="43"/>
      <c r="AW25" s="128"/>
      <c r="AX25" s="129" t="str">
        <f>IF(Table418[[#This Row],[Rubrique]]="","",Table418[[#This Row],[Qté]]*Table418[[#This Row],[Prix unitaire]])</f>
        <v/>
      </c>
      <c r="AZ25" s="43"/>
      <c r="BA25" s="43"/>
      <c r="BB25" s="43"/>
      <c r="BC25" s="43"/>
      <c r="BD25" s="43"/>
      <c r="BE25" s="128"/>
      <c r="BF25" s="129" t="str">
        <f>IF(Table419[[#This Row],[Rubrique]]="","",Table419[[#This Row],[Qté]]*Table419[[#This Row],[Prix unitaire]])</f>
        <v/>
      </c>
      <c r="BH25" s="43"/>
      <c r="BI25" s="43"/>
      <c r="BJ25" s="43"/>
      <c r="BK25" s="43"/>
      <c r="BL25" s="43"/>
      <c r="BM25" s="128"/>
      <c r="BN25" s="129" t="str">
        <f>IF(Table420[[#This Row],[Rubrique]]="","",Table420[[#This Row],[Qté]]*Table420[[#This Row],[Prix unitaire]])</f>
        <v/>
      </c>
      <c r="BP25" s="43"/>
      <c r="BQ25" s="43"/>
      <c r="BR25" s="43"/>
      <c r="BS25" s="43"/>
      <c r="BT25" s="43"/>
      <c r="BU25" s="128"/>
      <c r="BV25" s="129" t="str">
        <f>IF(Table421[[#This Row],[Rubrique]]="","",Table421[[#This Row],[Qté]]*Table421[[#This Row],[Prix unitaire]])</f>
        <v/>
      </c>
      <c r="BX25" s="43"/>
      <c r="BY25" s="43"/>
      <c r="BZ25" s="43"/>
      <c r="CA25" s="43"/>
      <c r="CB25" s="43"/>
      <c r="CC25" s="128"/>
      <c r="CD25" s="129" t="str">
        <f>IF(Table422[[#This Row],[Rubrique]]="","",Table422[[#This Row],[Qté]]*Table422[[#This Row],[Prix unitaire]])</f>
        <v/>
      </c>
      <c r="CF25" s="43"/>
      <c r="CG25" s="43"/>
      <c r="CH25" s="43"/>
      <c r="CI25" s="43"/>
      <c r="CJ25" s="43"/>
      <c r="CK25" s="128"/>
      <c r="CL25" s="129" t="str">
        <f>IF(Table424[[#This Row],[Rubrique]]="","",Table424[[#This Row],[Qté]]*Table424[[#This Row],[Prix unitaire]])</f>
        <v/>
      </c>
      <c r="CN25" s="43"/>
      <c r="CO25" s="43"/>
      <c r="CP25" s="43"/>
      <c r="CQ25" s="43"/>
      <c r="CR25" s="43"/>
      <c r="CS25" s="128"/>
      <c r="CT25" s="129" t="str">
        <f>IF(Table425[[#This Row],[Rubrique]]="","",Table425[[#This Row],[Qté]]*Table425[[#This Row],[Prix unitaire]])</f>
        <v/>
      </c>
      <c r="CV25" s="43"/>
      <c r="CW25" s="43"/>
      <c r="CX25" s="43"/>
      <c r="CY25" s="43"/>
      <c r="CZ25" s="43"/>
      <c r="DA25" s="128"/>
      <c r="DB25" s="129" t="str">
        <f>IF(Table42526[[#This Row],[Rubrique]]="","",Table42526[[#This Row],[Qté]]*Table42526[[#This Row],[Prix unitaire]])</f>
        <v/>
      </c>
      <c r="DD25" s="43"/>
      <c r="DE25" s="43"/>
      <c r="DF25" s="43"/>
      <c r="DG25" s="43"/>
      <c r="DH25" s="43"/>
      <c r="DI25" s="128"/>
      <c r="DJ25" s="129" t="str">
        <f>IF(Table42527[[#This Row],[Rubrique]]="","",Table42527[[#This Row],[Qté]]*Table42527[[#This Row],[Prix unitaire]])</f>
        <v/>
      </c>
    </row>
    <row r="26" spans="1:114" x14ac:dyDescent="0.25">
      <c r="A26" s="186" t="str">
        <f>IF(Listes!A25="","",Listes!A25)</f>
        <v/>
      </c>
      <c r="B2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6" s="43"/>
      <c r="E26" s="43"/>
      <c r="F26" s="43"/>
      <c r="G26" s="43"/>
      <c r="H26" s="43"/>
      <c r="I26" s="128"/>
      <c r="J26" s="129" t="str">
        <f>IF(Table4[[#This Row],[Rubrique]]="","",Table4[[#This Row],[Qté]]*Table4[[#This Row],[Prix unitaire]])</f>
        <v/>
      </c>
      <c r="L26" s="43"/>
      <c r="M26" s="43"/>
      <c r="N26" s="43"/>
      <c r="O26" s="43"/>
      <c r="P26" s="43"/>
      <c r="Q26" s="128"/>
      <c r="R26" s="129" t="str">
        <f>IF(Table414[[#This Row],[Rubrique]]="","",Table414[[#This Row],[Qté]]*Table414[[#This Row],[Prix unitaire]])</f>
        <v/>
      </c>
      <c r="T26" s="43"/>
      <c r="U26" s="43"/>
      <c r="V26" s="43"/>
      <c r="W26" s="43"/>
      <c r="X26" s="43"/>
      <c r="Y26" s="128"/>
      <c r="Z26" s="129" t="str">
        <f>IF(Table415[[#This Row],[Rubrique]]="","",Table415[[#This Row],[Qté]]*Table415[[#This Row],[Prix unitaire]])</f>
        <v/>
      </c>
      <c r="AB26" s="43"/>
      <c r="AC26" s="43"/>
      <c r="AD26" s="43"/>
      <c r="AE26" s="43"/>
      <c r="AF26" s="43"/>
      <c r="AG26" s="128"/>
      <c r="AH26" s="129" t="str">
        <f>IF(Table416[[#This Row],[Rubrique]]="","",Table416[[#This Row],[Qté]]*Table416[[#This Row],[Prix unitaire]])</f>
        <v/>
      </c>
      <c r="AJ26" s="43"/>
      <c r="AK26" s="43"/>
      <c r="AL26" s="43"/>
      <c r="AM26" s="43"/>
      <c r="AN26" s="43"/>
      <c r="AO26" s="128"/>
      <c r="AP26" s="129" t="str">
        <f>IF(Table417[[#This Row],[Rubrique]]="","",Table417[[#This Row],[Qté]]*Table417[[#This Row],[Prix unitaire]])</f>
        <v/>
      </c>
      <c r="AR26" s="43"/>
      <c r="AS26" s="43"/>
      <c r="AT26" s="43"/>
      <c r="AU26" s="43"/>
      <c r="AV26" s="43"/>
      <c r="AW26" s="128"/>
      <c r="AX26" s="129" t="str">
        <f>IF(Table418[[#This Row],[Rubrique]]="","",Table418[[#This Row],[Qté]]*Table418[[#This Row],[Prix unitaire]])</f>
        <v/>
      </c>
      <c r="AZ26" s="43"/>
      <c r="BA26" s="43"/>
      <c r="BB26" s="43"/>
      <c r="BC26" s="43"/>
      <c r="BD26" s="43"/>
      <c r="BE26" s="128"/>
      <c r="BF26" s="129" t="str">
        <f>IF(Table419[[#This Row],[Rubrique]]="","",Table419[[#This Row],[Qté]]*Table419[[#This Row],[Prix unitaire]])</f>
        <v/>
      </c>
      <c r="BH26" s="43"/>
      <c r="BI26" s="43"/>
      <c r="BJ26" s="43"/>
      <c r="BK26" s="43"/>
      <c r="BL26" s="43"/>
      <c r="BM26" s="128"/>
      <c r="BN26" s="129" t="str">
        <f>IF(Table420[[#This Row],[Rubrique]]="","",Table420[[#This Row],[Qté]]*Table420[[#This Row],[Prix unitaire]])</f>
        <v/>
      </c>
      <c r="BP26" s="43"/>
      <c r="BQ26" s="43"/>
      <c r="BR26" s="43"/>
      <c r="BS26" s="43"/>
      <c r="BT26" s="43"/>
      <c r="BU26" s="128"/>
      <c r="BV26" s="129" t="str">
        <f>IF(Table421[[#This Row],[Rubrique]]="","",Table421[[#This Row],[Qté]]*Table421[[#This Row],[Prix unitaire]])</f>
        <v/>
      </c>
      <c r="BX26" s="43"/>
      <c r="BY26" s="43"/>
      <c r="BZ26" s="43"/>
      <c r="CA26" s="43"/>
      <c r="CB26" s="43"/>
      <c r="CC26" s="128"/>
      <c r="CD26" s="129" t="str">
        <f>IF(Table422[[#This Row],[Rubrique]]="","",Table422[[#This Row],[Qté]]*Table422[[#This Row],[Prix unitaire]])</f>
        <v/>
      </c>
      <c r="CF26" s="43"/>
      <c r="CG26" s="43"/>
      <c r="CH26" s="43"/>
      <c r="CI26" s="43"/>
      <c r="CJ26" s="43"/>
      <c r="CK26" s="128"/>
      <c r="CL26" s="129" t="str">
        <f>IF(Table424[[#This Row],[Rubrique]]="","",Table424[[#This Row],[Qté]]*Table424[[#This Row],[Prix unitaire]])</f>
        <v/>
      </c>
      <c r="CN26" s="43"/>
      <c r="CO26" s="43"/>
      <c r="CP26" s="43"/>
      <c r="CQ26" s="43"/>
      <c r="CR26" s="43"/>
      <c r="CS26" s="128"/>
      <c r="CT26" s="129" t="str">
        <f>IF(Table425[[#This Row],[Rubrique]]="","",Table425[[#This Row],[Qté]]*Table425[[#This Row],[Prix unitaire]])</f>
        <v/>
      </c>
      <c r="CV26" s="43"/>
      <c r="CW26" s="43"/>
      <c r="CX26" s="43"/>
      <c r="CY26" s="43"/>
      <c r="CZ26" s="43"/>
      <c r="DA26" s="128"/>
      <c r="DB26" s="129" t="str">
        <f>IF(Table42526[[#This Row],[Rubrique]]="","",Table42526[[#This Row],[Qté]]*Table42526[[#This Row],[Prix unitaire]])</f>
        <v/>
      </c>
      <c r="DD26" s="43"/>
      <c r="DE26" s="43"/>
      <c r="DF26" s="43"/>
      <c r="DG26" s="43"/>
      <c r="DH26" s="43"/>
      <c r="DI26" s="128"/>
      <c r="DJ26" s="129" t="str">
        <f>IF(Table42527[[#This Row],[Rubrique]]="","",Table42527[[#This Row],[Qté]]*Table42527[[#This Row],[Prix unitaire]])</f>
        <v/>
      </c>
    </row>
    <row r="27" spans="1:114" x14ac:dyDescent="0.25">
      <c r="A27" s="186" t="str">
        <f>IF(Listes!A26="","",Listes!A26)</f>
        <v/>
      </c>
      <c r="B2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7" s="43"/>
      <c r="E27" s="43"/>
      <c r="F27" s="43"/>
      <c r="G27" s="43"/>
      <c r="H27" s="43"/>
      <c r="I27" s="128"/>
      <c r="J27" s="129" t="str">
        <f>IF(Table4[[#This Row],[Rubrique]]="","",Table4[[#This Row],[Qté]]*Table4[[#This Row],[Prix unitaire]])</f>
        <v/>
      </c>
      <c r="L27" s="43"/>
      <c r="M27" s="43"/>
      <c r="N27" s="43"/>
      <c r="O27" s="43"/>
      <c r="P27" s="43"/>
      <c r="Q27" s="128"/>
      <c r="R27" s="129" t="str">
        <f>IF(Table414[[#This Row],[Rubrique]]="","",Table414[[#This Row],[Qté]]*Table414[[#This Row],[Prix unitaire]])</f>
        <v/>
      </c>
      <c r="T27" s="43"/>
      <c r="U27" s="43"/>
      <c r="V27" s="43"/>
      <c r="W27" s="43"/>
      <c r="X27" s="43"/>
      <c r="Y27" s="128"/>
      <c r="Z27" s="129" t="str">
        <f>IF(Table415[[#This Row],[Rubrique]]="","",Table415[[#This Row],[Qté]]*Table415[[#This Row],[Prix unitaire]])</f>
        <v/>
      </c>
      <c r="AB27" s="43"/>
      <c r="AC27" s="43"/>
      <c r="AD27" s="43"/>
      <c r="AE27" s="43"/>
      <c r="AF27" s="43"/>
      <c r="AG27" s="128"/>
      <c r="AH27" s="129" t="str">
        <f>IF(Table416[[#This Row],[Rubrique]]="","",Table416[[#This Row],[Qté]]*Table416[[#This Row],[Prix unitaire]])</f>
        <v/>
      </c>
      <c r="AJ27" s="43"/>
      <c r="AK27" s="43"/>
      <c r="AL27" s="43"/>
      <c r="AM27" s="43"/>
      <c r="AN27" s="43"/>
      <c r="AO27" s="128"/>
      <c r="AP27" s="129" t="str">
        <f>IF(Table417[[#This Row],[Rubrique]]="","",Table417[[#This Row],[Qté]]*Table417[[#This Row],[Prix unitaire]])</f>
        <v/>
      </c>
      <c r="AR27" s="43"/>
      <c r="AS27" s="43"/>
      <c r="AT27" s="43"/>
      <c r="AU27" s="43"/>
      <c r="AV27" s="43"/>
      <c r="AW27" s="128"/>
      <c r="AX27" s="129" t="str">
        <f>IF(Table418[[#This Row],[Rubrique]]="","",Table418[[#This Row],[Qté]]*Table418[[#This Row],[Prix unitaire]])</f>
        <v/>
      </c>
      <c r="AZ27" s="43"/>
      <c r="BA27" s="43"/>
      <c r="BB27" s="43"/>
      <c r="BC27" s="43"/>
      <c r="BD27" s="43"/>
      <c r="BE27" s="128"/>
      <c r="BF27" s="129" t="str">
        <f>IF(Table419[[#This Row],[Rubrique]]="","",Table419[[#This Row],[Qté]]*Table419[[#This Row],[Prix unitaire]])</f>
        <v/>
      </c>
      <c r="BH27" s="43"/>
      <c r="BI27" s="43"/>
      <c r="BJ27" s="43"/>
      <c r="BK27" s="43"/>
      <c r="BL27" s="43"/>
      <c r="BM27" s="128"/>
      <c r="BN27" s="129" t="str">
        <f>IF(Table420[[#This Row],[Rubrique]]="","",Table420[[#This Row],[Qté]]*Table420[[#This Row],[Prix unitaire]])</f>
        <v/>
      </c>
      <c r="BP27" s="43"/>
      <c r="BQ27" s="43"/>
      <c r="BR27" s="43"/>
      <c r="BS27" s="43"/>
      <c r="BT27" s="43"/>
      <c r="BU27" s="128"/>
      <c r="BV27" s="129" t="str">
        <f>IF(Table421[[#This Row],[Rubrique]]="","",Table421[[#This Row],[Qté]]*Table421[[#This Row],[Prix unitaire]])</f>
        <v/>
      </c>
      <c r="BX27" s="43"/>
      <c r="BY27" s="43"/>
      <c r="BZ27" s="43"/>
      <c r="CA27" s="43"/>
      <c r="CB27" s="43"/>
      <c r="CC27" s="128"/>
      <c r="CD27" s="129" t="str">
        <f>IF(Table422[[#This Row],[Rubrique]]="","",Table422[[#This Row],[Qté]]*Table422[[#This Row],[Prix unitaire]])</f>
        <v/>
      </c>
      <c r="CF27" s="43"/>
      <c r="CG27" s="43"/>
      <c r="CH27" s="43"/>
      <c r="CI27" s="43"/>
      <c r="CJ27" s="43"/>
      <c r="CK27" s="128"/>
      <c r="CL27" s="129" t="str">
        <f>IF(Table424[[#This Row],[Rubrique]]="","",Table424[[#This Row],[Qté]]*Table424[[#This Row],[Prix unitaire]])</f>
        <v/>
      </c>
      <c r="CN27" s="43"/>
      <c r="CO27" s="43"/>
      <c r="CP27" s="43"/>
      <c r="CQ27" s="43"/>
      <c r="CR27" s="43"/>
      <c r="CS27" s="128"/>
      <c r="CT27" s="129" t="str">
        <f>IF(Table425[[#This Row],[Rubrique]]="","",Table425[[#This Row],[Qté]]*Table425[[#This Row],[Prix unitaire]])</f>
        <v/>
      </c>
      <c r="CV27" s="43"/>
      <c r="CW27" s="43"/>
      <c r="CX27" s="43"/>
      <c r="CY27" s="43"/>
      <c r="CZ27" s="43"/>
      <c r="DA27" s="128"/>
      <c r="DB27" s="129" t="str">
        <f>IF(Table42526[[#This Row],[Rubrique]]="","",Table42526[[#This Row],[Qté]]*Table42526[[#This Row],[Prix unitaire]])</f>
        <v/>
      </c>
      <c r="DD27" s="43"/>
      <c r="DE27" s="43"/>
      <c r="DF27" s="43"/>
      <c r="DG27" s="43"/>
      <c r="DH27" s="43"/>
      <c r="DI27" s="128"/>
      <c r="DJ27" s="129" t="str">
        <f>IF(Table42527[[#This Row],[Rubrique]]="","",Table42527[[#This Row],[Qté]]*Table42527[[#This Row],[Prix unitaire]])</f>
        <v/>
      </c>
    </row>
    <row r="28" spans="1:114" x14ac:dyDescent="0.25">
      <c r="A28" s="186" t="str">
        <f>IF(Listes!A27="","",Listes!A27)</f>
        <v/>
      </c>
      <c r="B2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8" s="43"/>
      <c r="E28" s="43"/>
      <c r="F28" s="43"/>
      <c r="G28" s="43"/>
      <c r="H28" s="43"/>
      <c r="I28" s="128"/>
      <c r="J28" s="129" t="str">
        <f>IF(Table4[[#This Row],[Rubrique]]="","",Table4[[#This Row],[Qté]]*Table4[[#This Row],[Prix unitaire]])</f>
        <v/>
      </c>
      <c r="L28" s="43"/>
      <c r="M28" s="43"/>
      <c r="N28" s="43"/>
      <c r="O28" s="43"/>
      <c r="P28" s="43"/>
      <c r="Q28" s="128"/>
      <c r="R28" s="129" t="str">
        <f>IF(Table414[[#This Row],[Rubrique]]="","",Table414[[#This Row],[Qté]]*Table414[[#This Row],[Prix unitaire]])</f>
        <v/>
      </c>
      <c r="T28" s="43"/>
      <c r="U28" s="43"/>
      <c r="V28" s="43"/>
      <c r="W28" s="43"/>
      <c r="X28" s="43"/>
      <c r="Y28" s="128"/>
      <c r="Z28" s="129" t="str">
        <f>IF(Table415[[#This Row],[Rubrique]]="","",Table415[[#This Row],[Qté]]*Table415[[#This Row],[Prix unitaire]])</f>
        <v/>
      </c>
      <c r="AB28" s="43"/>
      <c r="AC28" s="43"/>
      <c r="AD28" s="43"/>
      <c r="AE28" s="43"/>
      <c r="AF28" s="43"/>
      <c r="AG28" s="128"/>
      <c r="AH28" s="129" t="str">
        <f>IF(Table416[[#This Row],[Rubrique]]="","",Table416[[#This Row],[Qté]]*Table416[[#This Row],[Prix unitaire]])</f>
        <v/>
      </c>
      <c r="AJ28" s="43"/>
      <c r="AK28" s="43"/>
      <c r="AL28" s="43"/>
      <c r="AM28" s="43"/>
      <c r="AN28" s="43"/>
      <c r="AO28" s="128"/>
      <c r="AP28" s="129" t="str">
        <f>IF(Table417[[#This Row],[Rubrique]]="","",Table417[[#This Row],[Qté]]*Table417[[#This Row],[Prix unitaire]])</f>
        <v/>
      </c>
      <c r="AR28" s="43"/>
      <c r="AS28" s="43"/>
      <c r="AT28" s="43"/>
      <c r="AU28" s="43"/>
      <c r="AV28" s="43"/>
      <c r="AW28" s="128"/>
      <c r="AX28" s="129" t="str">
        <f>IF(Table418[[#This Row],[Rubrique]]="","",Table418[[#This Row],[Qté]]*Table418[[#This Row],[Prix unitaire]])</f>
        <v/>
      </c>
      <c r="AZ28" s="43"/>
      <c r="BA28" s="43"/>
      <c r="BB28" s="43"/>
      <c r="BC28" s="43"/>
      <c r="BD28" s="43"/>
      <c r="BE28" s="128"/>
      <c r="BF28" s="129" t="str">
        <f>IF(Table419[[#This Row],[Rubrique]]="","",Table419[[#This Row],[Qté]]*Table419[[#This Row],[Prix unitaire]])</f>
        <v/>
      </c>
      <c r="BH28" s="43"/>
      <c r="BI28" s="43"/>
      <c r="BJ28" s="43"/>
      <c r="BK28" s="43"/>
      <c r="BL28" s="43"/>
      <c r="BM28" s="128"/>
      <c r="BN28" s="129" t="str">
        <f>IF(Table420[[#This Row],[Rubrique]]="","",Table420[[#This Row],[Qté]]*Table420[[#This Row],[Prix unitaire]])</f>
        <v/>
      </c>
      <c r="BP28" s="43"/>
      <c r="BQ28" s="43"/>
      <c r="BR28" s="43"/>
      <c r="BS28" s="43"/>
      <c r="BT28" s="43"/>
      <c r="BU28" s="128"/>
      <c r="BV28" s="129" t="str">
        <f>IF(Table421[[#This Row],[Rubrique]]="","",Table421[[#This Row],[Qté]]*Table421[[#This Row],[Prix unitaire]])</f>
        <v/>
      </c>
      <c r="BX28" s="43"/>
      <c r="BY28" s="43"/>
      <c r="BZ28" s="43"/>
      <c r="CA28" s="43"/>
      <c r="CB28" s="43"/>
      <c r="CC28" s="128"/>
      <c r="CD28" s="129" t="str">
        <f>IF(Table422[[#This Row],[Rubrique]]="","",Table422[[#This Row],[Qté]]*Table422[[#This Row],[Prix unitaire]])</f>
        <v/>
      </c>
      <c r="CF28" s="43"/>
      <c r="CG28" s="43"/>
      <c r="CH28" s="43"/>
      <c r="CI28" s="43"/>
      <c r="CJ28" s="43"/>
      <c r="CK28" s="128"/>
      <c r="CL28" s="129" t="str">
        <f>IF(Table424[[#This Row],[Rubrique]]="","",Table424[[#This Row],[Qté]]*Table424[[#This Row],[Prix unitaire]])</f>
        <v/>
      </c>
      <c r="CN28" s="43"/>
      <c r="CO28" s="43"/>
      <c r="CP28" s="43"/>
      <c r="CQ28" s="43"/>
      <c r="CR28" s="43"/>
      <c r="CS28" s="128"/>
      <c r="CT28" s="129" t="str">
        <f>IF(Table425[[#This Row],[Rubrique]]="","",Table425[[#This Row],[Qté]]*Table425[[#This Row],[Prix unitaire]])</f>
        <v/>
      </c>
      <c r="CV28" s="43"/>
      <c r="CW28" s="43"/>
      <c r="CX28" s="43"/>
      <c r="CY28" s="43"/>
      <c r="CZ28" s="43"/>
      <c r="DA28" s="128"/>
      <c r="DB28" s="129" t="str">
        <f>IF(Table42526[[#This Row],[Rubrique]]="","",Table42526[[#This Row],[Qté]]*Table42526[[#This Row],[Prix unitaire]])</f>
        <v/>
      </c>
      <c r="DD28" s="43"/>
      <c r="DE28" s="43"/>
      <c r="DF28" s="43"/>
      <c r="DG28" s="43"/>
      <c r="DH28" s="43"/>
      <c r="DI28" s="128"/>
      <c r="DJ28" s="129" t="str">
        <f>IF(Table42527[[#This Row],[Rubrique]]="","",Table42527[[#This Row],[Qté]]*Table42527[[#This Row],[Prix unitaire]])</f>
        <v/>
      </c>
    </row>
    <row r="29" spans="1:114" x14ac:dyDescent="0.25">
      <c r="A29" s="186" t="str">
        <f>IF(Listes!A28="","",Listes!A28)</f>
        <v/>
      </c>
      <c r="B29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29" s="43"/>
      <c r="E29" s="43"/>
      <c r="F29" s="43"/>
      <c r="G29" s="43"/>
      <c r="H29" s="43"/>
      <c r="I29" s="128"/>
      <c r="J29" s="129" t="str">
        <f>IF(Table4[[#This Row],[Rubrique]]="","",Table4[[#This Row],[Qté]]*Table4[[#This Row],[Prix unitaire]])</f>
        <v/>
      </c>
      <c r="L29" s="43"/>
      <c r="M29" s="43"/>
      <c r="N29" s="43"/>
      <c r="O29" s="43"/>
      <c r="P29" s="43"/>
      <c r="Q29" s="128"/>
      <c r="R29" s="129" t="str">
        <f>IF(Table414[[#This Row],[Rubrique]]="","",Table414[[#This Row],[Qté]]*Table414[[#This Row],[Prix unitaire]])</f>
        <v/>
      </c>
      <c r="T29" s="43"/>
      <c r="U29" s="43"/>
      <c r="V29" s="43"/>
      <c r="W29" s="43"/>
      <c r="X29" s="43"/>
      <c r="Y29" s="128"/>
      <c r="Z29" s="129" t="str">
        <f>IF(Table415[[#This Row],[Rubrique]]="","",Table415[[#This Row],[Qté]]*Table415[[#This Row],[Prix unitaire]])</f>
        <v/>
      </c>
      <c r="AB29" s="43"/>
      <c r="AC29" s="43"/>
      <c r="AD29" s="43"/>
      <c r="AE29" s="43"/>
      <c r="AF29" s="43"/>
      <c r="AG29" s="128"/>
      <c r="AH29" s="129" t="str">
        <f>IF(Table416[[#This Row],[Rubrique]]="","",Table416[[#This Row],[Qté]]*Table416[[#This Row],[Prix unitaire]])</f>
        <v/>
      </c>
      <c r="AJ29" s="43"/>
      <c r="AK29" s="43"/>
      <c r="AL29" s="43"/>
      <c r="AM29" s="43"/>
      <c r="AN29" s="43"/>
      <c r="AO29" s="128"/>
      <c r="AP29" s="129" t="str">
        <f>IF(Table417[[#This Row],[Rubrique]]="","",Table417[[#This Row],[Qté]]*Table417[[#This Row],[Prix unitaire]])</f>
        <v/>
      </c>
      <c r="AR29" s="43"/>
      <c r="AS29" s="43"/>
      <c r="AT29" s="43"/>
      <c r="AU29" s="43"/>
      <c r="AV29" s="43"/>
      <c r="AW29" s="128"/>
      <c r="AX29" s="129" t="str">
        <f>IF(Table418[[#This Row],[Rubrique]]="","",Table418[[#This Row],[Qté]]*Table418[[#This Row],[Prix unitaire]])</f>
        <v/>
      </c>
      <c r="AZ29" s="43"/>
      <c r="BA29" s="43"/>
      <c r="BB29" s="43"/>
      <c r="BC29" s="43"/>
      <c r="BD29" s="43"/>
      <c r="BE29" s="128"/>
      <c r="BF29" s="129" t="str">
        <f>IF(Table419[[#This Row],[Rubrique]]="","",Table419[[#This Row],[Qté]]*Table419[[#This Row],[Prix unitaire]])</f>
        <v/>
      </c>
      <c r="BH29" s="43"/>
      <c r="BI29" s="43"/>
      <c r="BJ29" s="43"/>
      <c r="BK29" s="43"/>
      <c r="BL29" s="43"/>
      <c r="BM29" s="128"/>
      <c r="BN29" s="129" t="str">
        <f>IF(Table420[[#This Row],[Rubrique]]="","",Table420[[#This Row],[Qté]]*Table420[[#This Row],[Prix unitaire]])</f>
        <v/>
      </c>
      <c r="BP29" s="43"/>
      <c r="BQ29" s="43"/>
      <c r="BR29" s="43"/>
      <c r="BS29" s="43"/>
      <c r="BT29" s="43"/>
      <c r="BU29" s="128"/>
      <c r="BV29" s="129" t="str">
        <f>IF(Table421[[#This Row],[Rubrique]]="","",Table421[[#This Row],[Qté]]*Table421[[#This Row],[Prix unitaire]])</f>
        <v/>
      </c>
      <c r="BX29" s="43"/>
      <c r="BY29" s="43"/>
      <c r="BZ29" s="43"/>
      <c r="CA29" s="43"/>
      <c r="CB29" s="43"/>
      <c r="CC29" s="128"/>
      <c r="CD29" s="129" t="str">
        <f>IF(Table422[[#This Row],[Rubrique]]="","",Table422[[#This Row],[Qté]]*Table422[[#This Row],[Prix unitaire]])</f>
        <v/>
      </c>
      <c r="CF29" s="43"/>
      <c r="CG29" s="43"/>
      <c r="CH29" s="43"/>
      <c r="CI29" s="43"/>
      <c r="CJ29" s="43"/>
      <c r="CK29" s="128"/>
      <c r="CL29" s="129" t="str">
        <f>IF(Table424[[#This Row],[Rubrique]]="","",Table424[[#This Row],[Qté]]*Table424[[#This Row],[Prix unitaire]])</f>
        <v/>
      </c>
      <c r="CN29" s="43"/>
      <c r="CO29" s="43"/>
      <c r="CP29" s="43"/>
      <c r="CQ29" s="43"/>
      <c r="CR29" s="43"/>
      <c r="CS29" s="128"/>
      <c r="CT29" s="129" t="str">
        <f>IF(Table425[[#This Row],[Rubrique]]="","",Table425[[#This Row],[Qté]]*Table425[[#This Row],[Prix unitaire]])</f>
        <v/>
      </c>
      <c r="CV29" s="43"/>
      <c r="CW29" s="43"/>
      <c r="CX29" s="43"/>
      <c r="CY29" s="43"/>
      <c r="CZ29" s="43"/>
      <c r="DA29" s="128"/>
      <c r="DB29" s="129" t="str">
        <f>IF(Table42526[[#This Row],[Rubrique]]="","",Table42526[[#This Row],[Qté]]*Table42526[[#This Row],[Prix unitaire]])</f>
        <v/>
      </c>
      <c r="DD29" s="43"/>
      <c r="DE29" s="43"/>
      <c r="DF29" s="43"/>
      <c r="DG29" s="43"/>
      <c r="DH29" s="43"/>
      <c r="DI29" s="128"/>
      <c r="DJ29" s="129" t="str">
        <f>IF(Table42527[[#This Row],[Rubrique]]="","",Table42527[[#This Row],[Qté]]*Table42527[[#This Row],[Prix unitaire]])</f>
        <v/>
      </c>
    </row>
    <row r="30" spans="1:114" x14ac:dyDescent="0.25">
      <c r="A30" s="186" t="str">
        <f>IF(Listes!A29="","",Listes!A29)</f>
        <v/>
      </c>
      <c r="B30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0" s="43"/>
      <c r="E30" s="43"/>
      <c r="F30" s="43"/>
      <c r="G30" s="43"/>
      <c r="H30" s="43"/>
      <c r="I30" s="128"/>
      <c r="J30" s="129" t="str">
        <f>IF(Table4[[#This Row],[Rubrique]]="","",Table4[[#This Row],[Qté]]*Table4[[#This Row],[Prix unitaire]])</f>
        <v/>
      </c>
      <c r="L30" s="43"/>
      <c r="M30" s="43"/>
      <c r="N30" s="43"/>
      <c r="O30" s="43"/>
      <c r="P30" s="43"/>
      <c r="Q30" s="128"/>
      <c r="R30" s="129" t="str">
        <f>IF(Table414[[#This Row],[Rubrique]]="","",Table414[[#This Row],[Qté]]*Table414[[#This Row],[Prix unitaire]])</f>
        <v/>
      </c>
      <c r="T30" s="43"/>
      <c r="U30" s="43"/>
      <c r="V30" s="43"/>
      <c r="W30" s="43"/>
      <c r="X30" s="43"/>
      <c r="Y30" s="128"/>
      <c r="Z30" s="129" t="str">
        <f>IF(Table415[[#This Row],[Rubrique]]="","",Table415[[#This Row],[Qté]]*Table415[[#This Row],[Prix unitaire]])</f>
        <v/>
      </c>
      <c r="AB30" s="43"/>
      <c r="AC30" s="43"/>
      <c r="AD30" s="43"/>
      <c r="AE30" s="43"/>
      <c r="AF30" s="43"/>
      <c r="AG30" s="128"/>
      <c r="AH30" s="129" t="str">
        <f>IF(Table416[[#This Row],[Rubrique]]="","",Table416[[#This Row],[Qté]]*Table416[[#This Row],[Prix unitaire]])</f>
        <v/>
      </c>
      <c r="AJ30" s="43"/>
      <c r="AK30" s="43"/>
      <c r="AL30" s="43"/>
      <c r="AM30" s="43"/>
      <c r="AN30" s="43"/>
      <c r="AO30" s="128"/>
      <c r="AP30" s="129" t="str">
        <f>IF(Table417[[#This Row],[Rubrique]]="","",Table417[[#This Row],[Qté]]*Table417[[#This Row],[Prix unitaire]])</f>
        <v/>
      </c>
      <c r="AR30" s="43"/>
      <c r="AS30" s="43"/>
      <c r="AT30" s="43"/>
      <c r="AU30" s="43"/>
      <c r="AV30" s="43"/>
      <c r="AW30" s="128"/>
      <c r="AX30" s="129" t="str">
        <f>IF(Table418[[#This Row],[Rubrique]]="","",Table418[[#This Row],[Qté]]*Table418[[#This Row],[Prix unitaire]])</f>
        <v/>
      </c>
      <c r="AZ30" s="43"/>
      <c r="BA30" s="43"/>
      <c r="BB30" s="43"/>
      <c r="BC30" s="43"/>
      <c r="BD30" s="43"/>
      <c r="BE30" s="128"/>
      <c r="BF30" s="129" t="str">
        <f>IF(Table419[[#This Row],[Rubrique]]="","",Table419[[#This Row],[Qté]]*Table419[[#This Row],[Prix unitaire]])</f>
        <v/>
      </c>
      <c r="BH30" s="43"/>
      <c r="BI30" s="43"/>
      <c r="BJ30" s="43"/>
      <c r="BK30" s="43"/>
      <c r="BL30" s="43"/>
      <c r="BM30" s="128"/>
      <c r="BN30" s="129" t="str">
        <f>IF(Table420[[#This Row],[Rubrique]]="","",Table420[[#This Row],[Qté]]*Table420[[#This Row],[Prix unitaire]])</f>
        <v/>
      </c>
      <c r="BP30" s="43"/>
      <c r="BQ30" s="43"/>
      <c r="BR30" s="43"/>
      <c r="BS30" s="43"/>
      <c r="BT30" s="43"/>
      <c r="BU30" s="128"/>
      <c r="BV30" s="129" t="str">
        <f>IF(Table421[[#This Row],[Rubrique]]="","",Table421[[#This Row],[Qté]]*Table421[[#This Row],[Prix unitaire]])</f>
        <v/>
      </c>
      <c r="BX30" s="43"/>
      <c r="BY30" s="43"/>
      <c r="BZ30" s="43"/>
      <c r="CA30" s="43"/>
      <c r="CB30" s="43"/>
      <c r="CC30" s="128"/>
      <c r="CD30" s="129" t="str">
        <f>IF(Table422[[#This Row],[Rubrique]]="","",Table422[[#This Row],[Qté]]*Table422[[#This Row],[Prix unitaire]])</f>
        <v/>
      </c>
      <c r="CF30" s="43"/>
      <c r="CG30" s="43"/>
      <c r="CH30" s="43"/>
      <c r="CI30" s="43"/>
      <c r="CJ30" s="43"/>
      <c r="CK30" s="128"/>
      <c r="CL30" s="129" t="str">
        <f>IF(Table424[[#This Row],[Rubrique]]="","",Table424[[#This Row],[Qté]]*Table424[[#This Row],[Prix unitaire]])</f>
        <v/>
      </c>
      <c r="CN30" s="43"/>
      <c r="CO30" s="43"/>
      <c r="CP30" s="43"/>
      <c r="CQ30" s="43"/>
      <c r="CR30" s="43"/>
      <c r="CS30" s="128"/>
      <c r="CT30" s="129" t="str">
        <f>IF(Table425[[#This Row],[Rubrique]]="","",Table425[[#This Row],[Qté]]*Table425[[#This Row],[Prix unitaire]])</f>
        <v/>
      </c>
      <c r="CV30" s="43"/>
      <c r="CW30" s="43"/>
      <c r="CX30" s="43"/>
      <c r="CY30" s="43"/>
      <c r="CZ30" s="43"/>
      <c r="DA30" s="128"/>
      <c r="DB30" s="129" t="str">
        <f>IF(Table42526[[#This Row],[Rubrique]]="","",Table42526[[#This Row],[Qté]]*Table42526[[#This Row],[Prix unitaire]])</f>
        <v/>
      </c>
      <c r="DD30" s="43"/>
      <c r="DE30" s="43"/>
      <c r="DF30" s="43"/>
      <c r="DG30" s="43"/>
      <c r="DH30" s="43"/>
      <c r="DI30" s="128"/>
      <c r="DJ30" s="129" t="str">
        <f>IF(Table42527[[#This Row],[Rubrique]]="","",Table42527[[#This Row],[Qté]]*Table42527[[#This Row],[Prix unitaire]])</f>
        <v/>
      </c>
    </row>
    <row r="31" spans="1:114" x14ac:dyDescent="0.25">
      <c r="A31" s="186" t="str">
        <f>IF(Listes!A30="","",Listes!A30)</f>
        <v/>
      </c>
      <c r="B31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1" s="43"/>
      <c r="E31" s="43"/>
      <c r="F31" s="43"/>
      <c r="G31" s="43"/>
      <c r="H31" s="43"/>
      <c r="I31" s="128"/>
      <c r="J31" s="129" t="str">
        <f>IF(Table4[[#This Row],[Rubrique]]="","",Table4[[#This Row],[Qté]]*Table4[[#This Row],[Prix unitaire]])</f>
        <v/>
      </c>
      <c r="L31" s="43"/>
      <c r="M31" s="43"/>
      <c r="N31" s="43"/>
      <c r="O31" s="43"/>
      <c r="P31" s="43"/>
      <c r="Q31" s="128"/>
      <c r="R31" s="129" t="str">
        <f>IF(Table414[[#This Row],[Rubrique]]="","",Table414[[#This Row],[Qté]]*Table414[[#This Row],[Prix unitaire]])</f>
        <v/>
      </c>
      <c r="T31" s="43"/>
      <c r="U31" s="43"/>
      <c r="V31" s="43"/>
      <c r="W31" s="43"/>
      <c r="X31" s="43"/>
      <c r="Y31" s="128"/>
      <c r="Z31" s="129" t="str">
        <f>IF(Table415[[#This Row],[Rubrique]]="","",Table415[[#This Row],[Qté]]*Table415[[#This Row],[Prix unitaire]])</f>
        <v/>
      </c>
      <c r="AB31" s="43"/>
      <c r="AC31" s="43"/>
      <c r="AD31" s="43"/>
      <c r="AE31" s="43"/>
      <c r="AF31" s="43"/>
      <c r="AG31" s="128"/>
      <c r="AH31" s="129" t="str">
        <f>IF(Table416[[#This Row],[Rubrique]]="","",Table416[[#This Row],[Qté]]*Table416[[#This Row],[Prix unitaire]])</f>
        <v/>
      </c>
      <c r="AJ31" s="43"/>
      <c r="AK31" s="43"/>
      <c r="AL31" s="43"/>
      <c r="AM31" s="43"/>
      <c r="AN31" s="43"/>
      <c r="AO31" s="128"/>
      <c r="AP31" s="129" t="str">
        <f>IF(Table417[[#This Row],[Rubrique]]="","",Table417[[#This Row],[Qté]]*Table417[[#This Row],[Prix unitaire]])</f>
        <v/>
      </c>
      <c r="AR31" s="43"/>
      <c r="AS31" s="43"/>
      <c r="AT31" s="43"/>
      <c r="AU31" s="43"/>
      <c r="AV31" s="43"/>
      <c r="AW31" s="128"/>
      <c r="AX31" s="129" t="str">
        <f>IF(Table418[[#This Row],[Rubrique]]="","",Table418[[#This Row],[Qté]]*Table418[[#This Row],[Prix unitaire]])</f>
        <v/>
      </c>
      <c r="AZ31" s="43"/>
      <c r="BA31" s="43"/>
      <c r="BB31" s="43"/>
      <c r="BC31" s="43"/>
      <c r="BD31" s="43"/>
      <c r="BE31" s="128"/>
      <c r="BF31" s="129" t="str">
        <f>IF(Table419[[#This Row],[Rubrique]]="","",Table419[[#This Row],[Qté]]*Table419[[#This Row],[Prix unitaire]])</f>
        <v/>
      </c>
      <c r="BH31" s="43"/>
      <c r="BI31" s="43"/>
      <c r="BJ31" s="43"/>
      <c r="BK31" s="43"/>
      <c r="BL31" s="43"/>
      <c r="BM31" s="128"/>
      <c r="BN31" s="129" t="str">
        <f>IF(Table420[[#This Row],[Rubrique]]="","",Table420[[#This Row],[Qté]]*Table420[[#This Row],[Prix unitaire]])</f>
        <v/>
      </c>
      <c r="BP31" s="43"/>
      <c r="BQ31" s="43"/>
      <c r="BR31" s="43"/>
      <c r="BS31" s="43"/>
      <c r="BT31" s="43"/>
      <c r="BU31" s="128"/>
      <c r="BV31" s="129" t="str">
        <f>IF(Table421[[#This Row],[Rubrique]]="","",Table421[[#This Row],[Qté]]*Table421[[#This Row],[Prix unitaire]])</f>
        <v/>
      </c>
      <c r="BX31" s="43"/>
      <c r="BY31" s="43"/>
      <c r="BZ31" s="43"/>
      <c r="CA31" s="43"/>
      <c r="CB31" s="43"/>
      <c r="CC31" s="128"/>
      <c r="CD31" s="129" t="str">
        <f>IF(Table422[[#This Row],[Rubrique]]="","",Table422[[#This Row],[Qté]]*Table422[[#This Row],[Prix unitaire]])</f>
        <v/>
      </c>
      <c r="CF31" s="43"/>
      <c r="CG31" s="43"/>
      <c r="CH31" s="43"/>
      <c r="CI31" s="43"/>
      <c r="CJ31" s="43"/>
      <c r="CK31" s="128"/>
      <c r="CL31" s="129" t="str">
        <f>IF(Table424[[#This Row],[Rubrique]]="","",Table424[[#This Row],[Qté]]*Table424[[#This Row],[Prix unitaire]])</f>
        <v/>
      </c>
      <c r="CN31" s="43"/>
      <c r="CO31" s="43"/>
      <c r="CP31" s="43"/>
      <c r="CQ31" s="43"/>
      <c r="CR31" s="43"/>
      <c r="CS31" s="128"/>
      <c r="CT31" s="129" t="str">
        <f>IF(Table425[[#This Row],[Rubrique]]="","",Table425[[#This Row],[Qté]]*Table425[[#This Row],[Prix unitaire]])</f>
        <v/>
      </c>
      <c r="CV31" s="43"/>
      <c r="CW31" s="43"/>
      <c r="CX31" s="43"/>
      <c r="CY31" s="43"/>
      <c r="CZ31" s="43"/>
      <c r="DA31" s="128"/>
      <c r="DB31" s="129" t="str">
        <f>IF(Table42526[[#This Row],[Rubrique]]="","",Table42526[[#This Row],[Qté]]*Table42526[[#This Row],[Prix unitaire]])</f>
        <v/>
      </c>
      <c r="DD31" s="43"/>
      <c r="DE31" s="43"/>
      <c r="DF31" s="43"/>
      <c r="DG31" s="43"/>
      <c r="DH31" s="43"/>
      <c r="DI31" s="128"/>
      <c r="DJ31" s="129" t="str">
        <f>IF(Table42527[[#This Row],[Rubrique]]="","",Table42527[[#This Row],[Qté]]*Table42527[[#This Row],[Prix unitaire]])</f>
        <v/>
      </c>
    </row>
    <row r="32" spans="1:114" x14ac:dyDescent="0.25">
      <c r="A32" s="186" t="str">
        <f>IF(Listes!A31="","",Listes!A31)</f>
        <v/>
      </c>
      <c r="B3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2" s="43"/>
      <c r="E32" s="43"/>
      <c r="F32" s="43"/>
      <c r="G32" s="43"/>
      <c r="H32" s="43"/>
      <c r="I32" s="128"/>
      <c r="J32" s="129" t="str">
        <f>IF(Table4[[#This Row],[Rubrique]]="","",Table4[[#This Row],[Qté]]*Table4[[#This Row],[Prix unitaire]])</f>
        <v/>
      </c>
      <c r="L32" s="43"/>
      <c r="M32" s="43"/>
      <c r="N32" s="43"/>
      <c r="O32" s="43"/>
      <c r="P32" s="43"/>
      <c r="Q32" s="128"/>
      <c r="R32" s="129" t="str">
        <f>IF(Table414[[#This Row],[Rubrique]]="","",Table414[[#This Row],[Qté]]*Table414[[#This Row],[Prix unitaire]])</f>
        <v/>
      </c>
      <c r="T32" s="43"/>
      <c r="U32" s="43"/>
      <c r="V32" s="43"/>
      <c r="W32" s="43"/>
      <c r="X32" s="43"/>
      <c r="Y32" s="128"/>
      <c r="Z32" s="129" t="str">
        <f>IF(Table415[[#This Row],[Rubrique]]="","",Table415[[#This Row],[Qté]]*Table415[[#This Row],[Prix unitaire]])</f>
        <v/>
      </c>
      <c r="AB32" s="43"/>
      <c r="AC32" s="43"/>
      <c r="AD32" s="43"/>
      <c r="AE32" s="43"/>
      <c r="AF32" s="43"/>
      <c r="AG32" s="128"/>
      <c r="AH32" s="129" t="str">
        <f>IF(Table416[[#This Row],[Rubrique]]="","",Table416[[#This Row],[Qté]]*Table416[[#This Row],[Prix unitaire]])</f>
        <v/>
      </c>
      <c r="AJ32" s="43"/>
      <c r="AK32" s="43"/>
      <c r="AL32" s="43"/>
      <c r="AM32" s="43"/>
      <c r="AN32" s="43"/>
      <c r="AO32" s="128"/>
      <c r="AP32" s="129" t="str">
        <f>IF(Table417[[#This Row],[Rubrique]]="","",Table417[[#This Row],[Qté]]*Table417[[#This Row],[Prix unitaire]])</f>
        <v/>
      </c>
      <c r="AR32" s="43"/>
      <c r="AS32" s="43"/>
      <c r="AT32" s="43"/>
      <c r="AU32" s="43"/>
      <c r="AV32" s="43"/>
      <c r="AW32" s="128"/>
      <c r="AX32" s="129" t="str">
        <f>IF(Table418[[#This Row],[Rubrique]]="","",Table418[[#This Row],[Qté]]*Table418[[#This Row],[Prix unitaire]])</f>
        <v/>
      </c>
      <c r="AZ32" s="43"/>
      <c r="BA32" s="43"/>
      <c r="BB32" s="43"/>
      <c r="BC32" s="43"/>
      <c r="BD32" s="43"/>
      <c r="BE32" s="128"/>
      <c r="BF32" s="129" t="str">
        <f>IF(Table419[[#This Row],[Rubrique]]="","",Table419[[#This Row],[Qté]]*Table419[[#This Row],[Prix unitaire]])</f>
        <v/>
      </c>
      <c r="BH32" s="43"/>
      <c r="BI32" s="43"/>
      <c r="BJ32" s="43"/>
      <c r="BK32" s="43"/>
      <c r="BL32" s="43"/>
      <c r="BM32" s="128"/>
      <c r="BN32" s="129" t="str">
        <f>IF(Table420[[#This Row],[Rubrique]]="","",Table420[[#This Row],[Qté]]*Table420[[#This Row],[Prix unitaire]])</f>
        <v/>
      </c>
      <c r="BP32" s="43"/>
      <c r="BQ32" s="43"/>
      <c r="BR32" s="43"/>
      <c r="BS32" s="43"/>
      <c r="BT32" s="43"/>
      <c r="BU32" s="128"/>
      <c r="BV32" s="129" t="str">
        <f>IF(Table421[[#This Row],[Rubrique]]="","",Table421[[#This Row],[Qté]]*Table421[[#This Row],[Prix unitaire]])</f>
        <v/>
      </c>
      <c r="BX32" s="43"/>
      <c r="BY32" s="43"/>
      <c r="BZ32" s="43"/>
      <c r="CA32" s="43"/>
      <c r="CB32" s="43"/>
      <c r="CC32" s="128"/>
      <c r="CD32" s="129" t="str">
        <f>IF(Table422[[#This Row],[Rubrique]]="","",Table422[[#This Row],[Qté]]*Table422[[#This Row],[Prix unitaire]])</f>
        <v/>
      </c>
      <c r="CF32" s="43"/>
      <c r="CG32" s="43"/>
      <c r="CH32" s="43"/>
      <c r="CI32" s="43"/>
      <c r="CJ32" s="43"/>
      <c r="CK32" s="128"/>
      <c r="CL32" s="129" t="str">
        <f>IF(Table424[[#This Row],[Rubrique]]="","",Table424[[#This Row],[Qté]]*Table424[[#This Row],[Prix unitaire]])</f>
        <v/>
      </c>
      <c r="CN32" s="43"/>
      <c r="CO32" s="43"/>
      <c r="CP32" s="43"/>
      <c r="CQ32" s="43"/>
      <c r="CR32" s="43"/>
      <c r="CS32" s="128"/>
      <c r="CT32" s="129" t="str">
        <f>IF(Table425[[#This Row],[Rubrique]]="","",Table425[[#This Row],[Qté]]*Table425[[#This Row],[Prix unitaire]])</f>
        <v/>
      </c>
      <c r="CV32" s="43"/>
      <c r="CW32" s="43"/>
      <c r="CX32" s="43"/>
      <c r="CY32" s="43"/>
      <c r="CZ32" s="43"/>
      <c r="DA32" s="128"/>
      <c r="DB32" s="129" t="str">
        <f>IF(Table42526[[#This Row],[Rubrique]]="","",Table42526[[#This Row],[Qté]]*Table42526[[#This Row],[Prix unitaire]])</f>
        <v/>
      </c>
      <c r="DD32" s="43"/>
      <c r="DE32" s="43"/>
      <c r="DF32" s="43"/>
      <c r="DG32" s="43"/>
      <c r="DH32" s="43"/>
      <c r="DI32" s="128"/>
      <c r="DJ32" s="129" t="str">
        <f>IF(Table42527[[#This Row],[Rubrique]]="","",Table42527[[#This Row],[Qté]]*Table42527[[#This Row],[Prix unitaire]])</f>
        <v/>
      </c>
    </row>
    <row r="33" spans="1:114" x14ac:dyDescent="0.25">
      <c r="A33" s="186" t="str">
        <f>IF(Listes!A32="","",Listes!A32)</f>
        <v/>
      </c>
      <c r="B3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3" s="43"/>
      <c r="E33" s="43"/>
      <c r="F33" s="43"/>
      <c r="G33" s="43"/>
      <c r="H33" s="43"/>
      <c r="I33" s="128"/>
      <c r="J33" s="129" t="str">
        <f>IF(Table4[[#This Row],[Rubrique]]="","",Table4[[#This Row],[Qté]]*Table4[[#This Row],[Prix unitaire]])</f>
        <v/>
      </c>
      <c r="L33" s="43"/>
      <c r="M33" s="43"/>
      <c r="N33" s="43"/>
      <c r="O33" s="43"/>
      <c r="P33" s="43"/>
      <c r="Q33" s="128"/>
      <c r="R33" s="129" t="str">
        <f>IF(Table414[[#This Row],[Rubrique]]="","",Table414[[#This Row],[Qté]]*Table414[[#This Row],[Prix unitaire]])</f>
        <v/>
      </c>
      <c r="T33" s="43"/>
      <c r="U33" s="43"/>
      <c r="V33" s="43"/>
      <c r="W33" s="43"/>
      <c r="X33" s="43"/>
      <c r="Y33" s="128"/>
      <c r="Z33" s="129" t="str">
        <f>IF(Table415[[#This Row],[Rubrique]]="","",Table415[[#This Row],[Qté]]*Table415[[#This Row],[Prix unitaire]])</f>
        <v/>
      </c>
      <c r="AB33" s="43"/>
      <c r="AC33" s="43"/>
      <c r="AD33" s="43"/>
      <c r="AE33" s="43"/>
      <c r="AF33" s="43"/>
      <c r="AG33" s="128"/>
      <c r="AH33" s="129" t="str">
        <f>IF(Table416[[#This Row],[Rubrique]]="","",Table416[[#This Row],[Qté]]*Table416[[#This Row],[Prix unitaire]])</f>
        <v/>
      </c>
      <c r="AJ33" s="43"/>
      <c r="AK33" s="43"/>
      <c r="AL33" s="43"/>
      <c r="AM33" s="43"/>
      <c r="AN33" s="43"/>
      <c r="AO33" s="128"/>
      <c r="AP33" s="129" t="str">
        <f>IF(Table417[[#This Row],[Rubrique]]="","",Table417[[#This Row],[Qté]]*Table417[[#This Row],[Prix unitaire]])</f>
        <v/>
      </c>
      <c r="AR33" s="43"/>
      <c r="AS33" s="43"/>
      <c r="AT33" s="43"/>
      <c r="AU33" s="43"/>
      <c r="AV33" s="43"/>
      <c r="AW33" s="128"/>
      <c r="AX33" s="129" t="str">
        <f>IF(Table418[[#This Row],[Rubrique]]="","",Table418[[#This Row],[Qté]]*Table418[[#This Row],[Prix unitaire]])</f>
        <v/>
      </c>
      <c r="AZ33" s="43"/>
      <c r="BA33" s="43"/>
      <c r="BB33" s="43"/>
      <c r="BC33" s="43"/>
      <c r="BD33" s="43"/>
      <c r="BE33" s="128"/>
      <c r="BF33" s="129" t="str">
        <f>IF(Table419[[#This Row],[Rubrique]]="","",Table419[[#This Row],[Qté]]*Table419[[#This Row],[Prix unitaire]])</f>
        <v/>
      </c>
      <c r="BH33" s="43"/>
      <c r="BI33" s="43"/>
      <c r="BJ33" s="43"/>
      <c r="BK33" s="43"/>
      <c r="BL33" s="43"/>
      <c r="BM33" s="128"/>
      <c r="BN33" s="129" t="str">
        <f>IF(Table420[[#This Row],[Rubrique]]="","",Table420[[#This Row],[Qté]]*Table420[[#This Row],[Prix unitaire]])</f>
        <v/>
      </c>
      <c r="BP33" s="43"/>
      <c r="BQ33" s="43"/>
      <c r="BR33" s="43"/>
      <c r="BS33" s="43"/>
      <c r="BT33" s="43"/>
      <c r="BU33" s="128"/>
      <c r="BV33" s="129" t="str">
        <f>IF(Table421[[#This Row],[Rubrique]]="","",Table421[[#This Row],[Qté]]*Table421[[#This Row],[Prix unitaire]])</f>
        <v/>
      </c>
      <c r="BX33" s="43"/>
      <c r="BY33" s="43"/>
      <c r="BZ33" s="43"/>
      <c r="CA33" s="43"/>
      <c r="CB33" s="43"/>
      <c r="CC33" s="128"/>
      <c r="CD33" s="129" t="str">
        <f>IF(Table422[[#This Row],[Rubrique]]="","",Table422[[#This Row],[Qté]]*Table422[[#This Row],[Prix unitaire]])</f>
        <v/>
      </c>
      <c r="CF33" s="43"/>
      <c r="CG33" s="43"/>
      <c r="CH33" s="43"/>
      <c r="CI33" s="43"/>
      <c r="CJ33" s="43"/>
      <c r="CK33" s="128"/>
      <c r="CL33" s="129" t="str">
        <f>IF(Table424[[#This Row],[Rubrique]]="","",Table424[[#This Row],[Qté]]*Table424[[#This Row],[Prix unitaire]])</f>
        <v/>
      </c>
      <c r="CN33" s="43"/>
      <c r="CO33" s="43"/>
      <c r="CP33" s="43"/>
      <c r="CQ33" s="43"/>
      <c r="CR33" s="43"/>
      <c r="CS33" s="128"/>
      <c r="CT33" s="129" t="str">
        <f>IF(Table425[[#This Row],[Rubrique]]="","",Table425[[#This Row],[Qté]]*Table425[[#This Row],[Prix unitaire]])</f>
        <v/>
      </c>
      <c r="CV33" s="43"/>
      <c r="CW33" s="43"/>
      <c r="CX33" s="43"/>
      <c r="CY33" s="43"/>
      <c r="CZ33" s="43"/>
      <c r="DA33" s="128"/>
      <c r="DB33" s="129" t="str">
        <f>IF(Table42526[[#This Row],[Rubrique]]="","",Table42526[[#This Row],[Qté]]*Table42526[[#This Row],[Prix unitaire]])</f>
        <v/>
      </c>
      <c r="DD33" s="43"/>
      <c r="DE33" s="43"/>
      <c r="DF33" s="43"/>
      <c r="DG33" s="43"/>
      <c r="DH33" s="43"/>
      <c r="DI33" s="128"/>
      <c r="DJ33" s="129" t="str">
        <f>IF(Table42527[[#This Row],[Rubrique]]="","",Table42527[[#This Row],[Qté]]*Table42527[[#This Row],[Prix unitaire]])</f>
        <v/>
      </c>
    </row>
    <row r="34" spans="1:114" x14ac:dyDescent="0.25">
      <c r="A34" s="186" t="str">
        <f>IF(Listes!A33="","",Listes!A33)</f>
        <v/>
      </c>
      <c r="B3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4" s="43"/>
      <c r="E34" s="43"/>
      <c r="F34" s="43"/>
      <c r="G34" s="43"/>
      <c r="H34" s="43"/>
      <c r="I34" s="128"/>
      <c r="J34" s="129" t="str">
        <f>IF(Table4[[#This Row],[Rubrique]]="","",Table4[[#This Row],[Qté]]*Table4[[#This Row],[Prix unitaire]])</f>
        <v/>
      </c>
      <c r="L34" s="43"/>
      <c r="M34" s="43"/>
      <c r="N34" s="43"/>
      <c r="O34" s="43"/>
      <c r="P34" s="43"/>
      <c r="Q34" s="128"/>
      <c r="R34" s="129" t="str">
        <f>IF(Table414[[#This Row],[Rubrique]]="","",Table414[[#This Row],[Qté]]*Table414[[#This Row],[Prix unitaire]])</f>
        <v/>
      </c>
      <c r="T34" s="43"/>
      <c r="U34" s="43"/>
      <c r="V34" s="43"/>
      <c r="W34" s="43"/>
      <c r="X34" s="43"/>
      <c r="Y34" s="128"/>
      <c r="Z34" s="129" t="str">
        <f>IF(Table415[[#This Row],[Rubrique]]="","",Table415[[#This Row],[Qté]]*Table415[[#This Row],[Prix unitaire]])</f>
        <v/>
      </c>
      <c r="AB34" s="43"/>
      <c r="AC34" s="43"/>
      <c r="AD34" s="43"/>
      <c r="AE34" s="43"/>
      <c r="AF34" s="43"/>
      <c r="AG34" s="128"/>
      <c r="AH34" s="129" t="str">
        <f>IF(Table416[[#This Row],[Rubrique]]="","",Table416[[#This Row],[Qté]]*Table416[[#This Row],[Prix unitaire]])</f>
        <v/>
      </c>
      <c r="AJ34" s="43"/>
      <c r="AK34" s="43"/>
      <c r="AL34" s="43"/>
      <c r="AM34" s="43"/>
      <c r="AN34" s="43"/>
      <c r="AO34" s="128"/>
      <c r="AP34" s="129" t="str">
        <f>IF(Table417[[#This Row],[Rubrique]]="","",Table417[[#This Row],[Qté]]*Table417[[#This Row],[Prix unitaire]])</f>
        <v/>
      </c>
      <c r="AR34" s="43"/>
      <c r="AS34" s="43"/>
      <c r="AT34" s="43"/>
      <c r="AU34" s="43"/>
      <c r="AV34" s="43"/>
      <c r="AW34" s="128"/>
      <c r="AX34" s="129" t="str">
        <f>IF(Table418[[#This Row],[Rubrique]]="","",Table418[[#This Row],[Qté]]*Table418[[#This Row],[Prix unitaire]])</f>
        <v/>
      </c>
      <c r="AZ34" s="43"/>
      <c r="BA34" s="43"/>
      <c r="BB34" s="43"/>
      <c r="BC34" s="43"/>
      <c r="BD34" s="43"/>
      <c r="BE34" s="128"/>
      <c r="BF34" s="129" t="str">
        <f>IF(Table419[[#This Row],[Rubrique]]="","",Table419[[#This Row],[Qté]]*Table419[[#This Row],[Prix unitaire]])</f>
        <v/>
      </c>
      <c r="BH34" s="43"/>
      <c r="BI34" s="43"/>
      <c r="BJ34" s="43"/>
      <c r="BK34" s="43"/>
      <c r="BL34" s="43"/>
      <c r="BM34" s="128"/>
      <c r="BN34" s="129" t="str">
        <f>IF(Table420[[#This Row],[Rubrique]]="","",Table420[[#This Row],[Qté]]*Table420[[#This Row],[Prix unitaire]])</f>
        <v/>
      </c>
      <c r="BP34" s="43"/>
      <c r="BQ34" s="43"/>
      <c r="BR34" s="43"/>
      <c r="BS34" s="43"/>
      <c r="BT34" s="43"/>
      <c r="BU34" s="128"/>
      <c r="BV34" s="129" t="str">
        <f>IF(Table421[[#This Row],[Rubrique]]="","",Table421[[#This Row],[Qté]]*Table421[[#This Row],[Prix unitaire]])</f>
        <v/>
      </c>
      <c r="BX34" s="43"/>
      <c r="BY34" s="43"/>
      <c r="BZ34" s="43"/>
      <c r="CA34" s="43"/>
      <c r="CB34" s="43"/>
      <c r="CC34" s="128"/>
      <c r="CD34" s="129" t="str">
        <f>IF(Table422[[#This Row],[Rubrique]]="","",Table422[[#This Row],[Qté]]*Table422[[#This Row],[Prix unitaire]])</f>
        <v/>
      </c>
      <c r="CF34" s="43"/>
      <c r="CG34" s="43"/>
      <c r="CH34" s="43"/>
      <c r="CI34" s="43"/>
      <c r="CJ34" s="43"/>
      <c r="CK34" s="128"/>
      <c r="CL34" s="129" t="str">
        <f>IF(Table424[[#This Row],[Rubrique]]="","",Table424[[#This Row],[Qté]]*Table424[[#This Row],[Prix unitaire]])</f>
        <v/>
      </c>
      <c r="CN34" s="43"/>
      <c r="CO34" s="43"/>
      <c r="CP34" s="43"/>
      <c r="CQ34" s="43"/>
      <c r="CR34" s="43"/>
      <c r="CS34" s="128"/>
      <c r="CT34" s="129" t="str">
        <f>IF(Table425[[#This Row],[Rubrique]]="","",Table425[[#This Row],[Qté]]*Table425[[#This Row],[Prix unitaire]])</f>
        <v/>
      </c>
      <c r="CV34" s="43"/>
      <c r="CW34" s="43"/>
      <c r="CX34" s="43"/>
      <c r="CY34" s="43"/>
      <c r="CZ34" s="43"/>
      <c r="DA34" s="128"/>
      <c r="DB34" s="129" t="str">
        <f>IF(Table42526[[#This Row],[Rubrique]]="","",Table42526[[#This Row],[Qté]]*Table42526[[#This Row],[Prix unitaire]])</f>
        <v/>
      </c>
      <c r="DD34" s="43"/>
      <c r="DE34" s="43"/>
      <c r="DF34" s="43"/>
      <c r="DG34" s="43"/>
      <c r="DH34" s="43"/>
      <c r="DI34" s="128"/>
      <c r="DJ34" s="129" t="str">
        <f>IF(Table42527[[#This Row],[Rubrique]]="","",Table42527[[#This Row],[Qté]]*Table42527[[#This Row],[Prix unitaire]])</f>
        <v/>
      </c>
    </row>
    <row r="35" spans="1:114" x14ac:dyDescent="0.25">
      <c r="A35" s="186" t="str">
        <f>IF(Listes!A34="","",Listes!A34)</f>
        <v/>
      </c>
      <c r="B35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5" s="43"/>
      <c r="E35" s="43"/>
      <c r="F35" s="43"/>
      <c r="G35" s="43"/>
      <c r="H35" s="43"/>
      <c r="I35" s="128"/>
      <c r="J35" s="129" t="str">
        <f>IF(Table4[[#This Row],[Rubrique]]="","",Table4[[#This Row],[Qté]]*Table4[[#This Row],[Prix unitaire]])</f>
        <v/>
      </c>
      <c r="L35" s="43"/>
      <c r="M35" s="43"/>
      <c r="N35" s="43"/>
      <c r="O35" s="43"/>
      <c r="P35" s="43"/>
      <c r="Q35" s="128"/>
      <c r="R35" s="129" t="str">
        <f>IF(Table414[[#This Row],[Rubrique]]="","",Table414[[#This Row],[Qté]]*Table414[[#This Row],[Prix unitaire]])</f>
        <v/>
      </c>
      <c r="T35" s="43"/>
      <c r="U35" s="43"/>
      <c r="V35" s="43"/>
      <c r="W35" s="43"/>
      <c r="X35" s="43"/>
      <c r="Y35" s="128"/>
      <c r="Z35" s="129" t="str">
        <f>IF(Table415[[#This Row],[Rubrique]]="","",Table415[[#This Row],[Qté]]*Table415[[#This Row],[Prix unitaire]])</f>
        <v/>
      </c>
      <c r="AB35" s="43"/>
      <c r="AC35" s="43"/>
      <c r="AD35" s="43"/>
      <c r="AE35" s="43"/>
      <c r="AF35" s="43"/>
      <c r="AG35" s="128"/>
      <c r="AH35" s="129" t="str">
        <f>IF(Table416[[#This Row],[Rubrique]]="","",Table416[[#This Row],[Qté]]*Table416[[#This Row],[Prix unitaire]])</f>
        <v/>
      </c>
      <c r="AJ35" s="43"/>
      <c r="AK35" s="43"/>
      <c r="AL35" s="43"/>
      <c r="AM35" s="43"/>
      <c r="AN35" s="43"/>
      <c r="AO35" s="128"/>
      <c r="AP35" s="129" t="str">
        <f>IF(Table417[[#This Row],[Rubrique]]="","",Table417[[#This Row],[Qté]]*Table417[[#This Row],[Prix unitaire]])</f>
        <v/>
      </c>
      <c r="AR35" s="43"/>
      <c r="AS35" s="43"/>
      <c r="AT35" s="43"/>
      <c r="AU35" s="43"/>
      <c r="AV35" s="43"/>
      <c r="AW35" s="128"/>
      <c r="AX35" s="129" t="str">
        <f>IF(Table418[[#This Row],[Rubrique]]="","",Table418[[#This Row],[Qté]]*Table418[[#This Row],[Prix unitaire]])</f>
        <v/>
      </c>
      <c r="AZ35" s="43"/>
      <c r="BA35" s="43"/>
      <c r="BB35" s="43"/>
      <c r="BC35" s="43"/>
      <c r="BD35" s="43"/>
      <c r="BE35" s="128"/>
      <c r="BF35" s="129" t="str">
        <f>IF(Table419[[#This Row],[Rubrique]]="","",Table419[[#This Row],[Qté]]*Table419[[#This Row],[Prix unitaire]])</f>
        <v/>
      </c>
      <c r="BH35" s="43"/>
      <c r="BI35" s="43"/>
      <c r="BJ35" s="43"/>
      <c r="BK35" s="43"/>
      <c r="BL35" s="43"/>
      <c r="BM35" s="128"/>
      <c r="BN35" s="129" t="str">
        <f>IF(Table420[[#This Row],[Rubrique]]="","",Table420[[#This Row],[Qté]]*Table420[[#This Row],[Prix unitaire]])</f>
        <v/>
      </c>
      <c r="BP35" s="43"/>
      <c r="BQ35" s="43"/>
      <c r="BR35" s="43"/>
      <c r="BS35" s="43"/>
      <c r="BT35" s="43"/>
      <c r="BU35" s="128"/>
      <c r="BV35" s="129" t="str">
        <f>IF(Table421[[#This Row],[Rubrique]]="","",Table421[[#This Row],[Qté]]*Table421[[#This Row],[Prix unitaire]])</f>
        <v/>
      </c>
      <c r="BX35" s="43"/>
      <c r="BY35" s="43"/>
      <c r="BZ35" s="43"/>
      <c r="CA35" s="43"/>
      <c r="CB35" s="43"/>
      <c r="CC35" s="128"/>
      <c r="CD35" s="129" t="str">
        <f>IF(Table422[[#This Row],[Rubrique]]="","",Table422[[#This Row],[Qté]]*Table422[[#This Row],[Prix unitaire]])</f>
        <v/>
      </c>
      <c r="CF35" s="43"/>
      <c r="CG35" s="43"/>
      <c r="CH35" s="43"/>
      <c r="CI35" s="43"/>
      <c r="CJ35" s="43"/>
      <c r="CK35" s="128"/>
      <c r="CL35" s="129" t="str">
        <f>IF(Table424[[#This Row],[Rubrique]]="","",Table424[[#This Row],[Qté]]*Table424[[#This Row],[Prix unitaire]])</f>
        <v/>
      </c>
      <c r="CN35" s="43"/>
      <c r="CO35" s="43"/>
      <c r="CP35" s="43"/>
      <c r="CQ35" s="43"/>
      <c r="CR35" s="43"/>
      <c r="CS35" s="128"/>
      <c r="CT35" s="129" t="str">
        <f>IF(Table425[[#This Row],[Rubrique]]="","",Table425[[#This Row],[Qté]]*Table425[[#This Row],[Prix unitaire]])</f>
        <v/>
      </c>
      <c r="CV35" s="43"/>
      <c r="CW35" s="43"/>
      <c r="CX35" s="43"/>
      <c r="CY35" s="43"/>
      <c r="CZ35" s="43"/>
      <c r="DA35" s="128"/>
      <c r="DB35" s="129" t="str">
        <f>IF(Table42526[[#This Row],[Rubrique]]="","",Table42526[[#This Row],[Qté]]*Table42526[[#This Row],[Prix unitaire]])</f>
        <v/>
      </c>
      <c r="DD35" s="43"/>
      <c r="DE35" s="43"/>
      <c r="DF35" s="43"/>
      <c r="DG35" s="43"/>
      <c r="DH35" s="43"/>
      <c r="DI35" s="128"/>
      <c r="DJ35" s="129" t="str">
        <f>IF(Table42527[[#This Row],[Rubrique]]="","",Table42527[[#This Row],[Qté]]*Table42527[[#This Row],[Prix unitaire]])</f>
        <v/>
      </c>
    </row>
    <row r="36" spans="1:114" x14ac:dyDescent="0.25">
      <c r="A36" s="186" t="str">
        <f>IF(Listes!A35="","",Listes!A35)</f>
        <v/>
      </c>
      <c r="B3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6" s="43"/>
      <c r="E36" s="43"/>
      <c r="F36" s="43"/>
      <c r="G36" s="43"/>
      <c r="H36" s="43"/>
      <c r="I36" s="128"/>
      <c r="J36" s="129" t="str">
        <f>IF(Table4[[#This Row],[Rubrique]]="","",Table4[[#This Row],[Qté]]*Table4[[#This Row],[Prix unitaire]])</f>
        <v/>
      </c>
      <c r="L36" s="43"/>
      <c r="M36" s="43"/>
      <c r="N36" s="43"/>
      <c r="O36" s="43"/>
      <c r="P36" s="43"/>
      <c r="Q36" s="128"/>
      <c r="R36" s="129" t="str">
        <f>IF(Table414[[#This Row],[Rubrique]]="","",Table414[[#This Row],[Qté]]*Table414[[#This Row],[Prix unitaire]])</f>
        <v/>
      </c>
      <c r="T36" s="43"/>
      <c r="U36" s="43"/>
      <c r="V36" s="43"/>
      <c r="W36" s="43"/>
      <c r="X36" s="43"/>
      <c r="Y36" s="128"/>
      <c r="Z36" s="129" t="str">
        <f>IF(Table415[[#This Row],[Rubrique]]="","",Table415[[#This Row],[Qté]]*Table415[[#This Row],[Prix unitaire]])</f>
        <v/>
      </c>
      <c r="AB36" s="43"/>
      <c r="AC36" s="43"/>
      <c r="AD36" s="43"/>
      <c r="AE36" s="43"/>
      <c r="AF36" s="43"/>
      <c r="AG36" s="128"/>
      <c r="AH36" s="129" t="str">
        <f>IF(Table416[[#This Row],[Rubrique]]="","",Table416[[#This Row],[Qté]]*Table416[[#This Row],[Prix unitaire]])</f>
        <v/>
      </c>
      <c r="AJ36" s="43"/>
      <c r="AK36" s="43"/>
      <c r="AL36" s="43"/>
      <c r="AM36" s="43"/>
      <c r="AN36" s="43"/>
      <c r="AO36" s="128"/>
      <c r="AP36" s="129" t="str">
        <f>IF(Table417[[#This Row],[Rubrique]]="","",Table417[[#This Row],[Qté]]*Table417[[#This Row],[Prix unitaire]])</f>
        <v/>
      </c>
      <c r="AR36" s="43"/>
      <c r="AS36" s="43"/>
      <c r="AT36" s="43"/>
      <c r="AU36" s="43"/>
      <c r="AV36" s="43"/>
      <c r="AW36" s="128"/>
      <c r="AX36" s="129" t="str">
        <f>IF(Table418[[#This Row],[Rubrique]]="","",Table418[[#This Row],[Qté]]*Table418[[#This Row],[Prix unitaire]])</f>
        <v/>
      </c>
      <c r="AZ36" s="43"/>
      <c r="BA36" s="43"/>
      <c r="BB36" s="43"/>
      <c r="BC36" s="43"/>
      <c r="BD36" s="43"/>
      <c r="BE36" s="128"/>
      <c r="BF36" s="129" t="str">
        <f>IF(Table419[[#This Row],[Rubrique]]="","",Table419[[#This Row],[Qté]]*Table419[[#This Row],[Prix unitaire]])</f>
        <v/>
      </c>
      <c r="BH36" s="43"/>
      <c r="BI36" s="43"/>
      <c r="BJ36" s="43"/>
      <c r="BK36" s="43"/>
      <c r="BL36" s="43"/>
      <c r="BM36" s="128"/>
      <c r="BN36" s="129" t="str">
        <f>IF(Table420[[#This Row],[Rubrique]]="","",Table420[[#This Row],[Qté]]*Table420[[#This Row],[Prix unitaire]])</f>
        <v/>
      </c>
      <c r="BP36" s="43"/>
      <c r="BQ36" s="43"/>
      <c r="BR36" s="43"/>
      <c r="BS36" s="43"/>
      <c r="BT36" s="43"/>
      <c r="BU36" s="128"/>
      <c r="BV36" s="129" t="str">
        <f>IF(Table421[[#This Row],[Rubrique]]="","",Table421[[#This Row],[Qté]]*Table421[[#This Row],[Prix unitaire]])</f>
        <v/>
      </c>
      <c r="BX36" s="43"/>
      <c r="BY36" s="43"/>
      <c r="BZ36" s="43"/>
      <c r="CA36" s="43"/>
      <c r="CB36" s="43"/>
      <c r="CC36" s="128"/>
      <c r="CD36" s="129" t="str">
        <f>IF(Table422[[#This Row],[Rubrique]]="","",Table422[[#This Row],[Qté]]*Table422[[#This Row],[Prix unitaire]])</f>
        <v/>
      </c>
      <c r="CF36" s="43"/>
      <c r="CG36" s="43"/>
      <c r="CH36" s="43"/>
      <c r="CI36" s="43"/>
      <c r="CJ36" s="43"/>
      <c r="CK36" s="128"/>
      <c r="CL36" s="129" t="str">
        <f>IF(Table424[[#This Row],[Rubrique]]="","",Table424[[#This Row],[Qté]]*Table424[[#This Row],[Prix unitaire]])</f>
        <v/>
      </c>
      <c r="CN36" s="43"/>
      <c r="CO36" s="43"/>
      <c r="CP36" s="43"/>
      <c r="CQ36" s="43"/>
      <c r="CR36" s="43"/>
      <c r="CS36" s="128"/>
      <c r="CT36" s="129" t="str">
        <f>IF(Table425[[#This Row],[Rubrique]]="","",Table425[[#This Row],[Qté]]*Table425[[#This Row],[Prix unitaire]])</f>
        <v/>
      </c>
      <c r="CV36" s="43"/>
      <c r="CW36" s="43"/>
      <c r="CX36" s="43"/>
      <c r="CY36" s="43"/>
      <c r="CZ36" s="43"/>
      <c r="DA36" s="128"/>
      <c r="DB36" s="129" t="str">
        <f>IF(Table42526[[#This Row],[Rubrique]]="","",Table42526[[#This Row],[Qté]]*Table42526[[#This Row],[Prix unitaire]])</f>
        <v/>
      </c>
      <c r="DD36" s="43"/>
      <c r="DE36" s="43"/>
      <c r="DF36" s="43"/>
      <c r="DG36" s="43"/>
      <c r="DH36" s="43"/>
      <c r="DI36" s="128"/>
      <c r="DJ36" s="129" t="str">
        <f>IF(Table42527[[#This Row],[Rubrique]]="","",Table42527[[#This Row],[Qté]]*Table42527[[#This Row],[Prix unitaire]])</f>
        <v/>
      </c>
    </row>
    <row r="37" spans="1:114" x14ac:dyDescent="0.25">
      <c r="A37" s="186" t="str">
        <f>IF(Listes!A36="","",Listes!A36)</f>
        <v/>
      </c>
      <c r="B3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7" s="43"/>
      <c r="E37" s="43"/>
      <c r="F37" s="43"/>
      <c r="G37" s="43"/>
      <c r="H37" s="43"/>
      <c r="I37" s="128"/>
      <c r="J37" s="129" t="str">
        <f>IF(Table4[[#This Row],[Rubrique]]="","",Table4[[#This Row],[Qté]]*Table4[[#This Row],[Prix unitaire]])</f>
        <v/>
      </c>
      <c r="L37" s="43"/>
      <c r="M37" s="43"/>
      <c r="N37" s="43"/>
      <c r="O37" s="43"/>
      <c r="P37" s="43"/>
      <c r="Q37" s="128"/>
      <c r="R37" s="129" t="str">
        <f>IF(Table414[[#This Row],[Rubrique]]="","",Table414[[#This Row],[Qté]]*Table414[[#This Row],[Prix unitaire]])</f>
        <v/>
      </c>
      <c r="T37" s="43"/>
      <c r="U37" s="43"/>
      <c r="V37" s="43"/>
      <c r="W37" s="43"/>
      <c r="X37" s="43"/>
      <c r="Y37" s="128"/>
      <c r="Z37" s="129" t="str">
        <f>IF(Table415[[#This Row],[Rubrique]]="","",Table415[[#This Row],[Qté]]*Table415[[#This Row],[Prix unitaire]])</f>
        <v/>
      </c>
      <c r="AB37" s="43"/>
      <c r="AC37" s="43"/>
      <c r="AD37" s="43"/>
      <c r="AE37" s="43"/>
      <c r="AF37" s="43"/>
      <c r="AG37" s="128"/>
      <c r="AH37" s="129" t="str">
        <f>IF(Table416[[#This Row],[Rubrique]]="","",Table416[[#This Row],[Qté]]*Table416[[#This Row],[Prix unitaire]])</f>
        <v/>
      </c>
      <c r="AJ37" s="43"/>
      <c r="AK37" s="43"/>
      <c r="AL37" s="43"/>
      <c r="AM37" s="43"/>
      <c r="AN37" s="43"/>
      <c r="AO37" s="128"/>
      <c r="AP37" s="129" t="str">
        <f>IF(Table417[[#This Row],[Rubrique]]="","",Table417[[#This Row],[Qté]]*Table417[[#This Row],[Prix unitaire]])</f>
        <v/>
      </c>
      <c r="AR37" s="43"/>
      <c r="AS37" s="43"/>
      <c r="AT37" s="43"/>
      <c r="AU37" s="43"/>
      <c r="AV37" s="43"/>
      <c r="AW37" s="128"/>
      <c r="AX37" s="129" t="str">
        <f>IF(Table418[[#This Row],[Rubrique]]="","",Table418[[#This Row],[Qté]]*Table418[[#This Row],[Prix unitaire]])</f>
        <v/>
      </c>
      <c r="AZ37" s="43"/>
      <c r="BA37" s="43"/>
      <c r="BB37" s="43"/>
      <c r="BC37" s="43"/>
      <c r="BD37" s="43"/>
      <c r="BE37" s="128"/>
      <c r="BF37" s="129" t="str">
        <f>IF(Table419[[#This Row],[Rubrique]]="","",Table419[[#This Row],[Qté]]*Table419[[#This Row],[Prix unitaire]])</f>
        <v/>
      </c>
      <c r="BH37" s="43"/>
      <c r="BI37" s="43"/>
      <c r="BJ37" s="43"/>
      <c r="BK37" s="43"/>
      <c r="BL37" s="43"/>
      <c r="BM37" s="128"/>
      <c r="BN37" s="129" t="str">
        <f>IF(Table420[[#This Row],[Rubrique]]="","",Table420[[#This Row],[Qté]]*Table420[[#This Row],[Prix unitaire]])</f>
        <v/>
      </c>
      <c r="BP37" s="43"/>
      <c r="BQ37" s="43"/>
      <c r="BR37" s="43"/>
      <c r="BS37" s="43"/>
      <c r="BT37" s="43"/>
      <c r="BU37" s="128"/>
      <c r="BV37" s="129" t="str">
        <f>IF(Table421[[#This Row],[Rubrique]]="","",Table421[[#This Row],[Qté]]*Table421[[#This Row],[Prix unitaire]])</f>
        <v/>
      </c>
      <c r="BX37" s="43"/>
      <c r="BY37" s="43"/>
      <c r="BZ37" s="43"/>
      <c r="CA37" s="43"/>
      <c r="CB37" s="43"/>
      <c r="CC37" s="128"/>
      <c r="CD37" s="129" t="str">
        <f>IF(Table422[[#This Row],[Rubrique]]="","",Table422[[#This Row],[Qté]]*Table422[[#This Row],[Prix unitaire]])</f>
        <v/>
      </c>
      <c r="CF37" s="43"/>
      <c r="CG37" s="43"/>
      <c r="CH37" s="43"/>
      <c r="CI37" s="43"/>
      <c r="CJ37" s="43"/>
      <c r="CK37" s="128"/>
      <c r="CL37" s="129" t="str">
        <f>IF(Table424[[#This Row],[Rubrique]]="","",Table424[[#This Row],[Qté]]*Table424[[#This Row],[Prix unitaire]])</f>
        <v/>
      </c>
      <c r="CN37" s="43"/>
      <c r="CO37" s="43"/>
      <c r="CP37" s="43"/>
      <c r="CQ37" s="43"/>
      <c r="CR37" s="43"/>
      <c r="CS37" s="128"/>
      <c r="CT37" s="129" t="str">
        <f>IF(Table425[[#This Row],[Rubrique]]="","",Table425[[#This Row],[Qté]]*Table425[[#This Row],[Prix unitaire]])</f>
        <v/>
      </c>
      <c r="CV37" s="43"/>
      <c r="CW37" s="43"/>
      <c r="CX37" s="43"/>
      <c r="CY37" s="43"/>
      <c r="CZ37" s="43"/>
      <c r="DA37" s="128"/>
      <c r="DB37" s="129" t="str">
        <f>IF(Table42526[[#This Row],[Rubrique]]="","",Table42526[[#This Row],[Qté]]*Table42526[[#This Row],[Prix unitaire]])</f>
        <v/>
      </c>
      <c r="DD37" s="43"/>
      <c r="DE37" s="43"/>
      <c r="DF37" s="43"/>
      <c r="DG37" s="43"/>
      <c r="DH37" s="43"/>
      <c r="DI37" s="128"/>
      <c r="DJ37" s="129" t="str">
        <f>IF(Table42527[[#This Row],[Rubrique]]="","",Table42527[[#This Row],[Qté]]*Table42527[[#This Row],[Prix unitaire]])</f>
        <v/>
      </c>
    </row>
    <row r="38" spans="1:114" x14ac:dyDescent="0.25">
      <c r="A38" s="186" t="str">
        <f>IF(Listes!A37="","",Listes!A37)</f>
        <v/>
      </c>
      <c r="B3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8" s="43"/>
      <c r="E38" s="43"/>
      <c r="F38" s="43"/>
      <c r="G38" s="43"/>
      <c r="H38" s="43"/>
      <c r="I38" s="128"/>
      <c r="J38" s="129" t="str">
        <f>IF(Table4[[#This Row],[Rubrique]]="","",Table4[[#This Row],[Qté]]*Table4[[#This Row],[Prix unitaire]])</f>
        <v/>
      </c>
      <c r="L38" s="43"/>
      <c r="M38" s="43"/>
      <c r="N38" s="43"/>
      <c r="O38" s="43"/>
      <c r="P38" s="43"/>
      <c r="Q38" s="128"/>
      <c r="R38" s="129" t="str">
        <f>IF(Table414[[#This Row],[Rubrique]]="","",Table414[[#This Row],[Qté]]*Table414[[#This Row],[Prix unitaire]])</f>
        <v/>
      </c>
      <c r="T38" s="43"/>
      <c r="U38" s="43"/>
      <c r="V38" s="43"/>
      <c r="W38" s="43"/>
      <c r="X38" s="43"/>
      <c r="Y38" s="128"/>
      <c r="Z38" s="129" t="str">
        <f>IF(Table415[[#This Row],[Rubrique]]="","",Table415[[#This Row],[Qté]]*Table415[[#This Row],[Prix unitaire]])</f>
        <v/>
      </c>
      <c r="AB38" s="43"/>
      <c r="AC38" s="43"/>
      <c r="AD38" s="43"/>
      <c r="AE38" s="43"/>
      <c r="AF38" s="43"/>
      <c r="AG38" s="128"/>
      <c r="AH38" s="129" t="str">
        <f>IF(Table416[[#This Row],[Rubrique]]="","",Table416[[#This Row],[Qté]]*Table416[[#This Row],[Prix unitaire]])</f>
        <v/>
      </c>
      <c r="AJ38" s="43"/>
      <c r="AK38" s="43"/>
      <c r="AL38" s="43"/>
      <c r="AM38" s="43"/>
      <c r="AN38" s="43"/>
      <c r="AO38" s="128"/>
      <c r="AP38" s="129" t="str">
        <f>IF(Table417[[#This Row],[Rubrique]]="","",Table417[[#This Row],[Qté]]*Table417[[#This Row],[Prix unitaire]])</f>
        <v/>
      </c>
      <c r="AR38" s="43"/>
      <c r="AS38" s="43"/>
      <c r="AT38" s="43"/>
      <c r="AU38" s="43"/>
      <c r="AV38" s="43"/>
      <c r="AW38" s="128"/>
      <c r="AX38" s="129" t="str">
        <f>IF(Table418[[#This Row],[Rubrique]]="","",Table418[[#This Row],[Qté]]*Table418[[#This Row],[Prix unitaire]])</f>
        <v/>
      </c>
      <c r="AZ38" s="43"/>
      <c r="BA38" s="43"/>
      <c r="BB38" s="43"/>
      <c r="BC38" s="43"/>
      <c r="BD38" s="43"/>
      <c r="BE38" s="128"/>
      <c r="BF38" s="129" t="str">
        <f>IF(Table419[[#This Row],[Rubrique]]="","",Table419[[#This Row],[Qté]]*Table419[[#This Row],[Prix unitaire]])</f>
        <v/>
      </c>
      <c r="BH38" s="43"/>
      <c r="BI38" s="43"/>
      <c r="BJ38" s="43"/>
      <c r="BK38" s="43"/>
      <c r="BL38" s="43"/>
      <c r="BM38" s="128"/>
      <c r="BN38" s="129" t="str">
        <f>IF(Table420[[#This Row],[Rubrique]]="","",Table420[[#This Row],[Qté]]*Table420[[#This Row],[Prix unitaire]])</f>
        <v/>
      </c>
      <c r="BP38" s="43"/>
      <c r="BQ38" s="43"/>
      <c r="BR38" s="43"/>
      <c r="BS38" s="43"/>
      <c r="BT38" s="43"/>
      <c r="BU38" s="128"/>
      <c r="BV38" s="129" t="str">
        <f>IF(Table421[[#This Row],[Rubrique]]="","",Table421[[#This Row],[Qté]]*Table421[[#This Row],[Prix unitaire]])</f>
        <v/>
      </c>
      <c r="BX38" s="43"/>
      <c r="BY38" s="43"/>
      <c r="BZ38" s="43"/>
      <c r="CA38" s="43"/>
      <c r="CB38" s="43"/>
      <c r="CC38" s="128"/>
      <c r="CD38" s="129" t="str">
        <f>IF(Table422[[#This Row],[Rubrique]]="","",Table422[[#This Row],[Qté]]*Table422[[#This Row],[Prix unitaire]])</f>
        <v/>
      </c>
      <c r="CF38" s="43"/>
      <c r="CG38" s="43"/>
      <c r="CH38" s="43"/>
      <c r="CI38" s="43"/>
      <c r="CJ38" s="43"/>
      <c r="CK38" s="128"/>
      <c r="CL38" s="129" t="str">
        <f>IF(Table424[[#This Row],[Rubrique]]="","",Table424[[#This Row],[Qté]]*Table424[[#This Row],[Prix unitaire]])</f>
        <v/>
      </c>
      <c r="CN38" s="43"/>
      <c r="CO38" s="43"/>
      <c r="CP38" s="43"/>
      <c r="CQ38" s="43"/>
      <c r="CR38" s="43"/>
      <c r="CS38" s="128"/>
      <c r="CT38" s="129" t="str">
        <f>IF(Table425[[#This Row],[Rubrique]]="","",Table425[[#This Row],[Qté]]*Table425[[#This Row],[Prix unitaire]])</f>
        <v/>
      </c>
      <c r="CV38" s="43"/>
      <c r="CW38" s="43"/>
      <c r="CX38" s="43"/>
      <c r="CY38" s="43"/>
      <c r="CZ38" s="43"/>
      <c r="DA38" s="128"/>
      <c r="DB38" s="129" t="str">
        <f>IF(Table42526[[#This Row],[Rubrique]]="","",Table42526[[#This Row],[Qté]]*Table42526[[#This Row],[Prix unitaire]])</f>
        <v/>
      </c>
      <c r="DD38" s="43"/>
      <c r="DE38" s="43"/>
      <c r="DF38" s="43"/>
      <c r="DG38" s="43"/>
      <c r="DH38" s="43"/>
      <c r="DI38" s="128"/>
      <c r="DJ38" s="129" t="str">
        <f>IF(Table42527[[#This Row],[Rubrique]]="","",Table42527[[#This Row],[Qté]]*Table42527[[#This Row],[Prix unitaire]])</f>
        <v/>
      </c>
    </row>
    <row r="39" spans="1:114" x14ac:dyDescent="0.25">
      <c r="A39" s="186" t="str">
        <f>IF(Listes!A38="","",Listes!A38)</f>
        <v/>
      </c>
      <c r="B39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39" s="43"/>
      <c r="E39" s="43"/>
      <c r="F39" s="43"/>
      <c r="G39" s="43"/>
      <c r="H39" s="43"/>
      <c r="I39" s="128"/>
      <c r="J39" s="129" t="str">
        <f>IF(Table4[[#This Row],[Rubrique]]="","",Table4[[#This Row],[Qté]]*Table4[[#This Row],[Prix unitaire]])</f>
        <v/>
      </c>
      <c r="L39" s="43"/>
      <c r="M39" s="43"/>
      <c r="N39" s="43"/>
      <c r="O39" s="43"/>
      <c r="P39" s="43"/>
      <c r="Q39" s="128"/>
      <c r="R39" s="129" t="str">
        <f>IF(Table414[[#This Row],[Rubrique]]="","",Table414[[#This Row],[Qté]]*Table414[[#This Row],[Prix unitaire]])</f>
        <v/>
      </c>
      <c r="T39" s="43"/>
      <c r="U39" s="43"/>
      <c r="V39" s="43"/>
      <c r="W39" s="43"/>
      <c r="X39" s="43"/>
      <c r="Y39" s="128"/>
      <c r="Z39" s="129" t="str">
        <f>IF(Table415[[#This Row],[Rubrique]]="","",Table415[[#This Row],[Qté]]*Table415[[#This Row],[Prix unitaire]])</f>
        <v/>
      </c>
      <c r="AB39" s="43"/>
      <c r="AC39" s="43"/>
      <c r="AD39" s="43"/>
      <c r="AE39" s="43"/>
      <c r="AF39" s="43"/>
      <c r="AG39" s="128"/>
      <c r="AH39" s="129" t="str">
        <f>IF(Table416[[#This Row],[Rubrique]]="","",Table416[[#This Row],[Qté]]*Table416[[#This Row],[Prix unitaire]])</f>
        <v/>
      </c>
      <c r="AJ39" s="43"/>
      <c r="AK39" s="43"/>
      <c r="AL39" s="43"/>
      <c r="AM39" s="43"/>
      <c r="AN39" s="43"/>
      <c r="AO39" s="128"/>
      <c r="AP39" s="129" t="str">
        <f>IF(Table417[[#This Row],[Rubrique]]="","",Table417[[#This Row],[Qté]]*Table417[[#This Row],[Prix unitaire]])</f>
        <v/>
      </c>
      <c r="AR39" s="43"/>
      <c r="AS39" s="43"/>
      <c r="AT39" s="43"/>
      <c r="AU39" s="43"/>
      <c r="AV39" s="43"/>
      <c r="AW39" s="128"/>
      <c r="AX39" s="129" t="str">
        <f>IF(Table418[[#This Row],[Rubrique]]="","",Table418[[#This Row],[Qté]]*Table418[[#This Row],[Prix unitaire]])</f>
        <v/>
      </c>
      <c r="AZ39" s="43"/>
      <c r="BA39" s="43"/>
      <c r="BB39" s="43"/>
      <c r="BC39" s="43"/>
      <c r="BD39" s="43"/>
      <c r="BE39" s="128"/>
      <c r="BF39" s="129" t="str">
        <f>IF(Table419[[#This Row],[Rubrique]]="","",Table419[[#This Row],[Qté]]*Table419[[#This Row],[Prix unitaire]])</f>
        <v/>
      </c>
      <c r="BH39" s="43"/>
      <c r="BI39" s="43"/>
      <c r="BJ39" s="43"/>
      <c r="BK39" s="43"/>
      <c r="BL39" s="43"/>
      <c r="BM39" s="128"/>
      <c r="BN39" s="129" t="str">
        <f>IF(Table420[[#This Row],[Rubrique]]="","",Table420[[#This Row],[Qté]]*Table420[[#This Row],[Prix unitaire]])</f>
        <v/>
      </c>
      <c r="BP39" s="43"/>
      <c r="BQ39" s="43"/>
      <c r="BR39" s="43"/>
      <c r="BS39" s="43"/>
      <c r="BT39" s="43"/>
      <c r="BU39" s="128"/>
      <c r="BV39" s="129" t="str">
        <f>IF(Table421[[#This Row],[Rubrique]]="","",Table421[[#This Row],[Qté]]*Table421[[#This Row],[Prix unitaire]])</f>
        <v/>
      </c>
      <c r="BX39" s="43"/>
      <c r="BY39" s="43"/>
      <c r="BZ39" s="43"/>
      <c r="CA39" s="43"/>
      <c r="CB39" s="43"/>
      <c r="CC39" s="128"/>
      <c r="CD39" s="129" t="str">
        <f>IF(Table422[[#This Row],[Rubrique]]="","",Table422[[#This Row],[Qté]]*Table422[[#This Row],[Prix unitaire]])</f>
        <v/>
      </c>
      <c r="CF39" s="43"/>
      <c r="CG39" s="43"/>
      <c r="CH39" s="43"/>
      <c r="CI39" s="43"/>
      <c r="CJ39" s="43"/>
      <c r="CK39" s="128"/>
      <c r="CL39" s="129" t="str">
        <f>IF(Table424[[#This Row],[Rubrique]]="","",Table424[[#This Row],[Qté]]*Table424[[#This Row],[Prix unitaire]])</f>
        <v/>
      </c>
      <c r="CN39" s="43"/>
      <c r="CO39" s="43"/>
      <c r="CP39" s="43"/>
      <c r="CQ39" s="43"/>
      <c r="CR39" s="43"/>
      <c r="CS39" s="128"/>
      <c r="CT39" s="129" t="str">
        <f>IF(Table425[[#This Row],[Rubrique]]="","",Table425[[#This Row],[Qté]]*Table425[[#This Row],[Prix unitaire]])</f>
        <v/>
      </c>
      <c r="CV39" s="43"/>
      <c r="CW39" s="43"/>
      <c r="CX39" s="43"/>
      <c r="CY39" s="43"/>
      <c r="CZ39" s="43"/>
      <c r="DA39" s="128"/>
      <c r="DB39" s="129" t="str">
        <f>IF(Table42526[[#This Row],[Rubrique]]="","",Table42526[[#This Row],[Qté]]*Table42526[[#This Row],[Prix unitaire]])</f>
        <v/>
      </c>
      <c r="DD39" s="43"/>
      <c r="DE39" s="43"/>
      <c r="DF39" s="43"/>
      <c r="DG39" s="43"/>
      <c r="DH39" s="43"/>
      <c r="DI39" s="128"/>
      <c r="DJ39" s="129" t="str">
        <f>IF(Table42527[[#This Row],[Rubrique]]="","",Table42527[[#This Row],[Qté]]*Table42527[[#This Row],[Prix unitaire]])</f>
        <v/>
      </c>
    </row>
    <row r="40" spans="1:114" x14ac:dyDescent="0.25">
      <c r="A40" s="186" t="str">
        <f>IF(Listes!A39="","",Listes!A39)</f>
        <v/>
      </c>
      <c r="B40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0" s="43"/>
      <c r="E40" s="43"/>
      <c r="F40" s="43"/>
      <c r="G40" s="43"/>
      <c r="H40" s="43"/>
      <c r="I40" s="128"/>
      <c r="J40" s="129" t="str">
        <f>IF(Table4[[#This Row],[Rubrique]]="","",Table4[[#This Row],[Qté]]*Table4[[#This Row],[Prix unitaire]])</f>
        <v/>
      </c>
      <c r="L40" s="43"/>
      <c r="M40" s="43"/>
      <c r="N40" s="43"/>
      <c r="O40" s="43"/>
      <c r="P40" s="43"/>
      <c r="Q40" s="128"/>
      <c r="R40" s="129" t="str">
        <f>IF(Table414[[#This Row],[Rubrique]]="","",Table414[[#This Row],[Qté]]*Table414[[#This Row],[Prix unitaire]])</f>
        <v/>
      </c>
      <c r="T40" s="43"/>
      <c r="U40" s="43"/>
      <c r="V40" s="43"/>
      <c r="W40" s="43"/>
      <c r="X40" s="43"/>
      <c r="Y40" s="128"/>
      <c r="Z40" s="129" t="str">
        <f>IF(Table415[[#This Row],[Rubrique]]="","",Table415[[#This Row],[Qté]]*Table415[[#This Row],[Prix unitaire]])</f>
        <v/>
      </c>
      <c r="AB40" s="43"/>
      <c r="AC40" s="43"/>
      <c r="AD40" s="43"/>
      <c r="AE40" s="43"/>
      <c r="AF40" s="43"/>
      <c r="AG40" s="128"/>
      <c r="AH40" s="129" t="str">
        <f>IF(Table416[[#This Row],[Rubrique]]="","",Table416[[#This Row],[Qté]]*Table416[[#This Row],[Prix unitaire]])</f>
        <v/>
      </c>
      <c r="AJ40" s="43"/>
      <c r="AK40" s="43"/>
      <c r="AL40" s="43"/>
      <c r="AM40" s="43"/>
      <c r="AN40" s="43"/>
      <c r="AO40" s="128"/>
      <c r="AP40" s="129" t="str">
        <f>IF(Table417[[#This Row],[Rubrique]]="","",Table417[[#This Row],[Qté]]*Table417[[#This Row],[Prix unitaire]])</f>
        <v/>
      </c>
      <c r="AR40" s="43"/>
      <c r="AS40" s="43"/>
      <c r="AT40" s="43"/>
      <c r="AU40" s="43"/>
      <c r="AV40" s="43"/>
      <c r="AW40" s="128"/>
      <c r="AX40" s="129" t="str">
        <f>IF(Table418[[#This Row],[Rubrique]]="","",Table418[[#This Row],[Qté]]*Table418[[#This Row],[Prix unitaire]])</f>
        <v/>
      </c>
      <c r="AZ40" s="43"/>
      <c r="BA40" s="43"/>
      <c r="BB40" s="43"/>
      <c r="BC40" s="43"/>
      <c r="BD40" s="43"/>
      <c r="BE40" s="128"/>
      <c r="BF40" s="129" t="str">
        <f>IF(Table419[[#This Row],[Rubrique]]="","",Table419[[#This Row],[Qté]]*Table419[[#This Row],[Prix unitaire]])</f>
        <v/>
      </c>
      <c r="BH40" s="43"/>
      <c r="BI40" s="43"/>
      <c r="BJ40" s="43"/>
      <c r="BK40" s="43"/>
      <c r="BL40" s="43"/>
      <c r="BM40" s="128"/>
      <c r="BN40" s="129" t="str">
        <f>IF(Table420[[#This Row],[Rubrique]]="","",Table420[[#This Row],[Qté]]*Table420[[#This Row],[Prix unitaire]])</f>
        <v/>
      </c>
      <c r="BP40" s="43"/>
      <c r="BQ40" s="43"/>
      <c r="BR40" s="43"/>
      <c r="BS40" s="43"/>
      <c r="BT40" s="43"/>
      <c r="BU40" s="128"/>
      <c r="BV40" s="129" t="str">
        <f>IF(Table421[[#This Row],[Rubrique]]="","",Table421[[#This Row],[Qté]]*Table421[[#This Row],[Prix unitaire]])</f>
        <v/>
      </c>
      <c r="BX40" s="43"/>
      <c r="BY40" s="43"/>
      <c r="BZ40" s="43"/>
      <c r="CA40" s="43"/>
      <c r="CB40" s="43"/>
      <c r="CC40" s="128"/>
      <c r="CD40" s="129" t="str">
        <f>IF(Table422[[#This Row],[Rubrique]]="","",Table422[[#This Row],[Qté]]*Table422[[#This Row],[Prix unitaire]])</f>
        <v/>
      </c>
      <c r="CF40" s="43"/>
      <c r="CG40" s="43"/>
      <c r="CH40" s="43"/>
      <c r="CI40" s="43"/>
      <c r="CJ40" s="43"/>
      <c r="CK40" s="128"/>
      <c r="CL40" s="129" t="str">
        <f>IF(Table424[[#This Row],[Rubrique]]="","",Table424[[#This Row],[Qté]]*Table424[[#This Row],[Prix unitaire]])</f>
        <v/>
      </c>
      <c r="CN40" s="43"/>
      <c r="CO40" s="43"/>
      <c r="CP40" s="43"/>
      <c r="CQ40" s="43"/>
      <c r="CR40" s="43"/>
      <c r="CS40" s="128"/>
      <c r="CT40" s="129" t="str">
        <f>IF(Table425[[#This Row],[Rubrique]]="","",Table425[[#This Row],[Qté]]*Table425[[#This Row],[Prix unitaire]])</f>
        <v/>
      </c>
      <c r="CV40" s="43"/>
      <c r="CW40" s="43"/>
      <c r="CX40" s="43"/>
      <c r="CY40" s="43"/>
      <c r="CZ40" s="43"/>
      <c r="DA40" s="128"/>
      <c r="DB40" s="129" t="str">
        <f>IF(Table42526[[#This Row],[Rubrique]]="","",Table42526[[#This Row],[Qté]]*Table42526[[#This Row],[Prix unitaire]])</f>
        <v/>
      </c>
      <c r="DD40" s="43"/>
      <c r="DE40" s="43"/>
      <c r="DF40" s="43"/>
      <c r="DG40" s="43"/>
      <c r="DH40" s="43"/>
      <c r="DI40" s="128"/>
      <c r="DJ40" s="129" t="str">
        <f>IF(Table42527[[#This Row],[Rubrique]]="","",Table42527[[#This Row],[Qté]]*Table42527[[#This Row],[Prix unitaire]])</f>
        <v/>
      </c>
    </row>
    <row r="41" spans="1:114" x14ac:dyDescent="0.25">
      <c r="A41" s="186" t="str">
        <f>IF(Listes!A40="","",Listes!A40)</f>
        <v/>
      </c>
      <c r="B41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1" s="43"/>
      <c r="E41" s="43"/>
      <c r="F41" s="43"/>
      <c r="G41" s="43"/>
      <c r="H41" s="43"/>
      <c r="I41" s="128"/>
      <c r="J41" s="129" t="str">
        <f>IF(Table4[[#This Row],[Rubrique]]="","",Table4[[#This Row],[Qté]]*Table4[[#This Row],[Prix unitaire]])</f>
        <v/>
      </c>
      <c r="L41" s="43"/>
      <c r="M41" s="43"/>
      <c r="N41" s="43"/>
      <c r="O41" s="43"/>
      <c r="P41" s="43"/>
      <c r="Q41" s="128"/>
      <c r="R41" s="129" t="str">
        <f>IF(Table414[[#This Row],[Rubrique]]="","",Table414[[#This Row],[Qté]]*Table414[[#This Row],[Prix unitaire]])</f>
        <v/>
      </c>
      <c r="T41" s="43"/>
      <c r="U41" s="43"/>
      <c r="V41" s="43"/>
      <c r="W41" s="43"/>
      <c r="X41" s="43"/>
      <c r="Y41" s="128"/>
      <c r="Z41" s="129" t="str">
        <f>IF(Table415[[#This Row],[Rubrique]]="","",Table415[[#This Row],[Qté]]*Table415[[#This Row],[Prix unitaire]])</f>
        <v/>
      </c>
      <c r="AB41" s="43"/>
      <c r="AC41" s="43"/>
      <c r="AD41" s="43"/>
      <c r="AE41" s="43"/>
      <c r="AF41" s="43"/>
      <c r="AG41" s="128"/>
      <c r="AH41" s="129" t="str">
        <f>IF(Table416[[#This Row],[Rubrique]]="","",Table416[[#This Row],[Qté]]*Table416[[#This Row],[Prix unitaire]])</f>
        <v/>
      </c>
      <c r="AJ41" s="43"/>
      <c r="AK41" s="43"/>
      <c r="AL41" s="43"/>
      <c r="AM41" s="43"/>
      <c r="AN41" s="43"/>
      <c r="AO41" s="128"/>
      <c r="AP41" s="129" t="str">
        <f>IF(Table417[[#This Row],[Rubrique]]="","",Table417[[#This Row],[Qté]]*Table417[[#This Row],[Prix unitaire]])</f>
        <v/>
      </c>
      <c r="AR41" s="43"/>
      <c r="AS41" s="43"/>
      <c r="AT41" s="43"/>
      <c r="AU41" s="43"/>
      <c r="AV41" s="43"/>
      <c r="AW41" s="128"/>
      <c r="AX41" s="129" t="str">
        <f>IF(Table418[[#This Row],[Rubrique]]="","",Table418[[#This Row],[Qté]]*Table418[[#This Row],[Prix unitaire]])</f>
        <v/>
      </c>
      <c r="AZ41" s="43"/>
      <c r="BA41" s="43"/>
      <c r="BB41" s="43"/>
      <c r="BC41" s="43"/>
      <c r="BD41" s="43"/>
      <c r="BE41" s="128"/>
      <c r="BF41" s="129" t="str">
        <f>IF(Table419[[#This Row],[Rubrique]]="","",Table419[[#This Row],[Qté]]*Table419[[#This Row],[Prix unitaire]])</f>
        <v/>
      </c>
      <c r="BH41" s="43"/>
      <c r="BI41" s="43"/>
      <c r="BJ41" s="43"/>
      <c r="BK41" s="43"/>
      <c r="BL41" s="43"/>
      <c r="BM41" s="128"/>
      <c r="BN41" s="129" t="str">
        <f>IF(Table420[[#This Row],[Rubrique]]="","",Table420[[#This Row],[Qté]]*Table420[[#This Row],[Prix unitaire]])</f>
        <v/>
      </c>
      <c r="BP41" s="43"/>
      <c r="BQ41" s="43"/>
      <c r="BR41" s="43"/>
      <c r="BS41" s="43"/>
      <c r="BT41" s="43"/>
      <c r="BU41" s="128"/>
      <c r="BV41" s="129" t="str">
        <f>IF(Table421[[#This Row],[Rubrique]]="","",Table421[[#This Row],[Qté]]*Table421[[#This Row],[Prix unitaire]])</f>
        <v/>
      </c>
      <c r="BX41" s="43"/>
      <c r="BY41" s="43"/>
      <c r="BZ41" s="43"/>
      <c r="CA41" s="43"/>
      <c r="CB41" s="43"/>
      <c r="CC41" s="128"/>
      <c r="CD41" s="129" t="str">
        <f>IF(Table422[[#This Row],[Rubrique]]="","",Table422[[#This Row],[Qté]]*Table422[[#This Row],[Prix unitaire]])</f>
        <v/>
      </c>
      <c r="CF41" s="43"/>
      <c r="CG41" s="43"/>
      <c r="CH41" s="43"/>
      <c r="CI41" s="43"/>
      <c r="CJ41" s="43"/>
      <c r="CK41" s="128"/>
      <c r="CL41" s="129" t="str">
        <f>IF(Table424[[#This Row],[Rubrique]]="","",Table424[[#This Row],[Qté]]*Table424[[#This Row],[Prix unitaire]])</f>
        <v/>
      </c>
      <c r="CN41" s="43"/>
      <c r="CO41" s="43"/>
      <c r="CP41" s="43"/>
      <c r="CQ41" s="43"/>
      <c r="CR41" s="43"/>
      <c r="CS41" s="128"/>
      <c r="CT41" s="129" t="str">
        <f>IF(Table425[[#This Row],[Rubrique]]="","",Table425[[#This Row],[Qté]]*Table425[[#This Row],[Prix unitaire]])</f>
        <v/>
      </c>
      <c r="CV41" s="43"/>
      <c r="CW41" s="43"/>
      <c r="CX41" s="43"/>
      <c r="CY41" s="43"/>
      <c r="CZ41" s="43"/>
      <c r="DA41" s="128"/>
      <c r="DB41" s="129" t="str">
        <f>IF(Table42526[[#This Row],[Rubrique]]="","",Table42526[[#This Row],[Qté]]*Table42526[[#This Row],[Prix unitaire]])</f>
        <v/>
      </c>
      <c r="DD41" s="43"/>
      <c r="DE41" s="43"/>
      <c r="DF41" s="43"/>
      <c r="DG41" s="43"/>
      <c r="DH41" s="43"/>
      <c r="DI41" s="128"/>
      <c r="DJ41" s="129" t="str">
        <f>IF(Table42527[[#This Row],[Rubrique]]="","",Table42527[[#This Row],[Qté]]*Table42527[[#This Row],[Prix unitaire]])</f>
        <v/>
      </c>
    </row>
    <row r="42" spans="1:114" x14ac:dyDescent="0.25">
      <c r="A42" s="186" t="str">
        <f>IF(Listes!A41="","",Listes!A41)</f>
        <v/>
      </c>
      <c r="B4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2" s="43"/>
      <c r="E42" s="43"/>
      <c r="F42" s="43"/>
      <c r="G42" s="43"/>
      <c r="H42" s="43"/>
      <c r="I42" s="128"/>
      <c r="J42" s="129" t="str">
        <f>IF(Table4[[#This Row],[Rubrique]]="","",Table4[[#This Row],[Qté]]*Table4[[#This Row],[Prix unitaire]])</f>
        <v/>
      </c>
      <c r="L42" s="43"/>
      <c r="M42" s="43"/>
      <c r="N42" s="43"/>
      <c r="O42" s="43"/>
      <c r="P42" s="43"/>
      <c r="Q42" s="128"/>
      <c r="R42" s="129" t="str">
        <f>IF(Table414[[#This Row],[Rubrique]]="","",Table414[[#This Row],[Qté]]*Table414[[#This Row],[Prix unitaire]])</f>
        <v/>
      </c>
      <c r="T42" s="43"/>
      <c r="U42" s="43"/>
      <c r="V42" s="43"/>
      <c r="W42" s="43"/>
      <c r="X42" s="43"/>
      <c r="Y42" s="128"/>
      <c r="Z42" s="129" t="str">
        <f>IF(Table415[[#This Row],[Rubrique]]="","",Table415[[#This Row],[Qté]]*Table415[[#This Row],[Prix unitaire]])</f>
        <v/>
      </c>
      <c r="AB42" s="43"/>
      <c r="AC42" s="43"/>
      <c r="AD42" s="43"/>
      <c r="AE42" s="43"/>
      <c r="AF42" s="43"/>
      <c r="AG42" s="128"/>
      <c r="AH42" s="129" t="str">
        <f>IF(Table416[[#This Row],[Rubrique]]="","",Table416[[#This Row],[Qté]]*Table416[[#This Row],[Prix unitaire]])</f>
        <v/>
      </c>
      <c r="AJ42" s="43"/>
      <c r="AK42" s="43"/>
      <c r="AL42" s="43"/>
      <c r="AM42" s="43"/>
      <c r="AN42" s="43"/>
      <c r="AO42" s="128"/>
      <c r="AP42" s="129" t="str">
        <f>IF(Table417[[#This Row],[Rubrique]]="","",Table417[[#This Row],[Qté]]*Table417[[#This Row],[Prix unitaire]])</f>
        <v/>
      </c>
      <c r="AR42" s="43"/>
      <c r="AS42" s="43"/>
      <c r="AT42" s="43"/>
      <c r="AU42" s="43"/>
      <c r="AV42" s="43"/>
      <c r="AW42" s="128"/>
      <c r="AX42" s="129" t="str">
        <f>IF(Table418[[#This Row],[Rubrique]]="","",Table418[[#This Row],[Qté]]*Table418[[#This Row],[Prix unitaire]])</f>
        <v/>
      </c>
      <c r="AZ42" s="43"/>
      <c r="BA42" s="43"/>
      <c r="BB42" s="43"/>
      <c r="BC42" s="43"/>
      <c r="BD42" s="43"/>
      <c r="BE42" s="128"/>
      <c r="BF42" s="129" t="str">
        <f>IF(Table419[[#This Row],[Rubrique]]="","",Table419[[#This Row],[Qté]]*Table419[[#This Row],[Prix unitaire]])</f>
        <v/>
      </c>
      <c r="BH42" s="43"/>
      <c r="BI42" s="43"/>
      <c r="BJ42" s="43"/>
      <c r="BK42" s="43"/>
      <c r="BL42" s="43"/>
      <c r="BM42" s="128"/>
      <c r="BN42" s="129" t="str">
        <f>IF(Table420[[#This Row],[Rubrique]]="","",Table420[[#This Row],[Qté]]*Table420[[#This Row],[Prix unitaire]])</f>
        <v/>
      </c>
      <c r="BP42" s="43"/>
      <c r="BQ42" s="43"/>
      <c r="BR42" s="43"/>
      <c r="BS42" s="43"/>
      <c r="BT42" s="43"/>
      <c r="BU42" s="128"/>
      <c r="BV42" s="129" t="str">
        <f>IF(Table421[[#This Row],[Rubrique]]="","",Table421[[#This Row],[Qté]]*Table421[[#This Row],[Prix unitaire]])</f>
        <v/>
      </c>
      <c r="BX42" s="43"/>
      <c r="BY42" s="43"/>
      <c r="BZ42" s="43"/>
      <c r="CA42" s="43"/>
      <c r="CB42" s="43"/>
      <c r="CC42" s="128"/>
      <c r="CD42" s="129" t="str">
        <f>IF(Table422[[#This Row],[Rubrique]]="","",Table422[[#This Row],[Qté]]*Table422[[#This Row],[Prix unitaire]])</f>
        <v/>
      </c>
      <c r="CF42" s="43"/>
      <c r="CG42" s="43"/>
      <c r="CH42" s="43"/>
      <c r="CI42" s="43"/>
      <c r="CJ42" s="43"/>
      <c r="CK42" s="128"/>
      <c r="CL42" s="129" t="str">
        <f>IF(Table424[[#This Row],[Rubrique]]="","",Table424[[#This Row],[Qté]]*Table424[[#This Row],[Prix unitaire]])</f>
        <v/>
      </c>
      <c r="CN42" s="43"/>
      <c r="CO42" s="43"/>
      <c r="CP42" s="43"/>
      <c r="CQ42" s="43"/>
      <c r="CR42" s="43"/>
      <c r="CS42" s="128"/>
      <c r="CT42" s="129" t="str">
        <f>IF(Table425[[#This Row],[Rubrique]]="","",Table425[[#This Row],[Qté]]*Table425[[#This Row],[Prix unitaire]])</f>
        <v/>
      </c>
      <c r="CV42" s="43"/>
      <c r="CW42" s="43"/>
      <c r="CX42" s="43"/>
      <c r="CY42" s="43"/>
      <c r="CZ42" s="43"/>
      <c r="DA42" s="128"/>
      <c r="DB42" s="129" t="str">
        <f>IF(Table42526[[#This Row],[Rubrique]]="","",Table42526[[#This Row],[Qté]]*Table42526[[#This Row],[Prix unitaire]])</f>
        <v/>
      </c>
      <c r="DD42" s="43"/>
      <c r="DE42" s="43"/>
      <c r="DF42" s="43"/>
      <c r="DG42" s="43"/>
      <c r="DH42" s="43"/>
      <c r="DI42" s="128"/>
      <c r="DJ42" s="129" t="str">
        <f>IF(Table42527[[#This Row],[Rubrique]]="","",Table42527[[#This Row],[Qté]]*Table42527[[#This Row],[Prix unitaire]])</f>
        <v/>
      </c>
    </row>
    <row r="43" spans="1:114" x14ac:dyDescent="0.25">
      <c r="A43" s="186" t="str">
        <f>IF(Listes!A42="","",Listes!A42)</f>
        <v/>
      </c>
      <c r="B4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3" s="43"/>
      <c r="E43" s="43"/>
      <c r="F43" s="43"/>
      <c r="G43" s="43"/>
      <c r="H43" s="43"/>
      <c r="I43" s="128"/>
      <c r="J43" s="129" t="str">
        <f>IF(Table4[[#This Row],[Rubrique]]="","",Table4[[#This Row],[Qté]]*Table4[[#This Row],[Prix unitaire]])</f>
        <v/>
      </c>
      <c r="L43" s="43"/>
      <c r="M43" s="43"/>
      <c r="N43" s="43"/>
      <c r="O43" s="43"/>
      <c r="P43" s="43"/>
      <c r="Q43" s="128"/>
      <c r="R43" s="129" t="str">
        <f>IF(Table414[[#This Row],[Rubrique]]="","",Table414[[#This Row],[Qté]]*Table414[[#This Row],[Prix unitaire]])</f>
        <v/>
      </c>
      <c r="T43" s="43"/>
      <c r="U43" s="43"/>
      <c r="V43" s="43"/>
      <c r="W43" s="43"/>
      <c r="X43" s="43"/>
      <c r="Y43" s="128"/>
      <c r="Z43" s="129" t="str">
        <f>IF(Table415[[#This Row],[Rubrique]]="","",Table415[[#This Row],[Qté]]*Table415[[#This Row],[Prix unitaire]])</f>
        <v/>
      </c>
      <c r="AB43" s="43"/>
      <c r="AC43" s="43"/>
      <c r="AD43" s="43"/>
      <c r="AE43" s="43"/>
      <c r="AF43" s="43"/>
      <c r="AG43" s="128"/>
      <c r="AH43" s="129" t="str">
        <f>IF(Table416[[#This Row],[Rubrique]]="","",Table416[[#This Row],[Qté]]*Table416[[#This Row],[Prix unitaire]])</f>
        <v/>
      </c>
      <c r="AJ43" s="43"/>
      <c r="AK43" s="43"/>
      <c r="AL43" s="43"/>
      <c r="AM43" s="43"/>
      <c r="AN43" s="43"/>
      <c r="AO43" s="128"/>
      <c r="AP43" s="129" t="str">
        <f>IF(Table417[[#This Row],[Rubrique]]="","",Table417[[#This Row],[Qté]]*Table417[[#This Row],[Prix unitaire]])</f>
        <v/>
      </c>
      <c r="AR43" s="43"/>
      <c r="AS43" s="43"/>
      <c r="AT43" s="43"/>
      <c r="AU43" s="43"/>
      <c r="AV43" s="43"/>
      <c r="AW43" s="128"/>
      <c r="AX43" s="129" t="str">
        <f>IF(Table418[[#This Row],[Rubrique]]="","",Table418[[#This Row],[Qté]]*Table418[[#This Row],[Prix unitaire]])</f>
        <v/>
      </c>
      <c r="AZ43" s="43"/>
      <c r="BA43" s="43"/>
      <c r="BB43" s="43"/>
      <c r="BC43" s="43"/>
      <c r="BD43" s="43"/>
      <c r="BE43" s="128"/>
      <c r="BF43" s="129" t="str">
        <f>IF(Table419[[#This Row],[Rubrique]]="","",Table419[[#This Row],[Qté]]*Table419[[#This Row],[Prix unitaire]])</f>
        <v/>
      </c>
      <c r="BH43" s="43"/>
      <c r="BI43" s="43"/>
      <c r="BJ43" s="43"/>
      <c r="BK43" s="43"/>
      <c r="BL43" s="43"/>
      <c r="BM43" s="128"/>
      <c r="BN43" s="129" t="str">
        <f>IF(Table420[[#This Row],[Rubrique]]="","",Table420[[#This Row],[Qté]]*Table420[[#This Row],[Prix unitaire]])</f>
        <v/>
      </c>
      <c r="BP43" s="43"/>
      <c r="BQ43" s="43"/>
      <c r="BR43" s="43"/>
      <c r="BS43" s="43"/>
      <c r="BT43" s="43"/>
      <c r="BU43" s="128"/>
      <c r="BV43" s="129" t="str">
        <f>IF(Table421[[#This Row],[Rubrique]]="","",Table421[[#This Row],[Qté]]*Table421[[#This Row],[Prix unitaire]])</f>
        <v/>
      </c>
      <c r="BX43" s="43"/>
      <c r="BY43" s="43"/>
      <c r="BZ43" s="43"/>
      <c r="CA43" s="43"/>
      <c r="CB43" s="43"/>
      <c r="CC43" s="128"/>
      <c r="CD43" s="129" t="str">
        <f>IF(Table422[[#This Row],[Rubrique]]="","",Table422[[#This Row],[Qté]]*Table422[[#This Row],[Prix unitaire]])</f>
        <v/>
      </c>
      <c r="CF43" s="43"/>
      <c r="CG43" s="43"/>
      <c r="CH43" s="43"/>
      <c r="CI43" s="43"/>
      <c r="CJ43" s="43"/>
      <c r="CK43" s="128"/>
      <c r="CL43" s="129" t="str">
        <f>IF(Table424[[#This Row],[Rubrique]]="","",Table424[[#This Row],[Qté]]*Table424[[#This Row],[Prix unitaire]])</f>
        <v/>
      </c>
      <c r="CN43" s="43"/>
      <c r="CO43" s="43"/>
      <c r="CP43" s="43"/>
      <c r="CQ43" s="43"/>
      <c r="CR43" s="43"/>
      <c r="CS43" s="128"/>
      <c r="CT43" s="129" t="str">
        <f>IF(Table425[[#This Row],[Rubrique]]="","",Table425[[#This Row],[Qté]]*Table425[[#This Row],[Prix unitaire]])</f>
        <v/>
      </c>
      <c r="CV43" s="43"/>
      <c r="CW43" s="43"/>
      <c r="CX43" s="43"/>
      <c r="CY43" s="43"/>
      <c r="CZ43" s="43"/>
      <c r="DA43" s="128"/>
      <c r="DB43" s="129" t="str">
        <f>IF(Table42526[[#This Row],[Rubrique]]="","",Table42526[[#This Row],[Qté]]*Table42526[[#This Row],[Prix unitaire]])</f>
        <v/>
      </c>
      <c r="DD43" s="43"/>
      <c r="DE43" s="43"/>
      <c r="DF43" s="43"/>
      <c r="DG43" s="43"/>
      <c r="DH43" s="43"/>
      <c r="DI43" s="128"/>
      <c r="DJ43" s="129" t="str">
        <f>IF(Table42527[[#This Row],[Rubrique]]="","",Table42527[[#This Row],[Qté]]*Table42527[[#This Row],[Prix unitaire]])</f>
        <v/>
      </c>
    </row>
    <row r="44" spans="1:114" x14ac:dyDescent="0.25">
      <c r="A44" s="186" t="str">
        <f>IF(Listes!A43="","",Listes!A43)</f>
        <v/>
      </c>
      <c r="B4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4" s="43"/>
      <c r="E44" s="43"/>
      <c r="F44" s="43"/>
      <c r="G44" s="43"/>
      <c r="H44" s="43"/>
      <c r="I44" s="128"/>
      <c r="J44" s="129" t="str">
        <f>IF(Table4[[#This Row],[Rubrique]]="","",Table4[[#This Row],[Qté]]*Table4[[#This Row],[Prix unitaire]])</f>
        <v/>
      </c>
      <c r="L44" s="43"/>
      <c r="M44" s="43"/>
      <c r="N44" s="43"/>
      <c r="O44" s="43"/>
      <c r="P44" s="43"/>
      <c r="Q44" s="128"/>
      <c r="R44" s="129" t="str">
        <f>IF(Table414[[#This Row],[Rubrique]]="","",Table414[[#This Row],[Qté]]*Table414[[#This Row],[Prix unitaire]])</f>
        <v/>
      </c>
      <c r="T44" s="43"/>
      <c r="U44" s="43"/>
      <c r="V44" s="43"/>
      <c r="W44" s="43"/>
      <c r="X44" s="43"/>
      <c r="Y44" s="128"/>
      <c r="Z44" s="129" t="str">
        <f>IF(Table415[[#This Row],[Rubrique]]="","",Table415[[#This Row],[Qté]]*Table415[[#This Row],[Prix unitaire]])</f>
        <v/>
      </c>
      <c r="AB44" s="43"/>
      <c r="AC44" s="43"/>
      <c r="AD44" s="43"/>
      <c r="AE44" s="43"/>
      <c r="AF44" s="43"/>
      <c r="AG44" s="128"/>
      <c r="AH44" s="129" t="str">
        <f>IF(Table416[[#This Row],[Rubrique]]="","",Table416[[#This Row],[Qté]]*Table416[[#This Row],[Prix unitaire]])</f>
        <v/>
      </c>
      <c r="AJ44" s="43"/>
      <c r="AK44" s="43"/>
      <c r="AL44" s="43"/>
      <c r="AM44" s="43"/>
      <c r="AN44" s="43"/>
      <c r="AO44" s="128"/>
      <c r="AP44" s="129" t="str">
        <f>IF(Table417[[#This Row],[Rubrique]]="","",Table417[[#This Row],[Qté]]*Table417[[#This Row],[Prix unitaire]])</f>
        <v/>
      </c>
      <c r="AR44" s="43"/>
      <c r="AS44" s="43"/>
      <c r="AT44" s="43"/>
      <c r="AU44" s="43"/>
      <c r="AV44" s="43"/>
      <c r="AW44" s="128"/>
      <c r="AX44" s="129" t="str">
        <f>IF(Table418[[#This Row],[Rubrique]]="","",Table418[[#This Row],[Qté]]*Table418[[#This Row],[Prix unitaire]])</f>
        <v/>
      </c>
      <c r="AZ44" s="43"/>
      <c r="BA44" s="43"/>
      <c r="BB44" s="43"/>
      <c r="BC44" s="43"/>
      <c r="BD44" s="43"/>
      <c r="BE44" s="128"/>
      <c r="BF44" s="129" t="str">
        <f>IF(Table419[[#This Row],[Rubrique]]="","",Table419[[#This Row],[Qté]]*Table419[[#This Row],[Prix unitaire]])</f>
        <v/>
      </c>
      <c r="BH44" s="43"/>
      <c r="BI44" s="43"/>
      <c r="BJ44" s="43"/>
      <c r="BK44" s="43"/>
      <c r="BL44" s="43"/>
      <c r="BM44" s="128"/>
      <c r="BN44" s="129" t="str">
        <f>IF(Table420[[#This Row],[Rubrique]]="","",Table420[[#This Row],[Qté]]*Table420[[#This Row],[Prix unitaire]])</f>
        <v/>
      </c>
      <c r="BP44" s="43"/>
      <c r="BQ44" s="43"/>
      <c r="BR44" s="43"/>
      <c r="BS44" s="43"/>
      <c r="BT44" s="43"/>
      <c r="BU44" s="128"/>
      <c r="BV44" s="129" t="str">
        <f>IF(Table421[[#This Row],[Rubrique]]="","",Table421[[#This Row],[Qté]]*Table421[[#This Row],[Prix unitaire]])</f>
        <v/>
      </c>
      <c r="BX44" s="43"/>
      <c r="BY44" s="43"/>
      <c r="BZ44" s="43"/>
      <c r="CA44" s="43"/>
      <c r="CB44" s="43"/>
      <c r="CC44" s="128"/>
      <c r="CD44" s="129" t="str">
        <f>IF(Table422[[#This Row],[Rubrique]]="","",Table422[[#This Row],[Qté]]*Table422[[#This Row],[Prix unitaire]])</f>
        <v/>
      </c>
      <c r="CF44" s="43"/>
      <c r="CG44" s="43"/>
      <c r="CH44" s="43"/>
      <c r="CI44" s="43"/>
      <c r="CJ44" s="43"/>
      <c r="CK44" s="128"/>
      <c r="CL44" s="129" t="str">
        <f>IF(Table424[[#This Row],[Rubrique]]="","",Table424[[#This Row],[Qté]]*Table424[[#This Row],[Prix unitaire]])</f>
        <v/>
      </c>
      <c r="CN44" s="43"/>
      <c r="CO44" s="43"/>
      <c r="CP44" s="43"/>
      <c r="CQ44" s="43"/>
      <c r="CR44" s="43"/>
      <c r="CS44" s="128"/>
      <c r="CT44" s="129" t="str">
        <f>IF(Table425[[#This Row],[Rubrique]]="","",Table425[[#This Row],[Qté]]*Table425[[#This Row],[Prix unitaire]])</f>
        <v/>
      </c>
      <c r="CV44" s="43"/>
      <c r="CW44" s="43"/>
      <c r="CX44" s="43"/>
      <c r="CY44" s="43"/>
      <c r="CZ44" s="43"/>
      <c r="DA44" s="128"/>
      <c r="DB44" s="129" t="str">
        <f>IF(Table42526[[#This Row],[Rubrique]]="","",Table42526[[#This Row],[Qté]]*Table42526[[#This Row],[Prix unitaire]])</f>
        <v/>
      </c>
      <c r="DD44" s="43"/>
      <c r="DE44" s="43"/>
      <c r="DF44" s="43"/>
      <c r="DG44" s="43"/>
      <c r="DH44" s="43"/>
      <c r="DI44" s="128"/>
      <c r="DJ44" s="129" t="str">
        <f>IF(Table42527[[#This Row],[Rubrique]]="","",Table42527[[#This Row],[Qté]]*Table42527[[#This Row],[Prix unitaire]])</f>
        <v/>
      </c>
    </row>
    <row r="45" spans="1:114" x14ac:dyDescent="0.25">
      <c r="A45" s="186" t="str">
        <f>IF(Listes!A44="","",Listes!A44)</f>
        <v/>
      </c>
      <c r="B45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5" s="43"/>
      <c r="E45" s="43"/>
      <c r="F45" s="43"/>
      <c r="G45" s="43"/>
      <c r="H45" s="43"/>
      <c r="I45" s="128"/>
      <c r="J45" s="129" t="str">
        <f>IF(Table4[[#This Row],[Rubrique]]="","",Table4[[#This Row],[Qté]]*Table4[[#This Row],[Prix unitaire]])</f>
        <v/>
      </c>
      <c r="L45" s="43"/>
      <c r="M45" s="43"/>
      <c r="N45" s="43"/>
      <c r="O45" s="43"/>
      <c r="P45" s="43"/>
      <c r="Q45" s="128"/>
      <c r="R45" s="129" t="str">
        <f>IF(Table414[[#This Row],[Rubrique]]="","",Table414[[#This Row],[Qté]]*Table414[[#This Row],[Prix unitaire]])</f>
        <v/>
      </c>
      <c r="T45" s="43"/>
      <c r="U45" s="43"/>
      <c r="V45" s="43"/>
      <c r="W45" s="43"/>
      <c r="X45" s="43"/>
      <c r="Y45" s="128"/>
      <c r="Z45" s="129" t="str">
        <f>IF(Table415[[#This Row],[Rubrique]]="","",Table415[[#This Row],[Qté]]*Table415[[#This Row],[Prix unitaire]])</f>
        <v/>
      </c>
      <c r="AB45" s="43"/>
      <c r="AC45" s="43"/>
      <c r="AD45" s="43"/>
      <c r="AE45" s="43"/>
      <c r="AF45" s="43"/>
      <c r="AG45" s="128"/>
      <c r="AH45" s="129" t="str">
        <f>IF(Table416[[#This Row],[Rubrique]]="","",Table416[[#This Row],[Qté]]*Table416[[#This Row],[Prix unitaire]])</f>
        <v/>
      </c>
      <c r="AJ45" s="43"/>
      <c r="AK45" s="43"/>
      <c r="AL45" s="43"/>
      <c r="AM45" s="43"/>
      <c r="AN45" s="43"/>
      <c r="AO45" s="128"/>
      <c r="AP45" s="129" t="str">
        <f>IF(Table417[[#This Row],[Rubrique]]="","",Table417[[#This Row],[Qté]]*Table417[[#This Row],[Prix unitaire]])</f>
        <v/>
      </c>
      <c r="AR45" s="43"/>
      <c r="AS45" s="43"/>
      <c r="AT45" s="43"/>
      <c r="AU45" s="43"/>
      <c r="AV45" s="43"/>
      <c r="AW45" s="128"/>
      <c r="AX45" s="129" t="str">
        <f>IF(Table418[[#This Row],[Rubrique]]="","",Table418[[#This Row],[Qté]]*Table418[[#This Row],[Prix unitaire]])</f>
        <v/>
      </c>
      <c r="AZ45" s="43"/>
      <c r="BA45" s="43"/>
      <c r="BB45" s="43"/>
      <c r="BC45" s="43"/>
      <c r="BD45" s="43"/>
      <c r="BE45" s="128"/>
      <c r="BF45" s="129" t="str">
        <f>IF(Table419[[#This Row],[Rubrique]]="","",Table419[[#This Row],[Qté]]*Table419[[#This Row],[Prix unitaire]])</f>
        <v/>
      </c>
      <c r="BH45" s="43"/>
      <c r="BI45" s="43"/>
      <c r="BJ45" s="43"/>
      <c r="BK45" s="43"/>
      <c r="BL45" s="43"/>
      <c r="BM45" s="128"/>
      <c r="BN45" s="129" t="str">
        <f>IF(Table420[[#This Row],[Rubrique]]="","",Table420[[#This Row],[Qté]]*Table420[[#This Row],[Prix unitaire]])</f>
        <v/>
      </c>
      <c r="BP45" s="43"/>
      <c r="BQ45" s="43"/>
      <c r="BR45" s="43"/>
      <c r="BS45" s="43"/>
      <c r="BT45" s="43"/>
      <c r="BU45" s="128"/>
      <c r="BV45" s="129" t="str">
        <f>IF(Table421[[#This Row],[Rubrique]]="","",Table421[[#This Row],[Qté]]*Table421[[#This Row],[Prix unitaire]])</f>
        <v/>
      </c>
      <c r="BX45" s="43"/>
      <c r="BY45" s="43"/>
      <c r="BZ45" s="43"/>
      <c r="CA45" s="43"/>
      <c r="CB45" s="43"/>
      <c r="CC45" s="128"/>
      <c r="CD45" s="129" t="str">
        <f>IF(Table422[[#This Row],[Rubrique]]="","",Table422[[#This Row],[Qté]]*Table422[[#This Row],[Prix unitaire]])</f>
        <v/>
      </c>
      <c r="CF45" s="43"/>
      <c r="CG45" s="43"/>
      <c r="CH45" s="43"/>
      <c r="CI45" s="43"/>
      <c r="CJ45" s="43"/>
      <c r="CK45" s="128"/>
      <c r="CL45" s="129" t="str">
        <f>IF(Table424[[#This Row],[Rubrique]]="","",Table424[[#This Row],[Qté]]*Table424[[#This Row],[Prix unitaire]])</f>
        <v/>
      </c>
      <c r="CN45" s="43"/>
      <c r="CO45" s="43"/>
      <c r="CP45" s="43"/>
      <c r="CQ45" s="43"/>
      <c r="CR45" s="43"/>
      <c r="CS45" s="128"/>
      <c r="CT45" s="129" t="str">
        <f>IF(Table425[[#This Row],[Rubrique]]="","",Table425[[#This Row],[Qté]]*Table425[[#This Row],[Prix unitaire]])</f>
        <v/>
      </c>
      <c r="CV45" s="43"/>
      <c r="CW45" s="43"/>
      <c r="CX45" s="43"/>
      <c r="CY45" s="43"/>
      <c r="CZ45" s="43"/>
      <c r="DA45" s="128"/>
      <c r="DB45" s="129" t="str">
        <f>IF(Table42526[[#This Row],[Rubrique]]="","",Table42526[[#This Row],[Qté]]*Table42526[[#This Row],[Prix unitaire]])</f>
        <v/>
      </c>
      <c r="DD45" s="43"/>
      <c r="DE45" s="43"/>
      <c r="DF45" s="43"/>
      <c r="DG45" s="43"/>
      <c r="DH45" s="43"/>
      <c r="DI45" s="128"/>
      <c r="DJ45" s="129" t="str">
        <f>IF(Table42527[[#This Row],[Rubrique]]="","",Table42527[[#This Row],[Qté]]*Table42527[[#This Row],[Prix unitaire]])</f>
        <v/>
      </c>
    </row>
    <row r="46" spans="1:114" x14ac:dyDescent="0.25">
      <c r="A46" s="186" t="str">
        <f>IF(Listes!A45="","",Listes!A45)</f>
        <v/>
      </c>
      <c r="B4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6" s="43"/>
      <c r="E46" s="43"/>
      <c r="F46" s="43"/>
      <c r="G46" s="43"/>
      <c r="H46" s="43"/>
      <c r="I46" s="128"/>
      <c r="J46" s="129" t="str">
        <f>IF(Table4[[#This Row],[Rubrique]]="","",Table4[[#This Row],[Qté]]*Table4[[#This Row],[Prix unitaire]])</f>
        <v/>
      </c>
      <c r="L46" s="43"/>
      <c r="M46" s="43"/>
      <c r="N46" s="43"/>
      <c r="O46" s="43"/>
      <c r="P46" s="43"/>
      <c r="Q46" s="128"/>
      <c r="R46" s="129" t="str">
        <f>IF(Table414[[#This Row],[Rubrique]]="","",Table414[[#This Row],[Qté]]*Table414[[#This Row],[Prix unitaire]])</f>
        <v/>
      </c>
      <c r="T46" s="43"/>
      <c r="U46" s="43"/>
      <c r="V46" s="43"/>
      <c r="W46" s="43"/>
      <c r="X46" s="43"/>
      <c r="Y46" s="128"/>
      <c r="Z46" s="129" t="str">
        <f>IF(Table415[[#This Row],[Rubrique]]="","",Table415[[#This Row],[Qté]]*Table415[[#This Row],[Prix unitaire]])</f>
        <v/>
      </c>
      <c r="AB46" s="43"/>
      <c r="AC46" s="43"/>
      <c r="AD46" s="43"/>
      <c r="AE46" s="43"/>
      <c r="AF46" s="43"/>
      <c r="AG46" s="128"/>
      <c r="AH46" s="129" t="str">
        <f>IF(Table416[[#This Row],[Rubrique]]="","",Table416[[#This Row],[Qté]]*Table416[[#This Row],[Prix unitaire]])</f>
        <v/>
      </c>
      <c r="AJ46" s="43"/>
      <c r="AK46" s="43"/>
      <c r="AL46" s="43"/>
      <c r="AM46" s="43"/>
      <c r="AN46" s="43"/>
      <c r="AO46" s="128"/>
      <c r="AP46" s="129" t="str">
        <f>IF(Table417[[#This Row],[Rubrique]]="","",Table417[[#This Row],[Qté]]*Table417[[#This Row],[Prix unitaire]])</f>
        <v/>
      </c>
      <c r="AR46" s="43"/>
      <c r="AS46" s="43"/>
      <c r="AT46" s="43"/>
      <c r="AU46" s="43"/>
      <c r="AV46" s="43"/>
      <c r="AW46" s="128"/>
      <c r="AX46" s="129" t="str">
        <f>IF(Table418[[#This Row],[Rubrique]]="","",Table418[[#This Row],[Qté]]*Table418[[#This Row],[Prix unitaire]])</f>
        <v/>
      </c>
      <c r="AZ46" s="43"/>
      <c r="BA46" s="43"/>
      <c r="BB46" s="43"/>
      <c r="BC46" s="43"/>
      <c r="BD46" s="43"/>
      <c r="BE46" s="128"/>
      <c r="BF46" s="129" t="str">
        <f>IF(Table419[[#This Row],[Rubrique]]="","",Table419[[#This Row],[Qté]]*Table419[[#This Row],[Prix unitaire]])</f>
        <v/>
      </c>
      <c r="BH46" s="43"/>
      <c r="BI46" s="43"/>
      <c r="BJ46" s="43"/>
      <c r="BK46" s="43"/>
      <c r="BL46" s="43"/>
      <c r="BM46" s="128"/>
      <c r="BN46" s="129" t="str">
        <f>IF(Table420[[#This Row],[Rubrique]]="","",Table420[[#This Row],[Qté]]*Table420[[#This Row],[Prix unitaire]])</f>
        <v/>
      </c>
      <c r="BP46" s="43"/>
      <c r="BQ46" s="43"/>
      <c r="BR46" s="43"/>
      <c r="BS46" s="43"/>
      <c r="BT46" s="43"/>
      <c r="BU46" s="128"/>
      <c r="BV46" s="129" t="str">
        <f>IF(Table421[[#This Row],[Rubrique]]="","",Table421[[#This Row],[Qté]]*Table421[[#This Row],[Prix unitaire]])</f>
        <v/>
      </c>
      <c r="BX46" s="43"/>
      <c r="BY46" s="43"/>
      <c r="BZ46" s="43"/>
      <c r="CA46" s="43"/>
      <c r="CB46" s="43"/>
      <c r="CC46" s="128"/>
      <c r="CD46" s="129" t="str">
        <f>IF(Table422[[#This Row],[Rubrique]]="","",Table422[[#This Row],[Qté]]*Table422[[#This Row],[Prix unitaire]])</f>
        <v/>
      </c>
      <c r="CF46" s="43"/>
      <c r="CG46" s="43"/>
      <c r="CH46" s="43"/>
      <c r="CI46" s="43"/>
      <c r="CJ46" s="43"/>
      <c r="CK46" s="128"/>
      <c r="CL46" s="129" t="str">
        <f>IF(Table424[[#This Row],[Rubrique]]="","",Table424[[#This Row],[Qté]]*Table424[[#This Row],[Prix unitaire]])</f>
        <v/>
      </c>
      <c r="CN46" s="43"/>
      <c r="CO46" s="43"/>
      <c r="CP46" s="43"/>
      <c r="CQ46" s="43"/>
      <c r="CR46" s="43"/>
      <c r="CS46" s="128"/>
      <c r="CT46" s="129" t="str">
        <f>IF(Table425[[#This Row],[Rubrique]]="","",Table425[[#This Row],[Qté]]*Table425[[#This Row],[Prix unitaire]])</f>
        <v/>
      </c>
      <c r="CV46" s="43"/>
      <c r="CW46" s="43"/>
      <c r="CX46" s="43"/>
      <c r="CY46" s="43"/>
      <c r="CZ46" s="43"/>
      <c r="DA46" s="128"/>
      <c r="DB46" s="129" t="str">
        <f>IF(Table42526[[#This Row],[Rubrique]]="","",Table42526[[#This Row],[Qté]]*Table42526[[#This Row],[Prix unitaire]])</f>
        <v/>
      </c>
      <c r="DD46" s="43"/>
      <c r="DE46" s="43"/>
      <c r="DF46" s="43"/>
      <c r="DG46" s="43"/>
      <c r="DH46" s="43"/>
      <c r="DI46" s="128"/>
      <c r="DJ46" s="129" t="str">
        <f>IF(Table42527[[#This Row],[Rubrique]]="","",Table42527[[#This Row],[Qté]]*Table42527[[#This Row],[Prix unitaire]])</f>
        <v/>
      </c>
    </row>
    <row r="47" spans="1:114" x14ac:dyDescent="0.25">
      <c r="A47" s="186" t="str">
        <f>IF(Listes!A46="","",Listes!A46)</f>
        <v/>
      </c>
      <c r="B4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7" s="43"/>
      <c r="E47" s="43"/>
      <c r="F47" s="43"/>
      <c r="G47" s="43"/>
      <c r="H47" s="43"/>
      <c r="I47" s="128"/>
      <c r="J47" s="129" t="str">
        <f>IF(Table4[[#This Row],[Rubrique]]="","",Table4[[#This Row],[Qté]]*Table4[[#This Row],[Prix unitaire]])</f>
        <v/>
      </c>
      <c r="L47" s="43"/>
      <c r="M47" s="43"/>
      <c r="N47" s="43"/>
      <c r="O47" s="43"/>
      <c r="P47" s="43"/>
      <c r="Q47" s="128"/>
      <c r="R47" s="129" t="str">
        <f>IF(Table414[[#This Row],[Rubrique]]="","",Table414[[#This Row],[Qté]]*Table414[[#This Row],[Prix unitaire]])</f>
        <v/>
      </c>
      <c r="T47" s="43"/>
      <c r="U47" s="43"/>
      <c r="V47" s="43"/>
      <c r="W47" s="43"/>
      <c r="X47" s="43"/>
      <c r="Y47" s="128"/>
      <c r="Z47" s="129" t="str">
        <f>IF(Table415[[#This Row],[Rubrique]]="","",Table415[[#This Row],[Qté]]*Table415[[#This Row],[Prix unitaire]])</f>
        <v/>
      </c>
      <c r="AB47" s="43"/>
      <c r="AC47" s="43"/>
      <c r="AD47" s="43"/>
      <c r="AE47" s="43"/>
      <c r="AF47" s="43"/>
      <c r="AG47" s="128"/>
      <c r="AH47" s="129" t="str">
        <f>IF(Table416[[#This Row],[Rubrique]]="","",Table416[[#This Row],[Qté]]*Table416[[#This Row],[Prix unitaire]])</f>
        <v/>
      </c>
      <c r="AJ47" s="43"/>
      <c r="AK47" s="43"/>
      <c r="AL47" s="43"/>
      <c r="AM47" s="43"/>
      <c r="AN47" s="43"/>
      <c r="AO47" s="128"/>
      <c r="AP47" s="129" t="str">
        <f>IF(Table417[[#This Row],[Rubrique]]="","",Table417[[#This Row],[Qté]]*Table417[[#This Row],[Prix unitaire]])</f>
        <v/>
      </c>
      <c r="AR47" s="43"/>
      <c r="AS47" s="43"/>
      <c r="AT47" s="43"/>
      <c r="AU47" s="43"/>
      <c r="AV47" s="43"/>
      <c r="AW47" s="128"/>
      <c r="AX47" s="129" t="str">
        <f>IF(Table418[[#This Row],[Rubrique]]="","",Table418[[#This Row],[Qté]]*Table418[[#This Row],[Prix unitaire]])</f>
        <v/>
      </c>
      <c r="AZ47" s="43"/>
      <c r="BA47" s="43"/>
      <c r="BB47" s="43"/>
      <c r="BC47" s="43"/>
      <c r="BD47" s="43"/>
      <c r="BE47" s="128"/>
      <c r="BF47" s="129" t="str">
        <f>IF(Table419[[#This Row],[Rubrique]]="","",Table419[[#This Row],[Qté]]*Table419[[#This Row],[Prix unitaire]])</f>
        <v/>
      </c>
      <c r="BH47" s="43"/>
      <c r="BI47" s="43"/>
      <c r="BJ47" s="43"/>
      <c r="BK47" s="43"/>
      <c r="BL47" s="43"/>
      <c r="BM47" s="128"/>
      <c r="BN47" s="129" t="str">
        <f>IF(Table420[[#This Row],[Rubrique]]="","",Table420[[#This Row],[Qté]]*Table420[[#This Row],[Prix unitaire]])</f>
        <v/>
      </c>
      <c r="BP47" s="43"/>
      <c r="BQ47" s="43"/>
      <c r="BR47" s="43"/>
      <c r="BS47" s="43"/>
      <c r="BT47" s="43"/>
      <c r="BU47" s="128"/>
      <c r="BV47" s="129" t="str">
        <f>IF(Table421[[#This Row],[Rubrique]]="","",Table421[[#This Row],[Qté]]*Table421[[#This Row],[Prix unitaire]])</f>
        <v/>
      </c>
      <c r="BX47" s="43"/>
      <c r="BY47" s="43"/>
      <c r="BZ47" s="43"/>
      <c r="CA47" s="43"/>
      <c r="CB47" s="43"/>
      <c r="CC47" s="128"/>
      <c r="CD47" s="129" t="str">
        <f>IF(Table422[[#This Row],[Rubrique]]="","",Table422[[#This Row],[Qté]]*Table422[[#This Row],[Prix unitaire]])</f>
        <v/>
      </c>
      <c r="CF47" s="43"/>
      <c r="CG47" s="43"/>
      <c r="CH47" s="43"/>
      <c r="CI47" s="43"/>
      <c r="CJ47" s="43"/>
      <c r="CK47" s="128"/>
      <c r="CL47" s="129" t="str">
        <f>IF(Table424[[#This Row],[Rubrique]]="","",Table424[[#This Row],[Qté]]*Table424[[#This Row],[Prix unitaire]])</f>
        <v/>
      </c>
      <c r="CN47" s="43"/>
      <c r="CO47" s="43"/>
      <c r="CP47" s="43"/>
      <c r="CQ47" s="43"/>
      <c r="CR47" s="43"/>
      <c r="CS47" s="128"/>
      <c r="CT47" s="129" t="str">
        <f>IF(Table425[[#This Row],[Rubrique]]="","",Table425[[#This Row],[Qté]]*Table425[[#This Row],[Prix unitaire]])</f>
        <v/>
      </c>
      <c r="CV47" s="43"/>
      <c r="CW47" s="43"/>
      <c r="CX47" s="43"/>
      <c r="CY47" s="43"/>
      <c r="CZ47" s="43"/>
      <c r="DA47" s="128"/>
      <c r="DB47" s="129" t="str">
        <f>IF(Table42526[[#This Row],[Rubrique]]="","",Table42526[[#This Row],[Qté]]*Table42526[[#This Row],[Prix unitaire]])</f>
        <v/>
      </c>
      <c r="DD47" s="43"/>
      <c r="DE47" s="43"/>
      <c r="DF47" s="43"/>
      <c r="DG47" s="43"/>
      <c r="DH47" s="43"/>
      <c r="DI47" s="128"/>
      <c r="DJ47" s="129" t="str">
        <f>IF(Table42527[[#This Row],[Rubrique]]="","",Table42527[[#This Row],[Qté]]*Table42527[[#This Row],[Prix unitaire]])</f>
        <v/>
      </c>
    </row>
    <row r="48" spans="1:114" x14ac:dyDescent="0.25">
      <c r="A48" s="186" t="str">
        <f>IF(Listes!A47="","",Listes!A47)</f>
        <v/>
      </c>
      <c r="B4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8" s="43"/>
      <c r="E48" s="43"/>
      <c r="F48" s="43"/>
      <c r="G48" s="43"/>
      <c r="H48" s="43"/>
      <c r="I48" s="128"/>
      <c r="J48" s="129" t="str">
        <f>IF(Table4[[#This Row],[Rubrique]]="","",Table4[[#This Row],[Qté]]*Table4[[#This Row],[Prix unitaire]])</f>
        <v/>
      </c>
      <c r="L48" s="43"/>
      <c r="M48" s="43"/>
      <c r="N48" s="43"/>
      <c r="O48" s="43"/>
      <c r="P48" s="43"/>
      <c r="Q48" s="128"/>
      <c r="R48" s="129" t="str">
        <f>IF(Table414[[#This Row],[Rubrique]]="","",Table414[[#This Row],[Qté]]*Table414[[#This Row],[Prix unitaire]])</f>
        <v/>
      </c>
      <c r="T48" s="43"/>
      <c r="U48" s="43"/>
      <c r="V48" s="43"/>
      <c r="W48" s="43"/>
      <c r="X48" s="43"/>
      <c r="Y48" s="128"/>
      <c r="Z48" s="129" t="str">
        <f>IF(Table415[[#This Row],[Rubrique]]="","",Table415[[#This Row],[Qté]]*Table415[[#This Row],[Prix unitaire]])</f>
        <v/>
      </c>
      <c r="AB48" s="43"/>
      <c r="AC48" s="43"/>
      <c r="AD48" s="43"/>
      <c r="AE48" s="43"/>
      <c r="AF48" s="43"/>
      <c r="AG48" s="128"/>
      <c r="AH48" s="129" t="str">
        <f>IF(Table416[[#This Row],[Rubrique]]="","",Table416[[#This Row],[Qté]]*Table416[[#This Row],[Prix unitaire]])</f>
        <v/>
      </c>
      <c r="AJ48" s="43"/>
      <c r="AK48" s="43"/>
      <c r="AL48" s="43"/>
      <c r="AM48" s="43"/>
      <c r="AN48" s="43"/>
      <c r="AO48" s="128"/>
      <c r="AP48" s="129" t="str">
        <f>IF(Table417[[#This Row],[Rubrique]]="","",Table417[[#This Row],[Qté]]*Table417[[#This Row],[Prix unitaire]])</f>
        <v/>
      </c>
      <c r="AR48" s="43"/>
      <c r="AS48" s="43"/>
      <c r="AT48" s="43"/>
      <c r="AU48" s="43"/>
      <c r="AV48" s="43"/>
      <c r="AW48" s="128"/>
      <c r="AX48" s="129" t="str">
        <f>IF(Table418[[#This Row],[Rubrique]]="","",Table418[[#This Row],[Qté]]*Table418[[#This Row],[Prix unitaire]])</f>
        <v/>
      </c>
      <c r="AZ48" s="43"/>
      <c r="BA48" s="43"/>
      <c r="BB48" s="43"/>
      <c r="BC48" s="43"/>
      <c r="BD48" s="43"/>
      <c r="BE48" s="128"/>
      <c r="BF48" s="129" t="str">
        <f>IF(Table419[[#This Row],[Rubrique]]="","",Table419[[#This Row],[Qté]]*Table419[[#This Row],[Prix unitaire]])</f>
        <v/>
      </c>
      <c r="BH48" s="43"/>
      <c r="BI48" s="43"/>
      <c r="BJ48" s="43"/>
      <c r="BK48" s="43"/>
      <c r="BL48" s="43"/>
      <c r="BM48" s="128"/>
      <c r="BN48" s="129" t="str">
        <f>IF(Table420[[#This Row],[Rubrique]]="","",Table420[[#This Row],[Qté]]*Table420[[#This Row],[Prix unitaire]])</f>
        <v/>
      </c>
      <c r="BP48" s="43"/>
      <c r="BQ48" s="43"/>
      <c r="BR48" s="43"/>
      <c r="BS48" s="43"/>
      <c r="BT48" s="43"/>
      <c r="BU48" s="128"/>
      <c r="BV48" s="129" t="str">
        <f>IF(Table421[[#This Row],[Rubrique]]="","",Table421[[#This Row],[Qté]]*Table421[[#This Row],[Prix unitaire]])</f>
        <v/>
      </c>
      <c r="BX48" s="43"/>
      <c r="BY48" s="43"/>
      <c r="BZ48" s="43"/>
      <c r="CA48" s="43"/>
      <c r="CB48" s="43"/>
      <c r="CC48" s="128"/>
      <c r="CD48" s="129" t="str">
        <f>IF(Table422[[#This Row],[Rubrique]]="","",Table422[[#This Row],[Qté]]*Table422[[#This Row],[Prix unitaire]])</f>
        <v/>
      </c>
      <c r="CF48" s="43"/>
      <c r="CG48" s="43"/>
      <c r="CH48" s="43"/>
      <c r="CI48" s="43"/>
      <c r="CJ48" s="43"/>
      <c r="CK48" s="128"/>
      <c r="CL48" s="129" t="str">
        <f>IF(Table424[[#This Row],[Rubrique]]="","",Table424[[#This Row],[Qté]]*Table424[[#This Row],[Prix unitaire]])</f>
        <v/>
      </c>
      <c r="CN48" s="43"/>
      <c r="CO48" s="43"/>
      <c r="CP48" s="43"/>
      <c r="CQ48" s="43"/>
      <c r="CR48" s="43"/>
      <c r="CS48" s="128"/>
      <c r="CT48" s="129" t="str">
        <f>IF(Table425[[#This Row],[Rubrique]]="","",Table425[[#This Row],[Qté]]*Table425[[#This Row],[Prix unitaire]])</f>
        <v/>
      </c>
      <c r="CV48" s="43"/>
      <c r="CW48" s="43"/>
      <c r="CX48" s="43"/>
      <c r="CY48" s="43"/>
      <c r="CZ48" s="43"/>
      <c r="DA48" s="128"/>
      <c r="DB48" s="129" t="str">
        <f>IF(Table42526[[#This Row],[Rubrique]]="","",Table42526[[#This Row],[Qté]]*Table42526[[#This Row],[Prix unitaire]])</f>
        <v/>
      </c>
      <c r="DD48" s="43"/>
      <c r="DE48" s="43"/>
      <c r="DF48" s="43"/>
      <c r="DG48" s="43"/>
      <c r="DH48" s="43"/>
      <c r="DI48" s="128"/>
      <c r="DJ48" s="129" t="str">
        <f>IF(Table42527[[#This Row],[Rubrique]]="","",Table42527[[#This Row],[Qté]]*Table42527[[#This Row],[Prix unitaire]])</f>
        <v/>
      </c>
    </row>
    <row r="49" spans="1:114" x14ac:dyDescent="0.25">
      <c r="A49" s="186" t="str">
        <f>IF(Listes!A48="","",Listes!A48)</f>
        <v/>
      </c>
      <c r="B49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49" s="43"/>
      <c r="E49" s="43"/>
      <c r="F49" s="43"/>
      <c r="G49" s="43"/>
      <c r="H49" s="43"/>
      <c r="I49" s="128"/>
      <c r="J49" s="129" t="str">
        <f>IF(Table4[[#This Row],[Rubrique]]="","",Table4[[#This Row],[Qté]]*Table4[[#This Row],[Prix unitaire]])</f>
        <v/>
      </c>
      <c r="L49" s="43"/>
      <c r="M49" s="43"/>
      <c r="N49" s="43"/>
      <c r="O49" s="43"/>
      <c r="P49" s="43"/>
      <c r="Q49" s="128"/>
      <c r="R49" s="129" t="str">
        <f>IF(Table414[[#This Row],[Rubrique]]="","",Table414[[#This Row],[Qté]]*Table414[[#This Row],[Prix unitaire]])</f>
        <v/>
      </c>
      <c r="T49" s="43"/>
      <c r="U49" s="43"/>
      <c r="V49" s="43"/>
      <c r="W49" s="43"/>
      <c r="X49" s="43"/>
      <c r="Y49" s="128"/>
      <c r="Z49" s="129" t="str">
        <f>IF(Table415[[#This Row],[Rubrique]]="","",Table415[[#This Row],[Qté]]*Table415[[#This Row],[Prix unitaire]])</f>
        <v/>
      </c>
      <c r="AB49" s="43"/>
      <c r="AC49" s="43"/>
      <c r="AD49" s="43"/>
      <c r="AE49" s="43"/>
      <c r="AF49" s="43"/>
      <c r="AG49" s="128"/>
      <c r="AH49" s="129" t="str">
        <f>IF(Table416[[#This Row],[Rubrique]]="","",Table416[[#This Row],[Qté]]*Table416[[#This Row],[Prix unitaire]])</f>
        <v/>
      </c>
      <c r="AJ49" s="43"/>
      <c r="AK49" s="43"/>
      <c r="AL49" s="43"/>
      <c r="AM49" s="43"/>
      <c r="AN49" s="43"/>
      <c r="AO49" s="128"/>
      <c r="AP49" s="129" t="str">
        <f>IF(Table417[[#This Row],[Rubrique]]="","",Table417[[#This Row],[Qté]]*Table417[[#This Row],[Prix unitaire]])</f>
        <v/>
      </c>
      <c r="AR49" s="43"/>
      <c r="AS49" s="43"/>
      <c r="AT49" s="43"/>
      <c r="AU49" s="43"/>
      <c r="AV49" s="43"/>
      <c r="AW49" s="128"/>
      <c r="AX49" s="129" t="str">
        <f>IF(Table418[[#This Row],[Rubrique]]="","",Table418[[#This Row],[Qté]]*Table418[[#This Row],[Prix unitaire]])</f>
        <v/>
      </c>
      <c r="AZ49" s="43"/>
      <c r="BA49" s="43"/>
      <c r="BB49" s="43"/>
      <c r="BC49" s="43"/>
      <c r="BD49" s="43"/>
      <c r="BE49" s="128"/>
      <c r="BF49" s="129" t="str">
        <f>IF(Table419[[#This Row],[Rubrique]]="","",Table419[[#This Row],[Qté]]*Table419[[#This Row],[Prix unitaire]])</f>
        <v/>
      </c>
      <c r="BH49" s="43"/>
      <c r="BI49" s="43"/>
      <c r="BJ49" s="43"/>
      <c r="BK49" s="43"/>
      <c r="BL49" s="43"/>
      <c r="BM49" s="128"/>
      <c r="BN49" s="129" t="str">
        <f>IF(Table420[[#This Row],[Rubrique]]="","",Table420[[#This Row],[Qté]]*Table420[[#This Row],[Prix unitaire]])</f>
        <v/>
      </c>
      <c r="BP49" s="43"/>
      <c r="BQ49" s="43"/>
      <c r="BR49" s="43"/>
      <c r="BS49" s="43"/>
      <c r="BT49" s="43"/>
      <c r="BU49" s="128"/>
      <c r="BV49" s="129" t="str">
        <f>IF(Table421[[#This Row],[Rubrique]]="","",Table421[[#This Row],[Qté]]*Table421[[#This Row],[Prix unitaire]])</f>
        <v/>
      </c>
      <c r="BX49" s="43"/>
      <c r="BY49" s="43"/>
      <c r="BZ49" s="43"/>
      <c r="CA49" s="43"/>
      <c r="CB49" s="43"/>
      <c r="CC49" s="128"/>
      <c r="CD49" s="129" t="str">
        <f>IF(Table422[[#This Row],[Rubrique]]="","",Table422[[#This Row],[Qté]]*Table422[[#This Row],[Prix unitaire]])</f>
        <v/>
      </c>
      <c r="CF49" s="43"/>
      <c r="CG49" s="43"/>
      <c r="CH49" s="43"/>
      <c r="CI49" s="43"/>
      <c r="CJ49" s="43"/>
      <c r="CK49" s="128"/>
      <c r="CL49" s="129" t="str">
        <f>IF(Table424[[#This Row],[Rubrique]]="","",Table424[[#This Row],[Qté]]*Table424[[#This Row],[Prix unitaire]])</f>
        <v/>
      </c>
      <c r="CN49" s="43"/>
      <c r="CO49" s="43"/>
      <c r="CP49" s="43"/>
      <c r="CQ49" s="43"/>
      <c r="CR49" s="43"/>
      <c r="CS49" s="128"/>
      <c r="CT49" s="129" t="str">
        <f>IF(Table425[[#This Row],[Rubrique]]="","",Table425[[#This Row],[Qté]]*Table425[[#This Row],[Prix unitaire]])</f>
        <v/>
      </c>
      <c r="CV49" s="43"/>
      <c r="CW49" s="43"/>
      <c r="CX49" s="43"/>
      <c r="CY49" s="43"/>
      <c r="CZ49" s="43"/>
      <c r="DA49" s="128"/>
      <c r="DB49" s="129" t="str">
        <f>IF(Table42526[[#This Row],[Rubrique]]="","",Table42526[[#This Row],[Qté]]*Table42526[[#This Row],[Prix unitaire]])</f>
        <v/>
      </c>
      <c r="DD49" s="43"/>
      <c r="DE49" s="43"/>
      <c r="DF49" s="43"/>
      <c r="DG49" s="43"/>
      <c r="DH49" s="43"/>
      <c r="DI49" s="128"/>
      <c r="DJ49" s="129" t="str">
        <f>IF(Table42527[[#This Row],[Rubrique]]="","",Table42527[[#This Row],[Qté]]*Table42527[[#This Row],[Prix unitaire]])</f>
        <v/>
      </c>
    </row>
    <row r="50" spans="1:114" x14ac:dyDescent="0.25">
      <c r="A50" s="186" t="str">
        <f>IF(Listes!A49="","",Listes!A49)</f>
        <v/>
      </c>
      <c r="B50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0" s="43"/>
      <c r="E50" s="43"/>
      <c r="F50" s="43"/>
      <c r="G50" s="43"/>
      <c r="H50" s="43"/>
      <c r="I50" s="128"/>
      <c r="J50" s="129" t="str">
        <f>IF(Table4[[#This Row],[Rubrique]]="","",Table4[[#This Row],[Qté]]*Table4[[#This Row],[Prix unitaire]])</f>
        <v/>
      </c>
      <c r="L50" s="43"/>
      <c r="M50" s="43"/>
      <c r="N50" s="43"/>
      <c r="O50" s="43"/>
      <c r="P50" s="43"/>
      <c r="Q50" s="128"/>
      <c r="R50" s="129" t="str">
        <f>IF(Table414[[#This Row],[Rubrique]]="","",Table414[[#This Row],[Qté]]*Table414[[#This Row],[Prix unitaire]])</f>
        <v/>
      </c>
      <c r="T50" s="43"/>
      <c r="U50" s="43"/>
      <c r="V50" s="43"/>
      <c r="W50" s="43"/>
      <c r="X50" s="43"/>
      <c r="Y50" s="128"/>
      <c r="Z50" s="129" t="str">
        <f>IF(Table415[[#This Row],[Rubrique]]="","",Table415[[#This Row],[Qté]]*Table415[[#This Row],[Prix unitaire]])</f>
        <v/>
      </c>
      <c r="AB50" s="43"/>
      <c r="AC50" s="43"/>
      <c r="AD50" s="43"/>
      <c r="AE50" s="43"/>
      <c r="AF50" s="43"/>
      <c r="AG50" s="128"/>
      <c r="AH50" s="129" t="str">
        <f>IF(Table416[[#This Row],[Rubrique]]="","",Table416[[#This Row],[Qté]]*Table416[[#This Row],[Prix unitaire]])</f>
        <v/>
      </c>
      <c r="AJ50" s="43"/>
      <c r="AK50" s="43"/>
      <c r="AL50" s="43"/>
      <c r="AM50" s="43"/>
      <c r="AN50" s="43"/>
      <c r="AO50" s="128"/>
      <c r="AP50" s="129" t="str">
        <f>IF(Table417[[#This Row],[Rubrique]]="","",Table417[[#This Row],[Qté]]*Table417[[#This Row],[Prix unitaire]])</f>
        <v/>
      </c>
      <c r="AR50" s="43"/>
      <c r="AS50" s="43"/>
      <c r="AT50" s="43"/>
      <c r="AU50" s="43"/>
      <c r="AV50" s="43"/>
      <c r="AW50" s="128"/>
      <c r="AX50" s="129" t="str">
        <f>IF(Table418[[#This Row],[Rubrique]]="","",Table418[[#This Row],[Qté]]*Table418[[#This Row],[Prix unitaire]])</f>
        <v/>
      </c>
      <c r="AZ50" s="43"/>
      <c r="BA50" s="43"/>
      <c r="BB50" s="43"/>
      <c r="BC50" s="43"/>
      <c r="BD50" s="43"/>
      <c r="BE50" s="128"/>
      <c r="BF50" s="129" t="str">
        <f>IF(Table419[[#This Row],[Rubrique]]="","",Table419[[#This Row],[Qté]]*Table419[[#This Row],[Prix unitaire]])</f>
        <v/>
      </c>
      <c r="BH50" s="43"/>
      <c r="BI50" s="43"/>
      <c r="BJ50" s="43"/>
      <c r="BK50" s="43"/>
      <c r="BL50" s="43"/>
      <c r="BM50" s="128"/>
      <c r="BN50" s="129" t="str">
        <f>IF(Table420[[#This Row],[Rubrique]]="","",Table420[[#This Row],[Qté]]*Table420[[#This Row],[Prix unitaire]])</f>
        <v/>
      </c>
      <c r="BP50" s="43"/>
      <c r="BQ50" s="43"/>
      <c r="BR50" s="43"/>
      <c r="BS50" s="43"/>
      <c r="BT50" s="43"/>
      <c r="BU50" s="128"/>
      <c r="BV50" s="129" t="str">
        <f>IF(Table421[[#This Row],[Rubrique]]="","",Table421[[#This Row],[Qté]]*Table421[[#This Row],[Prix unitaire]])</f>
        <v/>
      </c>
      <c r="BX50" s="43"/>
      <c r="BY50" s="43"/>
      <c r="BZ50" s="43"/>
      <c r="CA50" s="43"/>
      <c r="CB50" s="43"/>
      <c r="CC50" s="128"/>
      <c r="CD50" s="129" t="str">
        <f>IF(Table422[[#This Row],[Rubrique]]="","",Table422[[#This Row],[Qté]]*Table422[[#This Row],[Prix unitaire]])</f>
        <v/>
      </c>
      <c r="CF50" s="43"/>
      <c r="CG50" s="43"/>
      <c r="CH50" s="43"/>
      <c r="CI50" s="43"/>
      <c r="CJ50" s="43"/>
      <c r="CK50" s="128"/>
      <c r="CL50" s="129" t="str">
        <f>IF(Table424[[#This Row],[Rubrique]]="","",Table424[[#This Row],[Qté]]*Table424[[#This Row],[Prix unitaire]])</f>
        <v/>
      </c>
      <c r="CN50" s="43"/>
      <c r="CO50" s="43"/>
      <c r="CP50" s="43"/>
      <c r="CQ50" s="43"/>
      <c r="CR50" s="43"/>
      <c r="CS50" s="128"/>
      <c r="CT50" s="129" t="str">
        <f>IF(Table425[[#This Row],[Rubrique]]="","",Table425[[#This Row],[Qté]]*Table425[[#This Row],[Prix unitaire]])</f>
        <v/>
      </c>
      <c r="CV50" s="43"/>
      <c r="CW50" s="43"/>
      <c r="CX50" s="43"/>
      <c r="CY50" s="43"/>
      <c r="CZ50" s="43"/>
      <c r="DA50" s="128"/>
      <c r="DB50" s="129" t="str">
        <f>IF(Table42526[[#This Row],[Rubrique]]="","",Table42526[[#This Row],[Qté]]*Table42526[[#This Row],[Prix unitaire]])</f>
        <v/>
      </c>
      <c r="DD50" s="43"/>
      <c r="DE50" s="43"/>
      <c r="DF50" s="43"/>
      <c r="DG50" s="43"/>
      <c r="DH50" s="43"/>
      <c r="DI50" s="128"/>
      <c r="DJ50" s="129" t="str">
        <f>IF(Table42527[[#This Row],[Rubrique]]="","",Table42527[[#This Row],[Qté]]*Table42527[[#This Row],[Prix unitaire]])</f>
        <v/>
      </c>
    </row>
    <row r="51" spans="1:114" x14ac:dyDescent="0.25">
      <c r="A51" s="186" t="str">
        <f>IF(Listes!A50="","",Listes!A50)</f>
        <v/>
      </c>
      <c r="B51" s="138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1" s="43"/>
      <c r="E51" s="43"/>
      <c r="F51" s="43"/>
      <c r="G51" s="43"/>
      <c r="H51" s="43"/>
      <c r="I51" s="128"/>
      <c r="J51" s="129" t="str">
        <f>IF(Table4[[#This Row],[Rubrique]]="","",Table4[[#This Row],[Qté]]*Table4[[#This Row],[Prix unitaire]])</f>
        <v/>
      </c>
      <c r="L51" s="43"/>
      <c r="M51" s="43"/>
      <c r="N51" s="43"/>
      <c r="O51" s="43"/>
      <c r="P51" s="43"/>
      <c r="Q51" s="128"/>
      <c r="R51" s="129" t="str">
        <f>IF(Table414[[#This Row],[Rubrique]]="","",Table414[[#This Row],[Qté]]*Table414[[#This Row],[Prix unitaire]])</f>
        <v/>
      </c>
      <c r="T51" s="43"/>
      <c r="U51" s="43"/>
      <c r="V51" s="43"/>
      <c r="W51" s="43"/>
      <c r="X51" s="43"/>
      <c r="Y51" s="128"/>
      <c r="Z51" s="129" t="str">
        <f>IF(Table415[[#This Row],[Rubrique]]="","",Table415[[#This Row],[Qté]]*Table415[[#This Row],[Prix unitaire]])</f>
        <v/>
      </c>
      <c r="AB51" s="43"/>
      <c r="AC51" s="43"/>
      <c r="AD51" s="43"/>
      <c r="AE51" s="43"/>
      <c r="AF51" s="43"/>
      <c r="AG51" s="128"/>
      <c r="AH51" s="129" t="str">
        <f>IF(Table416[[#This Row],[Rubrique]]="","",Table416[[#This Row],[Qté]]*Table416[[#This Row],[Prix unitaire]])</f>
        <v/>
      </c>
      <c r="AJ51" s="43"/>
      <c r="AK51" s="43"/>
      <c r="AL51" s="43"/>
      <c r="AM51" s="43"/>
      <c r="AN51" s="43"/>
      <c r="AO51" s="128"/>
      <c r="AP51" s="129" t="str">
        <f>IF(Table417[[#This Row],[Rubrique]]="","",Table417[[#This Row],[Qté]]*Table417[[#This Row],[Prix unitaire]])</f>
        <v/>
      </c>
      <c r="AR51" s="43"/>
      <c r="AS51" s="43"/>
      <c r="AT51" s="43"/>
      <c r="AU51" s="43"/>
      <c r="AV51" s="43"/>
      <c r="AW51" s="128"/>
      <c r="AX51" s="129" t="str">
        <f>IF(Table418[[#This Row],[Rubrique]]="","",Table418[[#This Row],[Qté]]*Table418[[#This Row],[Prix unitaire]])</f>
        <v/>
      </c>
      <c r="AZ51" s="43"/>
      <c r="BA51" s="43"/>
      <c r="BB51" s="43"/>
      <c r="BC51" s="43"/>
      <c r="BD51" s="43"/>
      <c r="BE51" s="128"/>
      <c r="BF51" s="129" t="str">
        <f>IF(Table419[[#This Row],[Rubrique]]="","",Table419[[#This Row],[Qté]]*Table419[[#This Row],[Prix unitaire]])</f>
        <v/>
      </c>
      <c r="BH51" s="43"/>
      <c r="BI51" s="43"/>
      <c r="BJ51" s="43"/>
      <c r="BK51" s="43"/>
      <c r="BL51" s="43"/>
      <c r="BM51" s="128"/>
      <c r="BN51" s="129" t="str">
        <f>IF(Table420[[#This Row],[Rubrique]]="","",Table420[[#This Row],[Qté]]*Table420[[#This Row],[Prix unitaire]])</f>
        <v/>
      </c>
      <c r="BP51" s="43"/>
      <c r="BQ51" s="43"/>
      <c r="BR51" s="43"/>
      <c r="BS51" s="43"/>
      <c r="BT51" s="43"/>
      <c r="BU51" s="128"/>
      <c r="BV51" s="129" t="str">
        <f>IF(Table421[[#This Row],[Rubrique]]="","",Table421[[#This Row],[Qté]]*Table421[[#This Row],[Prix unitaire]])</f>
        <v/>
      </c>
      <c r="BX51" s="43"/>
      <c r="BY51" s="43"/>
      <c r="BZ51" s="43"/>
      <c r="CA51" s="43"/>
      <c r="CB51" s="43"/>
      <c r="CC51" s="128"/>
      <c r="CD51" s="129" t="str">
        <f>IF(Table422[[#This Row],[Rubrique]]="","",Table422[[#This Row],[Qté]]*Table422[[#This Row],[Prix unitaire]])</f>
        <v/>
      </c>
      <c r="CF51" s="43"/>
      <c r="CG51" s="43"/>
      <c r="CH51" s="43"/>
      <c r="CI51" s="43"/>
      <c r="CJ51" s="43"/>
      <c r="CK51" s="128"/>
      <c r="CL51" s="129" t="str">
        <f>IF(Table424[[#This Row],[Rubrique]]="","",Table424[[#This Row],[Qté]]*Table424[[#This Row],[Prix unitaire]])</f>
        <v/>
      </c>
      <c r="CN51" s="43"/>
      <c r="CO51" s="43"/>
      <c r="CP51" s="43"/>
      <c r="CQ51" s="43"/>
      <c r="CR51" s="43"/>
      <c r="CS51" s="128"/>
      <c r="CT51" s="129" t="str">
        <f>IF(Table425[[#This Row],[Rubrique]]="","",Table425[[#This Row],[Qté]]*Table425[[#This Row],[Prix unitaire]])</f>
        <v/>
      </c>
      <c r="CV51" s="43"/>
      <c r="CW51" s="43"/>
      <c r="CX51" s="43"/>
      <c r="CY51" s="43"/>
      <c r="CZ51" s="43"/>
      <c r="DA51" s="128"/>
      <c r="DB51" s="129" t="str">
        <f>IF(Table42526[[#This Row],[Rubrique]]="","",Table42526[[#This Row],[Qté]]*Table42526[[#This Row],[Prix unitaire]])</f>
        <v/>
      </c>
      <c r="DD51" s="43"/>
      <c r="DE51" s="43"/>
      <c r="DF51" s="43"/>
      <c r="DG51" s="43"/>
      <c r="DH51" s="43"/>
      <c r="DI51" s="128"/>
      <c r="DJ51" s="129" t="str">
        <f>IF(Table42527[[#This Row],[Rubrique]]="","",Table42527[[#This Row],[Qté]]*Table42527[[#This Row],[Prix unitaire]])</f>
        <v/>
      </c>
    </row>
    <row r="52" spans="1:114" x14ac:dyDescent="0.25">
      <c r="A52" s="187" t="str">
        <f>IF(Listes!A51="","",Listes!A51)</f>
        <v/>
      </c>
      <c r="B5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2" s="43"/>
      <c r="E52" s="43"/>
      <c r="F52" s="43"/>
      <c r="G52" s="43"/>
      <c r="H52" s="43"/>
      <c r="I52" s="128"/>
      <c r="J52" s="129" t="str">
        <f>IF(Table4[[#This Row],[Rubrique]]="","",Table4[[#This Row],[Qté]]*Table4[[#This Row],[Prix unitaire]])</f>
        <v/>
      </c>
      <c r="L52" s="43"/>
      <c r="M52" s="43"/>
      <c r="N52" s="43"/>
      <c r="O52" s="43"/>
      <c r="P52" s="43"/>
      <c r="Q52" s="128"/>
      <c r="R52" s="129" t="str">
        <f>IF(Table414[[#This Row],[Rubrique]]="","",Table414[[#This Row],[Qté]]*Table414[[#This Row],[Prix unitaire]])</f>
        <v/>
      </c>
      <c r="T52" s="43"/>
      <c r="U52" s="43"/>
      <c r="V52" s="43"/>
      <c r="W52" s="43"/>
      <c r="X52" s="43"/>
      <c r="Y52" s="128"/>
      <c r="Z52" s="129" t="str">
        <f>IF(Table415[[#This Row],[Rubrique]]="","",Table415[[#This Row],[Qté]]*Table415[[#This Row],[Prix unitaire]])</f>
        <v/>
      </c>
      <c r="AB52" s="43"/>
      <c r="AC52" s="43"/>
      <c r="AD52" s="43"/>
      <c r="AE52" s="43"/>
      <c r="AF52" s="43"/>
      <c r="AG52" s="128"/>
      <c r="AH52" s="129" t="str">
        <f>IF(Table416[[#This Row],[Rubrique]]="","",Table416[[#This Row],[Qté]]*Table416[[#This Row],[Prix unitaire]])</f>
        <v/>
      </c>
      <c r="AJ52" s="43"/>
      <c r="AK52" s="43"/>
      <c r="AL52" s="43"/>
      <c r="AM52" s="43"/>
      <c r="AN52" s="43"/>
      <c r="AO52" s="128"/>
      <c r="AP52" s="129" t="str">
        <f>IF(Table417[[#This Row],[Rubrique]]="","",Table417[[#This Row],[Qté]]*Table417[[#This Row],[Prix unitaire]])</f>
        <v/>
      </c>
      <c r="AR52" s="43"/>
      <c r="AS52" s="43"/>
      <c r="AT52" s="43"/>
      <c r="AU52" s="43"/>
      <c r="AV52" s="43"/>
      <c r="AW52" s="128"/>
      <c r="AX52" s="129" t="str">
        <f>IF(Table418[[#This Row],[Rubrique]]="","",Table418[[#This Row],[Qté]]*Table418[[#This Row],[Prix unitaire]])</f>
        <v/>
      </c>
      <c r="AZ52" s="43"/>
      <c r="BA52" s="43"/>
      <c r="BB52" s="43"/>
      <c r="BC52" s="43"/>
      <c r="BD52" s="43"/>
      <c r="BE52" s="128"/>
      <c r="BF52" s="129" t="str">
        <f>IF(Table419[[#This Row],[Rubrique]]="","",Table419[[#This Row],[Qté]]*Table419[[#This Row],[Prix unitaire]])</f>
        <v/>
      </c>
      <c r="BH52" s="43"/>
      <c r="BI52" s="43"/>
      <c r="BJ52" s="43"/>
      <c r="BK52" s="43"/>
      <c r="BL52" s="43"/>
      <c r="BM52" s="128"/>
      <c r="BN52" s="129" t="str">
        <f>IF(Table420[[#This Row],[Rubrique]]="","",Table420[[#This Row],[Qté]]*Table420[[#This Row],[Prix unitaire]])</f>
        <v/>
      </c>
      <c r="BP52" s="43"/>
      <c r="BQ52" s="43"/>
      <c r="BR52" s="43"/>
      <c r="BS52" s="43"/>
      <c r="BT52" s="43"/>
      <c r="BU52" s="128"/>
      <c r="BV52" s="129" t="str">
        <f>IF(Table421[[#This Row],[Rubrique]]="","",Table421[[#This Row],[Qté]]*Table421[[#This Row],[Prix unitaire]])</f>
        <v/>
      </c>
      <c r="BX52" s="43"/>
      <c r="BY52" s="43"/>
      <c r="BZ52" s="43"/>
      <c r="CA52" s="43"/>
      <c r="CB52" s="43"/>
      <c r="CC52" s="128"/>
      <c r="CD52" s="129" t="str">
        <f>IF(Table422[[#This Row],[Rubrique]]="","",Table422[[#This Row],[Qté]]*Table422[[#This Row],[Prix unitaire]])</f>
        <v/>
      </c>
      <c r="CF52" s="43"/>
      <c r="CG52" s="43"/>
      <c r="CH52" s="43"/>
      <c r="CI52" s="43"/>
      <c r="CJ52" s="43"/>
      <c r="CK52" s="128"/>
      <c r="CL52" s="129" t="str">
        <f>IF(Table424[[#This Row],[Rubrique]]="","",Table424[[#This Row],[Qté]]*Table424[[#This Row],[Prix unitaire]])</f>
        <v/>
      </c>
      <c r="CN52" s="43"/>
      <c r="CO52" s="43"/>
      <c r="CP52" s="43"/>
      <c r="CQ52" s="43"/>
      <c r="CR52" s="43"/>
      <c r="CS52" s="128"/>
      <c r="CT52" s="129" t="str">
        <f>IF(Table425[[#This Row],[Rubrique]]="","",Table425[[#This Row],[Qté]]*Table425[[#This Row],[Prix unitaire]])</f>
        <v/>
      </c>
      <c r="CV52" s="43"/>
      <c r="CW52" s="43"/>
      <c r="CX52" s="43"/>
      <c r="CY52" s="43"/>
      <c r="CZ52" s="43"/>
      <c r="DA52" s="128"/>
      <c r="DB52" s="129" t="str">
        <f>IF(Table42526[[#This Row],[Rubrique]]="","",Table42526[[#This Row],[Qté]]*Table42526[[#This Row],[Prix unitaire]])</f>
        <v/>
      </c>
      <c r="DD52" s="43"/>
      <c r="DE52" s="43"/>
      <c r="DF52" s="43"/>
      <c r="DG52" s="43"/>
      <c r="DH52" s="43"/>
      <c r="DI52" s="128"/>
      <c r="DJ52" s="129" t="str">
        <f>IF(Table42527[[#This Row],[Rubrique]]="","",Table42527[[#This Row],[Qté]]*Table42527[[#This Row],[Prix unitaire]])</f>
        <v/>
      </c>
    </row>
    <row r="53" spans="1:114" x14ac:dyDescent="0.25">
      <c r="A53" s="187" t="str">
        <f>IF(Listes!A52="","",Listes!A52)</f>
        <v/>
      </c>
      <c r="B5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3" s="43"/>
      <c r="E53" s="43"/>
      <c r="F53" s="43"/>
      <c r="G53" s="43"/>
      <c r="H53" s="43"/>
      <c r="I53" s="128"/>
      <c r="J53" s="129" t="str">
        <f>IF(Table4[[#This Row],[Rubrique]]="","",Table4[[#This Row],[Qté]]*Table4[[#This Row],[Prix unitaire]])</f>
        <v/>
      </c>
      <c r="L53" s="43"/>
      <c r="M53" s="43"/>
      <c r="N53" s="43"/>
      <c r="O53" s="43"/>
      <c r="P53" s="43"/>
      <c r="Q53" s="128"/>
      <c r="R53" s="129" t="str">
        <f>IF(Table414[[#This Row],[Rubrique]]="","",Table414[[#This Row],[Qté]]*Table414[[#This Row],[Prix unitaire]])</f>
        <v/>
      </c>
      <c r="T53" s="43"/>
      <c r="U53" s="43"/>
      <c r="V53" s="43"/>
      <c r="W53" s="43"/>
      <c r="X53" s="43"/>
      <c r="Y53" s="128"/>
      <c r="Z53" s="129" t="str">
        <f>IF(Table415[[#This Row],[Rubrique]]="","",Table415[[#This Row],[Qté]]*Table415[[#This Row],[Prix unitaire]])</f>
        <v/>
      </c>
      <c r="AB53" s="43"/>
      <c r="AC53" s="43"/>
      <c r="AD53" s="43"/>
      <c r="AE53" s="43"/>
      <c r="AF53" s="43"/>
      <c r="AG53" s="128"/>
      <c r="AH53" s="129" t="str">
        <f>IF(Table416[[#This Row],[Rubrique]]="","",Table416[[#This Row],[Qté]]*Table416[[#This Row],[Prix unitaire]])</f>
        <v/>
      </c>
      <c r="AJ53" s="43"/>
      <c r="AK53" s="43"/>
      <c r="AL53" s="43"/>
      <c r="AM53" s="43"/>
      <c r="AN53" s="43"/>
      <c r="AO53" s="128"/>
      <c r="AP53" s="129" t="str">
        <f>IF(Table417[[#This Row],[Rubrique]]="","",Table417[[#This Row],[Qté]]*Table417[[#This Row],[Prix unitaire]])</f>
        <v/>
      </c>
      <c r="AR53" s="43"/>
      <c r="AS53" s="43"/>
      <c r="AT53" s="43"/>
      <c r="AU53" s="43"/>
      <c r="AV53" s="43"/>
      <c r="AW53" s="128"/>
      <c r="AX53" s="129" t="str">
        <f>IF(Table418[[#This Row],[Rubrique]]="","",Table418[[#This Row],[Qté]]*Table418[[#This Row],[Prix unitaire]])</f>
        <v/>
      </c>
      <c r="AZ53" s="43"/>
      <c r="BA53" s="43"/>
      <c r="BB53" s="43"/>
      <c r="BC53" s="43"/>
      <c r="BD53" s="43"/>
      <c r="BE53" s="128"/>
      <c r="BF53" s="129" t="str">
        <f>IF(Table419[[#This Row],[Rubrique]]="","",Table419[[#This Row],[Qté]]*Table419[[#This Row],[Prix unitaire]])</f>
        <v/>
      </c>
      <c r="BH53" s="43"/>
      <c r="BI53" s="43"/>
      <c r="BJ53" s="43"/>
      <c r="BK53" s="43"/>
      <c r="BL53" s="43"/>
      <c r="BM53" s="128"/>
      <c r="BN53" s="129" t="str">
        <f>IF(Table420[[#This Row],[Rubrique]]="","",Table420[[#This Row],[Qté]]*Table420[[#This Row],[Prix unitaire]])</f>
        <v/>
      </c>
      <c r="BP53" s="43"/>
      <c r="BQ53" s="43"/>
      <c r="BR53" s="43"/>
      <c r="BS53" s="43"/>
      <c r="BT53" s="43"/>
      <c r="BU53" s="128"/>
      <c r="BV53" s="129" t="str">
        <f>IF(Table421[[#This Row],[Rubrique]]="","",Table421[[#This Row],[Qté]]*Table421[[#This Row],[Prix unitaire]])</f>
        <v/>
      </c>
      <c r="BX53" s="43"/>
      <c r="BY53" s="43"/>
      <c r="BZ53" s="43"/>
      <c r="CA53" s="43"/>
      <c r="CB53" s="43"/>
      <c r="CC53" s="128"/>
      <c r="CD53" s="129" t="str">
        <f>IF(Table422[[#This Row],[Rubrique]]="","",Table422[[#This Row],[Qté]]*Table422[[#This Row],[Prix unitaire]])</f>
        <v/>
      </c>
      <c r="CF53" s="43"/>
      <c r="CG53" s="43"/>
      <c r="CH53" s="43"/>
      <c r="CI53" s="43"/>
      <c r="CJ53" s="43"/>
      <c r="CK53" s="128"/>
      <c r="CL53" s="129" t="str">
        <f>IF(Table424[[#This Row],[Rubrique]]="","",Table424[[#This Row],[Qté]]*Table424[[#This Row],[Prix unitaire]])</f>
        <v/>
      </c>
      <c r="CN53" s="43"/>
      <c r="CO53" s="43"/>
      <c r="CP53" s="43"/>
      <c r="CQ53" s="43"/>
      <c r="CR53" s="43"/>
      <c r="CS53" s="128"/>
      <c r="CT53" s="129" t="str">
        <f>IF(Table425[[#This Row],[Rubrique]]="","",Table425[[#This Row],[Qté]]*Table425[[#This Row],[Prix unitaire]])</f>
        <v/>
      </c>
      <c r="CV53" s="43"/>
      <c r="CW53" s="43"/>
      <c r="CX53" s="43"/>
      <c r="CY53" s="43"/>
      <c r="CZ53" s="43"/>
      <c r="DA53" s="128"/>
      <c r="DB53" s="129" t="str">
        <f>IF(Table42526[[#This Row],[Rubrique]]="","",Table42526[[#This Row],[Qté]]*Table42526[[#This Row],[Prix unitaire]])</f>
        <v/>
      </c>
      <c r="DD53" s="43"/>
      <c r="DE53" s="43"/>
      <c r="DF53" s="43"/>
      <c r="DG53" s="43"/>
      <c r="DH53" s="43"/>
      <c r="DI53" s="128"/>
      <c r="DJ53" s="129" t="str">
        <f>IF(Table42527[[#This Row],[Rubrique]]="","",Table42527[[#This Row],[Qté]]*Table42527[[#This Row],[Prix unitaire]])</f>
        <v/>
      </c>
    </row>
    <row r="54" spans="1:114" x14ac:dyDescent="0.25">
      <c r="A54" s="187" t="str">
        <f>IF(Listes!A53="","",Listes!A53)</f>
        <v/>
      </c>
      <c r="B5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4" s="43"/>
      <c r="E54" s="43"/>
      <c r="F54" s="43"/>
      <c r="G54" s="43"/>
      <c r="H54" s="43"/>
      <c r="I54" s="128"/>
      <c r="J54" s="129" t="str">
        <f>IF(Table4[[#This Row],[Rubrique]]="","",Table4[[#This Row],[Qté]]*Table4[[#This Row],[Prix unitaire]])</f>
        <v/>
      </c>
      <c r="L54" s="43"/>
      <c r="M54" s="43"/>
      <c r="N54" s="43"/>
      <c r="O54" s="43"/>
      <c r="P54" s="43"/>
      <c r="Q54" s="128"/>
      <c r="R54" s="129" t="str">
        <f>IF(Table414[[#This Row],[Rubrique]]="","",Table414[[#This Row],[Qté]]*Table414[[#This Row],[Prix unitaire]])</f>
        <v/>
      </c>
      <c r="T54" s="43"/>
      <c r="U54" s="43"/>
      <c r="V54" s="43"/>
      <c r="W54" s="43"/>
      <c r="X54" s="43"/>
      <c r="Y54" s="128"/>
      <c r="Z54" s="129" t="str">
        <f>IF(Table415[[#This Row],[Rubrique]]="","",Table415[[#This Row],[Qté]]*Table415[[#This Row],[Prix unitaire]])</f>
        <v/>
      </c>
      <c r="AB54" s="43"/>
      <c r="AC54" s="43"/>
      <c r="AD54" s="43"/>
      <c r="AE54" s="43"/>
      <c r="AF54" s="43"/>
      <c r="AG54" s="128"/>
      <c r="AH54" s="129" t="str">
        <f>IF(Table416[[#This Row],[Rubrique]]="","",Table416[[#This Row],[Qté]]*Table416[[#This Row],[Prix unitaire]])</f>
        <v/>
      </c>
      <c r="AJ54" s="43"/>
      <c r="AK54" s="43"/>
      <c r="AL54" s="43"/>
      <c r="AM54" s="43"/>
      <c r="AN54" s="43"/>
      <c r="AO54" s="128"/>
      <c r="AP54" s="129" t="str">
        <f>IF(Table417[[#This Row],[Rubrique]]="","",Table417[[#This Row],[Qté]]*Table417[[#This Row],[Prix unitaire]])</f>
        <v/>
      </c>
      <c r="AR54" s="43"/>
      <c r="AS54" s="43"/>
      <c r="AT54" s="43"/>
      <c r="AU54" s="43"/>
      <c r="AV54" s="43"/>
      <c r="AW54" s="128"/>
      <c r="AX54" s="129" t="str">
        <f>IF(Table418[[#This Row],[Rubrique]]="","",Table418[[#This Row],[Qté]]*Table418[[#This Row],[Prix unitaire]])</f>
        <v/>
      </c>
      <c r="AZ54" s="43"/>
      <c r="BA54" s="43"/>
      <c r="BB54" s="43"/>
      <c r="BC54" s="43"/>
      <c r="BD54" s="43"/>
      <c r="BE54" s="128"/>
      <c r="BF54" s="129" t="str">
        <f>IF(Table419[[#This Row],[Rubrique]]="","",Table419[[#This Row],[Qté]]*Table419[[#This Row],[Prix unitaire]])</f>
        <v/>
      </c>
      <c r="BH54" s="43"/>
      <c r="BI54" s="43"/>
      <c r="BJ54" s="43"/>
      <c r="BK54" s="43"/>
      <c r="BL54" s="43"/>
      <c r="BM54" s="128"/>
      <c r="BN54" s="129" t="str">
        <f>IF(Table420[[#This Row],[Rubrique]]="","",Table420[[#This Row],[Qté]]*Table420[[#This Row],[Prix unitaire]])</f>
        <v/>
      </c>
      <c r="BP54" s="43"/>
      <c r="BQ54" s="43"/>
      <c r="BR54" s="43"/>
      <c r="BS54" s="43"/>
      <c r="BT54" s="43"/>
      <c r="BU54" s="128"/>
      <c r="BV54" s="129" t="str">
        <f>IF(Table421[[#This Row],[Rubrique]]="","",Table421[[#This Row],[Qté]]*Table421[[#This Row],[Prix unitaire]])</f>
        <v/>
      </c>
      <c r="BX54" s="43"/>
      <c r="BY54" s="43"/>
      <c r="BZ54" s="43"/>
      <c r="CA54" s="43"/>
      <c r="CB54" s="43"/>
      <c r="CC54" s="128"/>
      <c r="CD54" s="129" t="str">
        <f>IF(Table422[[#This Row],[Rubrique]]="","",Table422[[#This Row],[Qté]]*Table422[[#This Row],[Prix unitaire]])</f>
        <v/>
      </c>
      <c r="CF54" s="43"/>
      <c r="CG54" s="43"/>
      <c r="CH54" s="43"/>
      <c r="CI54" s="43"/>
      <c r="CJ54" s="43"/>
      <c r="CK54" s="128"/>
      <c r="CL54" s="129" t="str">
        <f>IF(Table424[[#This Row],[Rubrique]]="","",Table424[[#This Row],[Qté]]*Table424[[#This Row],[Prix unitaire]])</f>
        <v/>
      </c>
      <c r="CN54" s="43"/>
      <c r="CO54" s="43"/>
      <c r="CP54" s="43"/>
      <c r="CQ54" s="43"/>
      <c r="CR54" s="43"/>
      <c r="CS54" s="128"/>
      <c r="CT54" s="129" t="str">
        <f>IF(Table425[[#This Row],[Rubrique]]="","",Table425[[#This Row],[Qté]]*Table425[[#This Row],[Prix unitaire]])</f>
        <v/>
      </c>
      <c r="CV54" s="43"/>
      <c r="CW54" s="43"/>
      <c r="CX54" s="43"/>
      <c r="CY54" s="43"/>
      <c r="CZ54" s="43"/>
      <c r="DA54" s="128"/>
      <c r="DB54" s="129" t="str">
        <f>IF(Table42526[[#This Row],[Rubrique]]="","",Table42526[[#This Row],[Qté]]*Table42526[[#This Row],[Prix unitaire]])</f>
        <v/>
      </c>
      <c r="DD54" s="43"/>
      <c r="DE54" s="43"/>
      <c r="DF54" s="43"/>
      <c r="DG54" s="43"/>
      <c r="DH54" s="43"/>
      <c r="DI54" s="128"/>
      <c r="DJ54" s="129" t="str">
        <f>IF(Table42527[[#This Row],[Rubrique]]="","",Table42527[[#This Row],[Qté]]*Table42527[[#This Row],[Prix unitaire]])</f>
        <v/>
      </c>
    </row>
    <row r="55" spans="1:114" x14ac:dyDescent="0.25">
      <c r="A55" s="187" t="str">
        <f>IF(Listes!A54="","",Listes!A54)</f>
        <v/>
      </c>
      <c r="B55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5" s="43"/>
      <c r="E55" s="43"/>
      <c r="F55" s="43"/>
      <c r="G55" s="43"/>
      <c r="H55" s="43"/>
      <c r="I55" s="128"/>
      <c r="J55" s="129" t="str">
        <f>IF(Table4[[#This Row],[Rubrique]]="","",Table4[[#This Row],[Qté]]*Table4[[#This Row],[Prix unitaire]])</f>
        <v/>
      </c>
      <c r="L55" s="43"/>
      <c r="M55" s="43"/>
      <c r="N55" s="43"/>
      <c r="O55" s="43"/>
      <c r="P55" s="43"/>
      <c r="Q55" s="128"/>
      <c r="R55" s="129" t="str">
        <f>IF(Table414[[#This Row],[Rubrique]]="","",Table414[[#This Row],[Qté]]*Table414[[#This Row],[Prix unitaire]])</f>
        <v/>
      </c>
      <c r="T55" s="43"/>
      <c r="U55" s="43"/>
      <c r="V55" s="43"/>
      <c r="W55" s="43"/>
      <c r="X55" s="43"/>
      <c r="Y55" s="128"/>
      <c r="Z55" s="129" t="str">
        <f>IF(Table415[[#This Row],[Rubrique]]="","",Table415[[#This Row],[Qté]]*Table415[[#This Row],[Prix unitaire]])</f>
        <v/>
      </c>
      <c r="AB55" s="43"/>
      <c r="AC55" s="43"/>
      <c r="AD55" s="43"/>
      <c r="AE55" s="43"/>
      <c r="AF55" s="43"/>
      <c r="AG55" s="128"/>
      <c r="AH55" s="129" t="str">
        <f>IF(Table416[[#This Row],[Rubrique]]="","",Table416[[#This Row],[Qté]]*Table416[[#This Row],[Prix unitaire]])</f>
        <v/>
      </c>
      <c r="AJ55" s="43"/>
      <c r="AK55" s="43"/>
      <c r="AL55" s="43"/>
      <c r="AM55" s="43"/>
      <c r="AN55" s="43"/>
      <c r="AO55" s="128"/>
      <c r="AP55" s="129" t="str">
        <f>IF(Table417[[#This Row],[Rubrique]]="","",Table417[[#This Row],[Qté]]*Table417[[#This Row],[Prix unitaire]])</f>
        <v/>
      </c>
      <c r="AR55" s="43"/>
      <c r="AS55" s="43"/>
      <c r="AT55" s="43"/>
      <c r="AU55" s="43"/>
      <c r="AV55" s="43"/>
      <c r="AW55" s="128"/>
      <c r="AX55" s="129" t="str">
        <f>IF(Table418[[#This Row],[Rubrique]]="","",Table418[[#This Row],[Qté]]*Table418[[#This Row],[Prix unitaire]])</f>
        <v/>
      </c>
      <c r="AZ55" s="43"/>
      <c r="BA55" s="43"/>
      <c r="BB55" s="43"/>
      <c r="BC55" s="43"/>
      <c r="BD55" s="43"/>
      <c r="BE55" s="128"/>
      <c r="BF55" s="129" t="str">
        <f>IF(Table419[[#This Row],[Rubrique]]="","",Table419[[#This Row],[Qté]]*Table419[[#This Row],[Prix unitaire]])</f>
        <v/>
      </c>
      <c r="BH55" s="43"/>
      <c r="BI55" s="43"/>
      <c r="BJ55" s="43"/>
      <c r="BK55" s="43"/>
      <c r="BL55" s="43"/>
      <c r="BM55" s="128"/>
      <c r="BN55" s="129" t="str">
        <f>IF(Table420[[#This Row],[Rubrique]]="","",Table420[[#This Row],[Qté]]*Table420[[#This Row],[Prix unitaire]])</f>
        <v/>
      </c>
      <c r="BP55" s="43"/>
      <c r="BQ55" s="43"/>
      <c r="BR55" s="43"/>
      <c r="BS55" s="43"/>
      <c r="BT55" s="43"/>
      <c r="BU55" s="128"/>
      <c r="BV55" s="129" t="str">
        <f>IF(Table421[[#This Row],[Rubrique]]="","",Table421[[#This Row],[Qté]]*Table421[[#This Row],[Prix unitaire]])</f>
        <v/>
      </c>
      <c r="BX55" s="43"/>
      <c r="BY55" s="43"/>
      <c r="BZ55" s="43"/>
      <c r="CA55" s="43"/>
      <c r="CB55" s="43"/>
      <c r="CC55" s="128"/>
      <c r="CD55" s="129" t="str">
        <f>IF(Table422[[#This Row],[Rubrique]]="","",Table422[[#This Row],[Qté]]*Table422[[#This Row],[Prix unitaire]])</f>
        <v/>
      </c>
      <c r="CF55" s="43"/>
      <c r="CG55" s="43"/>
      <c r="CH55" s="43"/>
      <c r="CI55" s="43"/>
      <c r="CJ55" s="43"/>
      <c r="CK55" s="128"/>
      <c r="CL55" s="129" t="str">
        <f>IF(Table424[[#This Row],[Rubrique]]="","",Table424[[#This Row],[Qté]]*Table424[[#This Row],[Prix unitaire]])</f>
        <v/>
      </c>
      <c r="CN55" s="43"/>
      <c r="CO55" s="43"/>
      <c r="CP55" s="43"/>
      <c r="CQ55" s="43"/>
      <c r="CR55" s="43"/>
      <c r="CS55" s="128"/>
      <c r="CT55" s="129" t="str">
        <f>IF(Table425[[#This Row],[Rubrique]]="","",Table425[[#This Row],[Qté]]*Table425[[#This Row],[Prix unitaire]])</f>
        <v/>
      </c>
      <c r="CV55" s="43"/>
      <c r="CW55" s="43"/>
      <c r="CX55" s="43"/>
      <c r="CY55" s="43"/>
      <c r="CZ55" s="43"/>
      <c r="DA55" s="128"/>
      <c r="DB55" s="129" t="str">
        <f>IF(Table42526[[#This Row],[Rubrique]]="","",Table42526[[#This Row],[Qté]]*Table42526[[#This Row],[Prix unitaire]])</f>
        <v/>
      </c>
      <c r="DD55" s="43"/>
      <c r="DE55" s="43"/>
      <c r="DF55" s="43"/>
      <c r="DG55" s="43"/>
      <c r="DH55" s="43"/>
      <c r="DI55" s="128"/>
      <c r="DJ55" s="129" t="str">
        <f>IF(Table42527[[#This Row],[Rubrique]]="","",Table42527[[#This Row],[Qté]]*Table42527[[#This Row],[Prix unitaire]])</f>
        <v/>
      </c>
    </row>
    <row r="56" spans="1:114" x14ac:dyDescent="0.25">
      <c r="A56" s="187" t="str">
        <f>IF(Listes!A55="","",Listes!A55)</f>
        <v/>
      </c>
      <c r="B5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6" s="43"/>
      <c r="E56" s="43"/>
      <c r="F56" s="43"/>
      <c r="G56" s="43"/>
      <c r="H56" s="43"/>
      <c r="I56" s="128"/>
      <c r="J56" s="129" t="str">
        <f>IF(Table4[[#This Row],[Rubrique]]="","",Table4[[#This Row],[Qté]]*Table4[[#This Row],[Prix unitaire]])</f>
        <v/>
      </c>
      <c r="L56" s="43"/>
      <c r="M56" s="43"/>
      <c r="N56" s="43"/>
      <c r="O56" s="43"/>
      <c r="P56" s="43"/>
      <c r="Q56" s="128"/>
      <c r="R56" s="129" t="str">
        <f>IF(Table414[[#This Row],[Rubrique]]="","",Table414[[#This Row],[Qté]]*Table414[[#This Row],[Prix unitaire]])</f>
        <v/>
      </c>
      <c r="T56" s="43"/>
      <c r="U56" s="43"/>
      <c r="V56" s="43"/>
      <c r="W56" s="43"/>
      <c r="X56" s="43"/>
      <c r="Y56" s="128"/>
      <c r="Z56" s="129" t="str">
        <f>IF(Table415[[#This Row],[Rubrique]]="","",Table415[[#This Row],[Qté]]*Table415[[#This Row],[Prix unitaire]])</f>
        <v/>
      </c>
      <c r="AB56" s="43"/>
      <c r="AC56" s="43"/>
      <c r="AD56" s="43"/>
      <c r="AE56" s="43"/>
      <c r="AF56" s="43"/>
      <c r="AG56" s="128"/>
      <c r="AH56" s="129" t="str">
        <f>IF(Table416[[#This Row],[Rubrique]]="","",Table416[[#This Row],[Qté]]*Table416[[#This Row],[Prix unitaire]])</f>
        <v/>
      </c>
      <c r="AJ56" s="43"/>
      <c r="AK56" s="43"/>
      <c r="AL56" s="43"/>
      <c r="AM56" s="43"/>
      <c r="AN56" s="43"/>
      <c r="AO56" s="128"/>
      <c r="AP56" s="129" t="str">
        <f>IF(Table417[[#This Row],[Rubrique]]="","",Table417[[#This Row],[Qté]]*Table417[[#This Row],[Prix unitaire]])</f>
        <v/>
      </c>
      <c r="AR56" s="43"/>
      <c r="AS56" s="43"/>
      <c r="AT56" s="43"/>
      <c r="AU56" s="43"/>
      <c r="AV56" s="43"/>
      <c r="AW56" s="128"/>
      <c r="AX56" s="129" t="str">
        <f>IF(Table418[[#This Row],[Rubrique]]="","",Table418[[#This Row],[Qté]]*Table418[[#This Row],[Prix unitaire]])</f>
        <v/>
      </c>
      <c r="AZ56" s="43"/>
      <c r="BA56" s="43"/>
      <c r="BB56" s="43"/>
      <c r="BC56" s="43"/>
      <c r="BD56" s="43"/>
      <c r="BE56" s="128"/>
      <c r="BF56" s="129" t="str">
        <f>IF(Table419[[#This Row],[Rubrique]]="","",Table419[[#This Row],[Qté]]*Table419[[#This Row],[Prix unitaire]])</f>
        <v/>
      </c>
      <c r="BH56" s="43"/>
      <c r="BI56" s="43"/>
      <c r="BJ56" s="43"/>
      <c r="BK56" s="43"/>
      <c r="BL56" s="43"/>
      <c r="BM56" s="128"/>
      <c r="BN56" s="129" t="str">
        <f>IF(Table420[[#This Row],[Rubrique]]="","",Table420[[#This Row],[Qté]]*Table420[[#This Row],[Prix unitaire]])</f>
        <v/>
      </c>
      <c r="BP56" s="43"/>
      <c r="BQ56" s="43"/>
      <c r="BR56" s="43"/>
      <c r="BS56" s="43"/>
      <c r="BT56" s="43"/>
      <c r="BU56" s="128"/>
      <c r="BV56" s="129" t="str">
        <f>IF(Table421[[#This Row],[Rubrique]]="","",Table421[[#This Row],[Qté]]*Table421[[#This Row],[Prix unitaire]])</f>
        <v/>
      </c>
      <c r="BX56" s="43"/>
      <c r="BY56" s="43"/>
      <c r="BZ56" s="43"/>
      <c r="CA56" s="43"/>
      <c r="CB56" s="43"/>
      <c r="CC56" s="128"/>
      <c r="CD56" s="129" t="str">
        <f>IF(Table422[[#This Row],[Rubrique]]="","",Table422[[#This Row],[Qté]]*Table422[[#This Row],[Prix unitaire]])</f>
        <v/>
      </c>
      <c r="CF56" s="43"/>
      <c r="CG56" s="43"/>
      <c r="CH56" s="43"/>
      <c r="CI56" s="43"/>
      <c r="CJ56" s="43"/>
      <c r="CK56" s="128"/>
      <c r="CL56" s="129" t="str">
        <f>IF(Table424[[#This Row],[Rubrique]]="","",Table424[[#This Row],[Qté]]*Table424[[#This Row],[Prix unitaire]])</f>
        <v/>
      </c>
      <c r="CN56" s="43"/>
      <c r="CO56" s="43"/>
      <c r="CP56" s="43"/>
      <c r="CQ56" s="43"/>
      <c r="CR56" s="43"/>
      <c r="CS56" s="128"/>
      <c r="CT56" s="129" t="str">
        <f>IF(Table425[[#This Row],[Rubrique]]="","",Table425[[#This Row],[Qté]]*Table425[[#This Row],[Prix unitaire]])</f>
        <v/>
      </c>
      <c r="CV56" s="43"/>
      <c r="CW56" s="43"/>
      <c r="CX56" s="43"/>
      <c r="CY56" s="43"/>
      <c r="CZ56" s="43"/>
      <c r="DA56" s="128"/>
      <c r="DB56" s="129" t="str">
        <f>IF(Table42526[[#This Row],[Rubrique]]="","",Table42526[[#This Row],[Qté]]*Table42526[[#This Row],[Prix unitaire]])</f>
        <v/>
      </c>
      <c r="DD56" s="43"/>
      <c r="DE56" s="43"/>
      <c r="DF56" s="43"/>
      <c r="DG56" s="43"/>
      <c r="DH56" s="43"/>
      <c r="DI56" s="128"/>
      <c r="DJ56" s="129" t="str">
        <f>IF(Table42527[[#This Row],[Rubrique]]="","",Table42527[[#This Row],[Qté]]*Table42527[[#This Row],[Prix unitaire]])</f>
        <v/>
      </c>
    </row>
    <row r="57" spans="1:114" x14ac:dyDescent="0.25">
      <c r="A57" s="187" t="str">
        <f>IF(Listes!A56="","",Listes!A56)</f>
        <v/>
      </c>
      <c r="B5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7" s="43"/>
      <c r="E57" s="43"/>
      <c r="F57" s="43"/>
      <c r="G57" s="43"/>
      <c r="H57" s="43"/>
      <c r="I57" s="128"/>
      <c r="J57" s="129" t="str">
        <f>IF(Table4[[#This Row],[Rubrique]]="","",Table4[[#This Row],[Qté]]*Table4[[#This Row],[Prix unitaire]])</f>
        <v/>
      </c>
      <c r="L57" s="43"/>
      <c r="M57" s="43"/>
      <c r="N57" s="43"/>
      <c r="O57" s="43"/>
      <c r="P57" s="43"/>
      <c r="Q57" s="128"/>
      <c r="R57" s="129" t="str">
        <f>IF(Table414[[#This Row],[Rubrique]]="","",Table414[[#This Row],[Qté]]*Table414[[#This Row],[Prix unitaire]])</f>
        <v/>
      </c>
      <c r="T57" s="43"/>
      <c r="U57" s="43"/>
      <c r="V57" s="43"/>
      <c r="W57" s="43"/>
      <c r="X57" s="43"/>
      <c r="Y57" s="128"/>
      <c r="Z57" s="129" t="str">
        <f>IF(Table415[[#This Row],[Rubrique]]="","",Table415[[#This Row],[Qté]]*Table415[[#This Row],[Prix unitaire]])</f>
        <v/>
      </c>
      <c r="AB57" s="43"/>
      <c r="AC57" s="43"/>
      <c r="AD57" s="43"/>
      <c r="AE57" s="43"/>
      <c r="AF57" s="43"/>
      <c r="AG57" s="128"/>
      <c r="AH57" s="129" t="str">
        <f>IF(Table416[[#This Row],[Rubrique]]="","",Table416[[#This Row],[Qté]]*Table416[[#This Row],[Prix unitaire]])</f>
        <v/>
      </c>
      <c r="AJ57" s="43"/>
      <c r="AK57" s="43"/>
      <c r="AL57" s="43"/>
      <c r="AM57" s="43"/>
      <c r="AN57" s="43"/>
      <c r="AO57" s="128"/>
      <c r="AP57" s="129" t="str">
        <f>IF(Table417[[#This Row],[Rubrique]]="","",Table417[[#This Row],[Qté]]*Table417[[#This Row],[Prix unitaire]])</f>
        <v/>
      </c>
      <c r="AR57" s="43"/>
      <c r="AS57" s="43"/>
      <c r="AT57" s="43"/>
      <c r="AU57" s="43"/>
      <c r="AV57" s="43"/>
      <c r="AW57" s="128"/>
      <c r="AX57" s="129" t="str">
        <f>IF(Table418[[#This Row],[Rubrique]]="","",Table418[[#This Row],[Qté]]*Table418[[#This Row],[Prix unitaire]])</f>
        <v/>
      </c>
      <c r="AZ57" s="43"/>
      <c r="BA57" s="43"/>
      <c r="BB57" s="43"/>
      <c r="BC57" s="43"/>
      <c r="BD57" s="43"/>
      <c r="BE57" s="128"/>
      <c r="BF57" s="129" t="str">
        <f>IF(Table419[[#This Row],[Rubrique]]="","",Table419[[#This Row],[Qté]]*Table419[[#This Row],[Prix unitaire]])</f>
        <v/>
      </c>
      <c r="BH57" s="43"/>
      <c r="BI57" s="43"/>
      <c r="BJ57" s="43"/>
      <c r="BK57" s="43"/>
      <c r="BL57" s="43"/>
      <c r="BM57" s="128"/>
      <c r="BN57" s="129" t="str">
        <f>IF(Table420[[#This Row],[Rubrique]]="","",Table420[[#This Row],[Qté]]*Table420[[#This Row],[Prix unitaire]])</f>
        <v/>
      </c>
      <c r="BP57" s="43"/>
      <c r="BQ57" s="43"/>
      <c r="BR57" s="43"/>
      <c r="BS57" s="43"/>
      <c r="BT57" s="43"/>
      <c r="BU57" s="128"/>
      <c r="BV57" s="129" t="str">
        <f>IF(Table421[[#This Row],[Rubrique]]="","",Table421[[#This Row],[Qté]]*Table421[[#This Row],[Prix unitaire]])</f>
        <v/>
      </c>
      <c r="BX57" s="43"/>
      <c r="BY57" s="43"/>
      <c r="BZ57" s="43"/>
      <c r="CA57" s="43"/>
      <c r="CB57" s="43"/>
      <c r="CC57" s="128"/>
      <c r="CD57" s="129" t="str">
        <f>IF(Table422[[#This Row],[Rubrique]]="","",Table422[[#This Row],[Qté]]*Table422[[#This Row],[Prix unitaire]])</f>
        <v/>
      </c>
      <c r="CF57" s="43"/>
      <c r="CG57" s="43"/>
      <c r="CH57" s="43"/>
      <c r="CI57" s="43"/>
      <c r="CJ57" s="43"/>
      <c r="CK57" s="128"/>
      <c r="CL57" s="129" t="str">
        <f>IF(Table424[[#This Row],[Rubrique]]="","",Table424[[#This Row],[Qté]]*Table424[[#This Row],[Prix unitaire]])</f>
        <v/>
      </c>
      <c r="CN57" s="43"/>
      <c r="CO57" s="43"/>
      <c r="CP57" s="43"/>
      <c r="CQ57" s="43"/>
      <c r="CR57" s="43"/>
      <c r="CS57" s="128"/>
      <c r="CT57" s="129" t="str">
        <f>IF(Table425[[#This Row],[Rubrique]]="","",Table425[[#This Row],[Qté]]*Table425[[#This Row],[Prix unitaire]])</f>
        <v/>
      </c>
      <c r="CV57" s="43"/>
      <c r="CW57" s="43"/>
      <c r="CX57" s="43"/>
      <c r="CY57" s="43"/>
      <c r="CZ57" s="43"/>
      <c r="DA57" s="128"/>
      <c r="DB57" s="129" t="str">
        <f>IF(Table42526[[#This Row],[Rubrique]]="","",Table42526[[#This Row],[Qté]]*Table42526[[#This Row],[Prix unitaire]])</f>
        <v/>
      </c>
      <c r="DD57" s="43"/>
      <c r="DE57" s="43"/>
      <c r="DF57" s="43"/>
      <c r="DG57" s="43"/>
      <c r="DH57" s="43"/>
      <c r="DI57" s="128"/>
      <c r="DJ57" s="129" t="str">
        <f>IF(Table42527[[#This Row],[Rubrique]]="","",Table42527[[#This Row],[Qté]]*Table42527[[#This Row],[Prix unitaire]])</f>
        <v/>
      </c>
    </row>
    <row r="58" spans="1:114" x14ac:dyDescent="0.25">
      <c r="A58" s="187" t="str">
        <f>IF(Listes!A57="","",Listes!A57)</f>
        <v/>
      </c>
      <c r="B5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8" s="43"/>
      <c r="E58" s="43"/>
      <c r="F58" s="43"/>
      <c r="G58" s="43"/>
      <c r="H58" s="43"/>
      <c r="I58" s="128"/>
      <c r="J58" s="129" t="str">
        <f>IF(Table4[[#This Row],[Rubrique]]="","",Table4[[#This Row],[Qté]]*Table4[[#This Row],[Prix unitaire]])</f>
        <v/>
      </c>
      <c r="L58" s="43"/>
      <c r="M58" s="43"/>
      <c r="N58" s="43"/>
      <c r="O58" s="43"/>
      <c r="P58" s="43"/>
      <c r="Q58" s="128"/>
      <c r="R58" s="129" t="str">
        <f>IF(Table414[[#This Row],[Rubrique]]="","",Table414[[#This Row],[Qté]]*Table414[[#This Row],[Prix unitaire]])</f>
        <v/>
      </c>
      <c r="T58" s="43"/>
      <c r="U58" s="43"/>
      <c r="V58" s="43"/>
      <c r="W58" s="43"/>
      <c r="X58" s="43"/>
      <c r="Y58" s="128"/>
      <c r="Z58" s="129" t="str">
        <f>IF(Table415[[#This Row],[Rubrique]]="","",Table415[[#This Row],[Qté]]*Table415[[#This Row],[Prix unitaire]])</f>
        <v/>
      </c>
      <c r="AB58" s="43"/>
      <c r="AC58" s="43"/>
      <c r="AD58" s="43"/>
      <c r="AE58" s="43"/>
      <c r="AF58" s="43"/>
      <c r="AG58" s="128"/>
      <c r="AH58" s="129" t="str">
        <f>IF(Table416[[#This Row],[Rubrique]]="","",Table416[[#This Row],[Qté]]*Table416[[#This Row],[Prix unitaire]])</f>
        <v/>
      </c>
      <c r="AJ58" s="43"/>
      <c r="AK58" s="43"/>
      <c r="AL58" s="43"/>
      <c r="AM58" s="43"/>
      <c r="AN58" s="43"/>
      <c r="AO58" s="128"/>
      <c r="AP58" s="129" t="str">
        <f>IF(Table417[[#This Row],[Rubrique]]="","",Table417[[#This Row],[Qté]]*Table417[[#This Row],[Prix unitaire]])</f>
        <v/>
      </c>
      <c r="AR58" s="43"/>
      <c r="AS58" s="43"/>
      <c r="AT58" s="43"/>
      <c r="AU58" s="43"/>
      <c r="AV58" s="43"/>
      <c r="AW58" s="128"/>
      <c r="AX58" s="129" t="str">
        <f>IF(Table418[[#This Row],[Rubrique]]="","",Table418[[#This Row],[Qté]]*Table418[[#This Row],[Prix unitaire]])</f>
        <v/>
      </c>
      <c r="AZ58" s="43"/>
      <c r="BA58" s="43"/>
      <c r="BB58" s="43"/>
      <c r="BC58" s="43"/>
      <c r="BD58" s="43"/>
      <c r="BE58" s="128"/>
      <c r="BF58" s="129" t="str">
        <f>IF(Table419[[#This Row],[Rubrique]]="","",Table419[[#This Row],[Qté]]*Table419[[#This Row],[Prix unitaire]])</f>
        <v/>
      </c>
      <c r="BH58" s="43"/>
      <c r="BI58" s="43"/>
      <c r="BJ58" s="43"/>
      <c r="BK58" s="43"/>
      <c r="BL58" s="43"/>
      <c r="BM58" s="128"/>
      <c r="BN58" s="129" t="str">
        <f>IF(Table420[[#This Row],[Rubrique]]="","",Table420[[#This Row],[Qté]]*Table420[[#This Row],[Prix unitaire]])</f>
        <v/>
      </c>
      <c r="BP58" s="43"/>
      <c r="BQ58" s="43"/>
      <c r="BR58" s="43"/>
      <c r="BS58" s="43"/>
      <c r="BT58" s="43"/>
      <c r="BU58" s="128"/>
      <c r="BV58" s="129" t="str">
        <f>IF(Table421[[#This Row],[Rubrique]]="","",Table421[[#This Row],[Qté]]*Table421[[#This Row],[Prix unitaire]])</f>
        <v/>
      </c>
      <c r="BX58" s="43"/>
      <c r="BY58" s="43"/>
      <c r="BZ58" s="43"/>
      <c r="CA58" s="43"/>
      <c r="CB58" s="43"/>
      <c r="CC58" s="128"/>
      <c r="CD58" s="129" t="str">
        <f>IF(Table422[[#This Row],[Rubrique]]="","",Table422[[#This Row],[Qté]]*Table422[[#This Row],[Prix unitaire]])</f>
        <v/>
      </c>
      <c r="CF58" s="43"/>
      <c r="CG58" s="43"/>
      <c r="CH58" s="43"/>
      <c r="CI58" s="43"/>
      <c r="CJ58" s="43"/>
      <c r="CK58" s="128"/>
      <c r="CL58" s="129" t="str">
        <f>IF(Table424[[#This Row],[Rubrique]]="","",Table424[[#This Row],[Qté]]*Table424[[#This Row],[Prix unitaire]])</f>
        <v/>
      </c>
      <c r="CN58" s="43"/>
      <c r="CO58" s="43"/>
      <c r="CP58" s="43"/>
      <c r="CQ58" s="43"/>
      <c r="CR58" s="43"/>
      <c r="CS58" s="128"/>
      <c r="CT58" s="129" t="str">
        <f>IF(Table425[[#This Row],[Rubrique]]="","",Table425[[#This Row],[Qté]]*Table425[[#This Row],[Prix unitaire]])</f>
        <v/>
      </c>
      <c r="CV58" s="43"/>
      <c r="CW58" s="43"/>
      <c r="CX58" s="43"/>
      <c r="CY58" s="43"/>
      <c r="CZ58" s="43"/>
      <c r="DA58" s="128"/>
      <c r="DB58" s="129" t="str">
        <f>IF(Table42526[[#This Row],[Rubrique]]="","",Table42526[[#This Row],[Qté]]*Table42526[[#This Row],[Prix unitaire]])</f>
        <v/>
      </c>
      <c r="DD58" s="43"/>
      <c r="DE58" s="43"/>
      <c r="DF58" s="43"/>
      <c r="DG58" s="43"/>
      <c r="DH58" s="43"/>
      <c r="DI58" s="128"/>
      <c r="DJ58" s="129" t="str">
        <f>IF(Table42527[[#This Row],[Rubrique]]="","",Table42527[[#This Row],[Qté]]*Table42527[[#This Row],[Prix unitaire]])</f>
        <v/>
      </c>
    </row>
    <row r="59" spans="1:114" x14ac:dyDescent="0.25">
      <c r="A59" s="187" t="str">
        <f>IF(Listes!A58="","",Listes!A58)</f>
        <v/>
      </c>
      <c r="B59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59" s="43"/>
      <c r="E59" s="43"/>
      <c r="F59" s="43"/>
      <c r="G59" s="43"/>
      <c r="H59" s="43"/>
      <c r="I59" s="128"/>
      <c r="J59" s="129" t="str">
        <f>IF(Table4[[#This Row],[Rubrique]]="","",Table4[[#This Row],[Qté]]*Table4[[#This Row],[Prix unitaire]])</f>
        <v/>
      </c>
      <c r="L59" s="43"/>
      <c r="M59" s="43"/>
      <c r="N59" s="43"/>
      <c r="O59" s="43"/>
      <c r="P59" s="43"/>
      <c r="Q59" s="128"/>
      <c r="R59" s="129" t="str">
        <f>IF(Table414[[#This Row],[Rubrique]]="","",Table414[[#This Row],[Qté]]*Table414[[#This Row],[Prix unitaire]])</f>
        <v/>
      </c>
      <c r="T59" s="43"/>
      <c r="U59" s="43"/>
      <c r="V59" s="43"/>
      <c r="W59" s="43"/>
      <c r="X59" s="43"/>
      <c r="Y59" s="128"/>
      <c r="Z59" s="129" t="str">
        <f>IF(Table415[[#This Row],[Rubrique]]="","",Table415[[#This Row],[Qté]]*Table415[[#This Row],[Prix unitaire]])</f>
        <v/>
      </c>
      <c r="AB59" s="43"/>
      <c r="AC59" s="43"/>
      <c r="AD59" s="43"/>
      <c r="AE59" s="43"/>
      <c r="AF59" s="43"/>
      <c r="AG59" s="128"/>
      <c r="AH59" s="129" t="str">
        <f>IF(Table416[[#This Row],[Rubrique]]="","",Table416[[#This Row],[Qté]]*Table416[[#This Row],[Prix unitaire]])</f>
        <v/>
      </c>
      <c r="AJ59" s="43"/>
      <c r="AK59" s="43"/>
      <c r="AL59" s="43"/>
      <c r="AM59" s="43"/>
      <c r="AN59" s="43"/>
      <c r="AO59" s="128"/>
      <c r="AP59" s="129" t="str">
        <f>IF(Table417[[#This Row],[Rubrique]]="","",Table417[[#This Row],[Qté]]*Table417[[#This Row],[Prix unitaire]])</f>
        <v/>
      </c>
      <c r="AR59" s="43"/>
      <c r="AS59" s="43"/>
      <c r="AT59" s="43"/>
      <c r="AU59" s="43"/>
      <c r="AV59" s="43"/>
      <c r="AW59" s="128"/>
      <c r="AX59" s="129" t="str">
        <f>IF(Table418[[#This Row],[Rubrique]]="","",Table418[[#This Row],[Qté]]*Table418[[#This Row],[Prix unitaire]])</f>
        <v/>
      </c>
      <c r="AZ59" s="43"/>
      <c r="BA59" s="43"/>
      <c r="BB59" s="43"/>
      <c r="BC59" s="43"/>
      <c r="BD59" s="43"/>
      <c r="BE59" s="128"/>
      <c r="BF59" s="129" t="str">
        <f>IF(Table419[[#This Row],[Rubrique]]="","",Table419[[#This Row],[Qté]]*Table419[[#This Row],[Prix unitaire]])</f>
        <v/>
      </c>
      <c r="BH59" s="43"/>
      <c r="BI59" s="43"/>
      <c r="BJ59" s="43"/>
      <c r="BK59" s="43"/>
      <c r="BL59" s="43"/>
      <c r="BM59" s="128"/>
      <c r="BN59" s="129" t="str">
        <f>IF(Table420[[#This Row],[Rubrique]]="","",Table420[[#This Row],[Qté]]*Table420[[#This Row],[Prix unitaire]])</f>
        <v/>
      </c>
      <c r="BP59" s="43"/>
      <c r="BQ59" s="43"/>
      <c r="BR59" s="43"/>
      <c r="BS59" s="43"/>
      <c r="BT59" s="43"/>
      <c r="BU59" s="128"/>
      <c r="BV59" s="129" t="str">
        <f>IF(Table421[[#This Row],[Rubrique]]="","",Table421[[#This Row],[Qté]]*Table421[[#This Row],[Prix unitaire]])</f>
        <v/>
      </c>
      <c r="BX59" s="43"/>
      <c r="BY59" s="43"/>
      <c r="BZ59" s="43"/>
      <c r="CA59" s="43"/>
      <c r="CB59" s="43"/>
      <c r="CC59" s="128"/>
      <c r="CD59" s="129" t="str">
        <f>IF(Table422[[#This Row],[Rubrique]]="","",Table422[[#This Row],[Qté]]*Table422[[#This Row],[Prix unitaire]])</f>
        <v/>
      </c>
      <c r="CF59" s="43"/>
      <c r="CG59" s="43"/>
      <c r="CH59" s="43"/>
      <c r="CI59" s="43"/>
      <c r="CJ59" s="43"/>
      <c r="CK59" s="128"/>
      <c r="CL59" s="129" t="str">
        <f>IF(Table424[[#This Row],[Rubrique]]="","",Table424[[#This Row],[Qté]]*Table424[[#This Row],[Prix unitaire]])</f>
        <v/>
      </c>
      <c r="CN59" s="43"/>
      <c r="CO59" s="43"/>
      <c r="CP59" s="43"/>
      <c r="CQ59" s="43"/>
      <c r="CR59" s="43"/>
      <c r="CS59" s="128"/>
      <c r="CT59" s="129" t="str">
        <f>IF(Table425[[#This Row],[Rubrique]]="","",Table425[[#This Row],[Qté]]*Table425[[#This Row],[Prix unitaire]])</f>
        <v/>
      </c>
      <c r="CV59" s="43"/>
      <c r="CW59" s="43"/>
      <c r="CX59" s="43"/>
      <c r="CY59" s="43"/>
      <c r="CZ59" s="43"/>
      <c r="DA59" s="128"/>
      <c r="DB59" s="129" t="str">
        <f>IF(Table42526[[#This Row],[Rubrique]]="","",Table42526[[#This Row],[Qté]]*Table42526[[#This Row],[Prix unitaire]])</f>
        <v/>
      </c>
      <c r="DD59" s="43"/>
      <c r="DE59" s="43"/>
      <c r="DF59" s="43"/>
      <c r="DG59" s="43"/>
      <c r="DH59" s="43"/>
      <c r="DI59" s="128"/>
      <c r="DJ59" s="129" t="str">
        <f>IF(Table42527[[#This Row],[Rubrique]]="","",Table42527[[#This Row],[Qté]]*Table42527[[#This Row],[Prix unitaire]])</f>
        <v/>
      </c>
    </row>
    <row r="60" spans="1:114" x14ac:dyDescent="0.25">
      <c r="A60" s="187" t="str">
        <f>IF(Listes!A59="","",Listes!A59)</f>
        <v/>
      </c>
      <c r="B60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0" s="43"/>
      <c r="E60" s="43"/>
      <c r="F60" s="43"/>
      <c r="G60" s="43"/>
      <c r="H60" s="43"/>
      <c r="I60" s="128"/>
      <c r="J60" s="129" t="str">
        <f>IF(Table4[[#This Row],[Rubrique]]="","",Table4[[#This Row],[Qté]]*Table4[[#This Row],[Prix unitaire]])</f>
        <v/>
      </c>
      <c r="L60" s="43"/>
      <c r="M60" s="43"/>
      <c r="N60" s="43"/>
      <c r="O60" s="43"/>
      <c r="P60" s="43"/>
      <c r="Q60" s="128"/>
      <c r="R60" s="129" t="str">
        <f>IF(Table414[[#This Row],[Rubrique]]="","",Table414[[#This Row],[Qté]]*Table414[[#This Row],[Prix unitaire]])</f>
        <v/>
      </c>
      <c r="T60" s="43"/>
      <c r="U60" s="43"/>
      <c r="V60" s="43"/>
      <c r="W60" s="43"/>
      <c r="X60" s="43"/>
      <c r="Y60" s="128"/>
      <c r="Z60" s="129" t="str">
        <f>IF(Table415[[#This Row],[Rubrique]]="","",Table415[[#This Row],[Qté]]*Table415[[#This Row],[Prix unitaire]])</f>
        <v/>
      </c>
      <c r="AB60" s="43"/>
      <c r="AC60" s="43"/>
      <c r="AD60" s="43"/>
      <c r="AE60" s="43"/>
      <c r="AF60" s="43"/>
      <c r="AG60" s="128"/>
      <c r="AH60" s="129" t="str">
        <f>IF(Table416[[#This Row],[Rubrique]]="","",Table416[[#This Row],[Qté]]*Table416[[#This Row],[Prix unitaire]])</f>
        <v/>
      </c>
      <c r="AJ60" s="43"/>
      <c r="AK60" s="43"/>
      <c r="AL60" s="43"/>
      <c r="AM60" s="43"/>
      <c r="AN60" s="43"/>
      <c r="AO60" s="128"/>
      <c r="AP60" s="129" t="str">
        <f>IF(Table417[[#This Row],[Rubrique]]="","",Table417[[#This Row],[Qté]]*Table417[[#This Row],[Prix unitaire]])</f>
        <v/>
      </c>
      <c r="AR60" s="43"/>
      <c r="AS60" s="43"/>
      <c r="AT60" s="43"/>
      <c r="AU60" s="43"/>
      <c r="AV60" s="43"/>
      <c r="AW60" s="128"/>
      <c r="AX60" s="129" t="str">
        <f>IF(Table418[[#This Row],[Rubrique]]="","",Table418[[#This Row],[Qté]]*Table418[[#This Row],[Prix unitaire]])</f>
        <v/>
      </c>
      <c r="AZ60" s="43"/>
      <c r="BA60" s="43"/>
      <c r="BB60" s="43"/>
      <c r="BC60" s="43"/>
      <c r="BD60" s="43"/>
      <c r="BE60" s="128"/>
      <c r="BF60" s="129" t="str">
        <f>IF(Table419[[#This Row],[Rubrique]]="","",Table419[[#This Row],[Qté]]*Table419[[#This Row],[Prix unitaire]])</f>
        <v/>
      </c>
      <c r="BH60" s="43"/>
      <c r="BI60" s="43"/>
      <c r="BJ60" s="43"/>
      <c r="BK60" s="43"/>
      <c r="BL60" s="43"/>
      <c r="BM60" s="128"/>
      <c r="BN60" s="129" t="str">
        <f>IF(Table420[[#This Row],[Rubrique]]="","",Table420[[#This Row],[Qté]]*Table420[[#This Row],[Prix unitaire]])</f>
        <v/>
      </c>
      <c r="BP60" s="43"/>
      <c r="BQ60" s="43"/>
      <c r="BR60" s="43"/>
      <c r="BS60" s="43"/>
      <c r="BT60" s="43"/>
      <c r="BU60" s="128"/>
      <c r="BV60" s="129" t="str">
        <f>IF(Table421[[#This Row],[Rubrique]]="","",Table421[[#This Row],[Qté]]*Table421[[#This Row],[Prix unitaire]])</f>
        <v/>
      </c>
      <c r="BX60" s="43"/>
      <c r="BY60" s="43"/>
      <c r="BZ60" s="43"/>
      <c r="CA60" s="43"/>
      <c r="CB60" s="43"/>
      <c r="CC60" s="128"/>
      <c r="CD60" s="129" t="str">
        <f>IF(Table422[[#This Row],[Rubrique]]="","",Table422[[#This Row],[Qté]]*Table422[[#This Row],[Prix unitaire]])</f>
        <v/>
      </c>
      <c r="CF60" s="43"/>
      <c r="CG60" s="43"/>
      <c r="CH60" s="43"/>
      <c r="CI60" s="43"/>
      <c r="CJ60" s="43"/>
      <c r="CK60" s="128"/>
      <c r="CL60" s="129" t="str">
        <f>IF(Table424[[#This Row],[Rubrique]]="","",Table424[[#This Row],[Qté]]*Table424[[#This Row],[Prix unitaire]])</f>
        <v/>
      </c>
      <c r="CN60" s="43"/>
      <c r="CO60" s="43"/>
      <c r="CP60" s="43"/>
      <c r="CQ60" s="43"/>
      <c r="CR60" s="43"/>
      <c r="CS60" s="128"/>
      <c r="CT60" s="129" t="str">
        <f>IF(Table425[[#This Row],[Rubrique]]="","",Table425[[#This Row],[Qté]]*Table425[[#This Row],[Prix unitaire]])</f>
        <v/>
      </c>
      <c r="CV60" s="43"/>
      <c r="CW60" s="43"/>
      <c r="CX60" s="43"/>
      <c r="CY60" s="43"/>
      <c r="CZ60" s="43"/>
      <c r="DA60" s="128"/>
      <c r="DB60" s="129" t="str">
        <f>IF(Table42526[[#This Row],[Rubrique]]="","",Table42526[[#This Row],[Qté]]*Table42526[[#This Row],[Prix unitaire]])</f>
        <v/>
      </c>
      <c r="DD60" s="43"/>
      <c r="DE60" s="43"/>
      <c r="DF60" s="43"/>
      <c r="DG60" s="43"/>
      <c r="DH60" s="43"/>
      <c r="DI60" s="128"/>
      <c r="DJ60" s="129" t="str">
        <f>IF(Table42527[[#This Row],[Rubrique]]="","",Table42527[[#This Row],[Qté]]*Table42527[[#This Row],[Prix unitaire]])</f>
        <v/>
      </c>
    </row>
    <row r="61" spans="1:114" x14ac:dyDescent="0.25">
      <c r="A61" s="187" t="str">
        <f>IF(Listes!A60="","",Listes!A60)</f>
        <v/>
      </c>
      <c r="B61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1" s="43"/>
      <c r="E61" s="43"/>
      <c r="F61" s="43"/>
      <c r="G61" s="43"/>
      <c r="H61" s="43"/>
      <c r="I61" s="128"/>
      <c r="J61" s="129" t="str">
        <f>IF(Table4[[#This Row],[Rubrique]]="","",Table4[[#This Row],[Qté]]*Table4[[#This Row],[Prix unitaire]])</f>
        <v/>
      </c>
      <c r="L61" s="43"/>
      <c r="M61" s="43"/>
      <c r="N61" s="43"/>
      <c r="O61" s="43"/>
      <c r="P61" s="43"/>
      <c r="Q61" s="128"/>
      <c r="R61" s="129" t="str">
        <f>IF(Table414[[#This Row],[Rubrique]]="","",Table414[[#This Row],[Qté]]*Table414[[#This Row],[Prix unitaire]])</f>
        <v/>
      </c>
      <c r="T61" s="43"/>
      <c r="U61" s="43"/>
      <c r="V61" s="43"/>
      <c r="W61" s="43"/>
      <c r="X61" s="43"/>
      <c r="Y61" s="128"/>
      <c r="Z61" s="129" t="str">
        <f>IF(Table415[[#This Row],[Rubrique]]="","",Table415[[#This Row],[Qté]]*Table415[[#This Row],[Prix unitaire]])</f>
        <v/>
      </c>
      <c r="AB61" s="43"/>
      <c r="AC61" s="43"/>
      <c r="AD61" s="43"/>
      <c r="AE61" s="43"/>
      <c r="AF61" s="43"/>
      <c r="AG61" s="128"/>
      <c r="AH61" s="129" t="str">
        <f>IF(Table416[[#This Row],[Rubrique]]="","",Table416[[#This Row],[Qté]]*Table416[[#This Row],[Prix unitaire]])</f>
        <v/>
      </c>
      <c r="AJ61" s="43"/>
      <c r="AK61" s="43"/>
      <c r="AL61" s="43"/>
      <c r="AM61" s="43"/>
      <c r="AN61" s="43"/>
      <c r="AO61" s="128"/>
      <c r="AP61" s="129" t="str">
        <f>IF(Table417[[#This Row],[Rubrique]]="","",Table417[[#This Row],[Qté]]*Table417[[#This Row],[Prix unitaire]])</f>
        <v/>
      </c>
      <c r="AR61" s="43"/>
      <c r="AS61" s="43"/>
      <c r="AT61" s="43"/>
      <c r="AU61" s="43"/>
      <c r="AV61" s="43"/>
      <c r="AW61" s="128"/>
      <c r="AX61" s="129" t="str">
        <f>IF(Table418[[#This Row],[Rubrique]]="","",Table418[[#This Row],[Qté]]*Table418[[#This Row],[Prix unitaire]])</f>
        <v/>
      </c>
      <c r="AZ61" s="43"/>
      <c r="BA61" s="43"/>
      <c r="BB61" s="43"/>
      <c r="BC61" s="43"/>
      <c r="BD61" s="43"/>
      <c r="BE61" s="128"/>
      <c r="BF61" s="129" t="str">
        <f>IF(Table419[[#This Row],[Rubrique]]="","",Table419[[#This Row],[Qté]]*Table419[[#This Row],[Prix unitaire]])</f>
        <v/>
      </c>
      <c r="BH61" s="43"/>
      <c r="BI61" s="43"/>
      <c r="BJ61" s="43"/>
      <c r="BK61" s="43"/>
      <c r="BL61" s="43"/>
      <c r="BM61" s="128"/>
      <c r="BN61" s="129" t="str">
        <f>IF(Table420[[#This Row],[Rubrique]]="","",Table420[[#This Row],[Qté]]*Table420[[#This Row],[Prix unitaire]])</f>
        <v/>
      </c>
      <c r="BP61" s="43"/>
      <c r="BQ61" s="43"/>
      <c r="BR61" s="43"/>
      <c r="BS61" s="43"/>
      <c r="BT61" s="43"/>
      <c r="BU61" s="128"/>
      <c r="BV61" s="129" t="str">
        <f>IF(Table421[[#This Row],[Rubrique]]="","",Table421[[#This Row],[Qté]]*Table421[[#This Row],[Prix unitaire]])</f>
        <v/>
      </c>
      <c r="BX61" s="43"/>
      <c r="BY61" s="43"/>
      <c r="BZ61" s="43"/>
      <c r="CA61" s="43"/>
      <c r="CB61" s="43"/>
      <c r="CC61" s="128"/>
      <c r="CD61" s="129" t="str">
        <f>IF(Table422[[#This Row],[Rubrique]]="","",Table422[[#This Row],[Qté]]*Table422[[#This Row],[Prix unitaire]])</f>
        <v/>
      </c>
      <c r="CF61" s="43"/>
      <c r="CG61" s="43"/>
      <c r="CH61" s="43"/>
      <c r="CI61" s="43"/>
      <c r="CJ61" s="43"/>
      <c r="CK61" s="128"/>
      <c r="CL61" s="129" t="str">
        <f>IF(Table424[[#This Row],[Rubrique]]="","",Table424[[#This Row],[Qté]]*Table424[[#This Row],[Prix unitaire]])</f>
        <v/>
      </c>
      <c r="CN61" s="43"/>
      <c r="CO61" s="43"/>
      <c r="CP61" s="43"/>
      <c r="CQ61" s="43"/>
      <c r="CR61" s="43"/>
      <c r="CS61" s="128"/>
      <c r="CT61" s="129" t="str">
        <f>IF(Table425[[#This Row],[Rubrique]]="","",Table425[[#This Row],[Qté]]*Table425[[#This Row],[Prix unitaire]])</f>
        <v/>
      </c>
      <c r="CV61" s="43"/>
      <c r="CW61" s="43"/>
      <c r="CX61" s="43"/>
      <c r="CY61" s="43"/>
      <c r="CZ61" s="43"/>
      <c r="DA61" s="128"/>
      <c r="DB61" s="129" t="str">
        <f>IF(Table42526[[#This Row],[Rubrique]]="","",Table42526[[#This Row],[Qté]]*Table42526[[#This Row],[Prix unitaire]])</f>
        <v/>
      </c>
      <c r="DD61" s="43"/>
      <c r="DE61" s="43"/>
      <c r="DF61" s="43"/>
      <c r="DG61" s="43"/>
      <c r="DH61" s="43"/>
      <c r="DI61" s="128"/>
      <c r="DJ61" s="129" t="str">
        <f>IF(Table42527[[#This Row],[Rubrique]]="","",Table42527[[#This Row],[Qté]]*Table42527[[#This Row],[Prix unitaire]])</f>
        <v/>
      </c>
    </row>
    <row r="62" spans="1:114" x14ac:dyDescent="0.25">
      <c r="A62" s="187" t="str">
        <f>IF(Listes!A61="","",Listes!A61)</f>
        <v/>
      </c>
      <c r="B62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2" s="43"/>
      <c r="E62" s="43"/>
      <c r="F62" s="43"/>
      <c r="G62" s="43"/>
      <c r="H62" s="43"/>
      <c r="I62" s="128"/>
      <c r="J62" s="129" t="str">
        <f>IF(Table4[[#This Row],[Rubrique]]="","",Table4[[#This Row],[Qté]]*Table4[[#This Row],[Prix unitaire]])</f>
        <v/>
      </c>
      <c r="L62" s="43"/>
      <c r="M62" s="43"/>
      <c r="N62" s="43"/>
      <c r="O62" s="43"/>
      <c r="P62" s="43"/>
      <c r="Q62" s="128"/>
      <c r="R62" s="129" t="str">
        <f>IF(Table414[[#This Row],[Rubrique]]="","",Table414[[#This Row],[Qté]]*Table414[[#This Row],[Prix unitaire]])</f>
        <v/>
      </c>
      <c r="T62" s="43"/>
      <c r="U62" s="43"/>
      <c r="V62" s="43"/>
      <c r="W62" s="43"/>
      <c r="X62" s="43"/>
      <c r="Y62" s="128"/>
      <c r="Z62" s="129" t="str">
        <f>IF(Table415[[#This Row],[Rubrique]]="","",Table415[[#This Row],[Qté]]*Table415[[#This Row],[Prix unitaire]])</f>
        <v/>
      </c>
      <c r="AB62" s="43"/>
      <c r="AC62" s="43"/>
      <c r="AD62" s="43"/>
      <c r="AE62" s="43"/>
      <c r="AF62" s="43"/>
      <c r="AG62" s="128"/>
      <c r="AH62" s="129" t="str">
        <f>IF(Table416[[#This Row],[Rubrique]]="","",Table416[[#This Row],[Qté]]*Table416[[#This Row],[Prix unitaire]])</f>
        <v/>
      </c>
      <c r="AJ62" s="43"/>
      <c r="AK62" s="43"/>
      <c r="AL62" s="43"/>
      <c r="AM62" s="43"/>
      <c r="AN62" s="43"/>
      <c r="AO62" s="128"/>
      <c r="AP62" s="129" t="str">
        <f>IF(Table417[[#This Row],[Rubrique]]="","",Table417[[#This Row],[Qté]]*Table417[[#This Row],[Prix unitaire]])</f>
        <v/>
      </c>
      <c r="AR62" s="43"/>
      <c r="AS62" s="43"/>
      <c r="AT62" s="43"/>
      <c r="AU62" s="43"/>
      <c r="AV62" s="43"/>
      <c r="AW62" s="128"/>
      <c r="AX62" s="129" t="str">
        <f>IF(Table418[[#This Row],[Rubrique]]="","",Table418[[#This Row],[Qté]]*Table418[[#This Row],[Prix unitaire]])</f>
        <v/>
      </c>
      <c r="AZ62" s="43"/>
      <c r="BA62" s="43"/>
      <c r="BB62" s="43"/>
      <c r="BC62" s="43"/>
      <c r="BD62" s="43"/>
      <c r="BE62" s="128"/>
      <c r="BF62" s="129" t="str">
        <f>IF(Table419[[#This Row],[Rubrique]]="","",Table419[[#This Row],[Qté]]*Table419[[#This Row],[Prix unitaire]])</f>
        <v/>
      </c>
      <c r="BH62" s="43"/>
      <c r="BI62" s="43"/>
      <c r="BJ62" s="43"/>
      <c r="BK62" s="43"/>
      <c r="BL62" s="43"/>
      <c r="BM62" s="128"/>
      <c r="BN62" s="129" t="str">
        <f>IF(Table420[[#This Row],[Rubrique]]="","",Table420[[#This Row],[Qté]]*Table420[[#This Row],[Prix unitaire]])</f>
        <v/>
      </c>
      <c r="BP62" s="43"/>
      <c r="BQ62" s="43"/>
      <c r="BR62" s="43"/>
      <c r="BS62" s="43"/>
      <c r="BT62" s="43"/>
      <c r="BU62" s="128"/>
      <c r="BV62" s="129" t="str">
        <f>IF(Table421[[#This Row],[Rubrique]]="","",Table421[[#This Row],[Qté]]*Table421[[#This Row],[Prix unitaire]])</f>
        <v/>
      </c>
      <c r="BX62" s="43"/>
      <c r="BY62" s="43"/>
      <c r="BZ62" s="43"/>
      <c r="CA62" s="43"/>
      <c r="CB62" s="43"/>
      <c r="CC62" s="128"/>
      <c r="CD62" s="129" t="str">
        <f>IF(Table422[[#This Row],[Rubrique]]="","",Table422[[#This Row],[Qté]]*Table422[[#This Row],[Prix unitaire]])</f>
        <v/>
      </c>
      <c r="CF62" s="43"/>
      <c r="CG62" s="43"/>
      <c r="CH62" s="43"/>
      <c r="CI62" s="43"/>
      <c r="CJ62" s="43"/>
      <c r="CK62" s="128"/>
      <c r="CL62" s="129" t="str">
        <f>IF(Table424[[#This Row],[Rubrique]]="","",Table424[[#This Row],[Qté]]*Table424[[#This Row],[Prix unitaire]])</f>
        <v/>
      </c>
      <c r="CN62" s="43"/>
      <c r="CO62" s="43"/>
      <c r="CP62" s="43"/>
      <c r="CQ62" s="43"/>
      <c r="CR62" s="43"/>
      <c r="CS62" s="128"/>
      <c r="CT62" s="129" t="str">
        <f>IF(Table425[[#This Row],[Rubrique]]="","",Table425[[#This Row],[Qté]]*Table425[[#This Row],[Prix unitaire]])</f>
        <v/>
      </c>
      <c r="CV62" s="43"/>
      <c r="CW62" s="43"/>
      <c r="CX62" s="43"/>
      <c r="CY62" s="43"/>
      <c r="CZ62" s="43"/>
      <c r="DA62" s="128"/>
      <c r="DB62" s="129" t="str">
        <f>IF(Table42526[[#This Row],[Rubrique]]="","",Table42526[[#This Row],[Qté]]*Table42526[[#This Row],[Prix unitaire]])</f>
        <v/>
      </c>
      <c r="DD62" s="43"/>
      <c r="DE62" s="43"/>
      <c r="DF62" s="43"/>
      <c r="DG62" s="43"/>
      <c r="DH62" s="43"/>
      <c r="DI62" s="128"/>
      <c r="DJ62" s="129" t="str">
        <f>IF(Table42527[[#This Row],[Rubrique]]="","",Table42527[[#This Row],[Qté]]*Table42527[[#This Row],[Prix unitaire]])</f>
        <v/>
      </c>
    </row>
    <row r="63" spans="1:114" x14ac:dyDescent="0.25">
      <c r="A63" s="187" t="str">
        <f>IF(Listes!A62="","",Listes!A62)</f>
        <v/>
      </c>
      <c r="B63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3" s="43"/>
      <c r="E63" s="43"/>
      <c r="F63" s="43"/>
      <c r="G63" s="43"/>
      <c r="H63" s="43"/>
      <c r="I63" s="128"/>
      <c r="J63" s="129" t="str">
        <f>IF(Table4[[#This Row],[Rubrique]]="","",Table4[[#This Row],[Qté]]*Table4[[#This Row],[Prix unitaire]])</f>
        <v/>
      </c>
      <c r="L63" s="43"/>
      <c r="M63" s="43"/>
      <c r="N63" s="43"/>
      <c r="O63" s="43"/>
      <c r="P63" s="43"/>
      <c r="Q63" s="128"/>
      <c r="R63" s="129" t="str">
        <f>IF(Table414[[#This Row],[Rubrique]]="","",Table414[[#This Row],[Qté]]*Table414[[#This Row],[Prix unitaire]])</f>
        <v/>
      </c>
      <c r="T63" s="43"/>
      <c r="U63" s="43"/>
      <c r="V63" s="43"/>
      <c r="W63" s="43"/>
      <c r="X63" s="43"/>
      <c r="Y63" s="128"/>
      <c r="Z63" s="129" t="str">
        <f>IF(Table415[[#This Row],[Rubrique]]="","",Table415[[#This Row],[Qté]]*Table415[[#This Row],[Prix unitaire]])</f>
        <v/>
      </c>
      <c r="AB63" s="43"/>
      <c r="AC63" s="43"/>
      <c r="AD63" s="43"/>
      <c r="AE63" s="43"/>
      <c r="AF63" s="43"/>
      <c r="AG63" s="128"/>
      <c r="AH63" s="129" t="str">
        <f>IF(Table416[[#This Row],[Rubrique]]="","",Table416[[#This Row],[Qté]]*Table416[[#This Row],[Prix unitaire]])</f>
        <v/>
      </c>
      <c r="AJ63" s="43"/>
      <c r="AK63" s="43"/>
      <c r="AL63" s="43"/>
      <c r="AM63" s="43"/>
      <c r="AN63" s="43"/>
      <c r="AO63" s="128"/>
      <c r="AP63" s="129" t="str">
        <f>IF(Table417[[#This Row],[Rubrique]]="","",Table417[[#This Row],[Qté]]*Table417[[#This Row],[Prix unitaire]])</f>
        <v/>
      </c>
      <c r="AR63" s="43"/>
      <c r="AS63" s="43"/>
      <c r="AT63" s="43"/>
      <c r="AU63" s="43"/>
      <c r="AV63" s="43"/>
      <c r="AW63" s="128"/>
      <c r="AX63" s="129" t="str">
        <f>IF(Table418[[#This Row],[Rubrique]]="","",Table418[[#This Row],[Qté]]*Table418[[#This Row],[Prix unitaire]])</f>
        <v/>
      </c>
      <c r="AZ63" s="43"/>
      <c r="BA63" s="43"/>
      <c r="BB63" s="43"/>
      <c r="BC63" s="43"/>
      <c r="BD63" s="43"/>
      <c r="BE63" s="128"/>
      <c r="BF63" s="129" t="str">
        <f>IF(Table419[[#This Row],[Rubrique]]="","",Table419[[#This Row],[Qté]]*Table419[[#This Row],[Prix unitaire]])</f>
        <v/>
      </c>
      <c r="BH63" s="43"/>
      <c r="BI63" s="43"/>
      <c r="BJ63" s="43"/>
      <c r="BK63" s="43"/>
      <c r="BL63" s="43"/>
      <c r="BM63" s="128"/>
      <c r="BN63" s="129" t="str">
        <f>IF(Table420[[#This Row],[Rubrique]]="","",Table420[[#This Row],[Qté]]*Table420[[#This Row],[Prix unitaire]])</f>
        <v/>
      </c>
      <c r="BP63" s="43"/>
      <c r="BQ63" s="43"/>
      <c r="BR63" s="43"/>
      <c r="BS63" s="43"/>
      <c r="BT63" s="43"/>
      <c r="BU63" s="128"/>
      <c r="BV63" s="129" t="str">
        <f>IF(Table421[[#This Row],[Rubrique]]="","",Table421[[#This Row],[Qté]]*Table421[[#This Row],[Prix unitaire]])</f>
        <v/>
      </c>
      <c r="BX63" s="43"/>
      <c r="BY63" s="43"/>
      <c r="BZ63" s="43"/>
      <c r="CA63" s="43"/>
      <c r="CB63" s="43"/>
      <c r="CC63" s="128"/>
      <c r="CD63" s="129" t="str">
        <f>IF(Table422[[#This Row],[Rubrique]]="","",Table422[[#This Row],[Qté]]*Table422[[#This Row],[Prix unitaire]])</f>
        <v/>
      </c>
      <c r="CF63" s="43"/>
      <c r="CG63" s="43"/>
      <c r="CH63" s="43"/>
      <c r="CI63" s="43"/>
      <c r="CJ63" s="43"/>
      <c r="CK63" s="128"/>
      <c r="CL63" s="129" t="str">
        <f>IF(Table424[[#This Row],[Rubrique]]="","",Table424[[#This Row],[Qté]]*Table424[[#This Row],[Prix unitaire]])</f>
        <v/>
      </c>
      <c r="CN63" s="43"/>
      <c r="CO63" s="43"/>
      <c r="CP63" s="43"/>
      <c r="CQ63" s="43"/>
      <c r="CR63" s="43"/>
      <c r="CS63" s="128"/>
      <c r="CT63" s="129" t="str">
        <f>IF(Table425[[#This Row],[Rubrique]]="","",Table425[[#This Row],[Qté]]*Table425[[#This Row],[Prix unitaire]])</f>
        <v/>
      </c>
      <c r="CV63" s="43"/>
      <c r="CW63" s="43"/>
      <c r="CX63" s="43"/>
      <c r="CY63" s="43"/>
      <c r="CZ63" s="43"/>
      <c r="DA63" s="128"/>
      <c r="DB63" s="129" t="str">
        <f>IF(Table42526[[#This Row],[Rubrique]]="","",Table42526[[#This Row],[Qté]]*Table42526[[#This Row],[Prix unitaire]])</f>
        <v/>
      </c>
      <c r="DD63" s="43"/>
      <c r="DE63" s="43"/>
      <c r="DF63" s="43"/>
      <c r="DG63" s="43"/>
      <c r="DH63" s="43"/>
      <c r="DI63" s="128"/>
      <c r="DJ63" s="129" t="str">
        <f>IF(Table42527[[#This Row],[Rubrique]]="","",Table42527[[#This Row],[Qté]]*Table42527[[#This Row],[Prix unitaire]])</f>
        <v/>
      </c>
    </row>
    <row r="64" spans="1:114" x14ac:dyDescent="0.25">
      <c r="A64" s="187" t="str">
        <f>IF(Listes!A63="","",Listes!A63)</f>
        <v/>
      </c>
      <c r="B64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4" s="43"/>
      <c r="E64" s="43"/>
      <c r="F64" s="43"/>
      <c r="G64" s="43"/>
      <c r="H64" s="43"/>
      <c r="I64" s="128"/>
      <c r="J64" s="129" t="str">
        <f>IF(Table4[[#This Row],[Rubrique]]="","",Table4[[#This Row],[Qté]]*Table4[[#This Row],[Prix unitaire]])</f>
        <v/>
      </c>
      <c r="L64" s="43"/>
      <c r="M64" s="43"/>
      <c r="N64" s="43"/>
      <c r="O64" s="43"/>
      <c r="P64" s="43"/>
      <c r="Q64" s="128"/>
      <c r="R64" s="129" t="str">
        <f>IF(Table414[[#This Row],[Rubrique]]="","",Table414[[#This Row],[Qté]]*Table414[[#This Row],[Prix unitaire]])</f>
        <v/>
      </c>
      <c r="T64" s="43"/>
      <c r="U64" s="43"/>
      <c r="V64" s="43"/>
      <c r="W64" s="43"/>
      <c r="X64" s="43"/>
      <c r="Y64" s="128"/>
      <c r="Z64" s="129" t="str">
        <f>IF(Table415[[#This Row],[Rubrique]]="","",Table415[[#This Row],[Qté]]*Table415[[#This Row],[Prix unitaire]])</f>
        <v/>
      </c>
      <c r="AB64" s="43"/>
      <c r="AC64" s="43"/>
      <c r="AD64" s="43"/>
      <c r="AE64" s="43"/>
      <c r="AF64" s="43"/>
      <c r="AG64" s="128"/>
      <c r="AH64" s="129" t="str">
        <f>IF(Table416[[#This Row],[Rubrique]]="","",Table416[[#This Row],[Qté]]*Table416[[#This Row],[Prix unitaire]])</f>
        <v/>
      </c>
      <c r="AJ64" s="43"/>
      <c r="AK64" s="43"/>
      <c r="AL64" s="43"/>
      <c r="AM64" s="43"/>
      <c r="AN64" s="43"/>
      <c r="AO64" s="128"/>
      <c r="AP64" s="129" t="str">
        <f>IF(Table417[[#This Row],[Rubrique]]="","",Table417[[#This Row],[Qté]]*Table417[[#This Row],[Prix unitaire]])</f>
        <v/>
      </c>
      <c r="AR64" s="43"/>
      <c r="AS64" s="43"/>
      <c r="AT64" s="43"/>
      <c r="AU64" s="43"/>
      <c r="AV64" s="43"/>
      <c r="AW64" s="128"/>
      <c r="AX64" s="129" t="str">
        <f>IF(Table418[[#This Row],[Rubrique]]="","",Table418[[#This Row],[Qté]]*Table418[[#This Row],[Prix unitaire]])</f>
        <v/>
      </c>
      <c r="AZ64" s="43"/>
      <c r="BA64" s="43"/>
      <c r="BB64" s="43"/>
      <c r="BC64" s="43"/>
      <c r="BD64" s="43"/>
      <c r="BE64" s="128"/>
      <c r="BF64" s="129" t="str">
        <f>IF(Table419[[#This Row],[Rubrique]]="","",Table419[[#This Row],[Qté]]*Table419[[#This Row],[Prix unitaire]])</f>
        <v/>
      </c>
      <c r="BH64" s="43"/>
      <c r="BI64" s="43"/>
      <c r="BJ64" s="43"/>
      <c r="BK64" s="43"/>
      <c r="BL64" s="43"/>
      <c r="BM64" s="128"/>
      <c r="BN64" s="129" t="str">
        <f>IF(Table420[[#This Row],[Rubrique]]="","",Table420[[#This Row],[Qté]]*Table420[[#This Row],[Prix unitaire]])</f>
        <v/>
      </c>
      <c r="BP64" s="43"/>
      <c r="BQ64" s="43"/>
      <c r="BR64" s="43"/>
      <c r="BS64" s="43"/>
      <c r="BT64" s="43"/>
      <c r="BU64" s="128"/>
      <c r="BV64" s="129" t="str">
        <f>IF(Table421[[#This Row],[Rubrique]]="","",Table421[[#This Row],[Qté]]*Table421[[#This Row],[Prix unitaire]])</f>
        <v/>
      </c>
      <c r="BX64" s="43"/>
      <c r="BY64" s="43"/>
      <c r="BZ64" s="43"/>
      <c r="CA64" s="43"/>
      <c r="CB64" s="43"/>
      <c r="CC64" s="128"/>
      <c r="CD64" s="129" t="str">
        <f>IF(Table422[[#This Row],[Rubrique]]="","",Table422[[#This Row],[Qté]]*Table422[[#This Row],[Prix unitaire]])</f>
        <v/>
      </c>
      <c r="CF64" s="43"/>
      <c r="CG64" s="43"/>
      <c r="CH64" s="43"/>
      <c r="CI64" s="43"/>
      <c r="CJ64" s="43"/>
      <c r="CK64" s="128"/>
      <c r="CL64" s="129" t="str">
        <f>IF(Table424[[#This Row],[Rubrique]]="","",Table424[[#This Row],[Qté]]*Table424[[#This Row],[Prix unitaire]])</f>
        <v/>
      </c>
      <c r="CN64" s="43"/>
      <c r="CO64" s="43"/>
      <c r="CP64" s="43"/>
      <c r="CQ64" s="43"/>
      <c r="CR64" s="43"/>
      <c r="CS64" s="128"/>
      <c r="CT64" s="129" t="str">
        <f>IF(Table425[[#This Row],[Rubrique]]="","",Table425[[#This Row],[Qté]]*Table425[[#This Row],[Prix unitaire]])</f>
        <v/>
      </c>
      <c r="CV64" s="43"/>
      <c r="CW64" s="43"/>
      <c r="CX64" s="43"/>
      <c r="CY64" s="43"/>
      <c r="CZ64" s="43"/>
      <c r="DA64" s="128"/>
      <c r="DB64" s="129" t="str">
        <f>IF(Table42526[[#This Row],[Rubrique]]="","",Table42526[[#This Row],[Qté]]*Table42526[[#This Row],[Prix unitaire]])</f>
        <v/>
      </c>
      <c r="DD64" s="43"/>
      <c r="DE64" s="43"/>
      <c r="DF64" s="43"/>
      <c r="DG64" s="43"/>
      <c r="DH64" s="43"/>
      <c r="DI64" s="128"/>
      <c r="DJ64" s="129" t="str">
        <f>IF(Table42527[[#This Row],[Rubrique]]="","",Table42527[[#This Row],[Qté]]*Table42527[[#This Row],[Prix unitaire]])</f>
        <v/>
      </c>
    </row>
    <row r="65" spans="1:114" x14ac:dyDescent="0.25">
      <c r="A65" s="188" t="str">
        <f>IF(Listes!A64="","",Listes!A64)</f>
        <v/>
      </c>
      <c r="B65" s="138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5" s="43"/>
      <c r="E65" s="43"/>
      <c r="F65" s="43"/>
      <c r="G65" s="43"/>
      <c r="H65" s="43"/>
      <c r="I65" s="128"/>
      <c r="J65" s="129" t="str">
        <f>IF(Table4[[#This Row],[Rubrique]]="","",Table4[[#This Row],[Qté]]*Table4[[#This Row],[Prix unitaire]])</f>
        <v/>
      </c>
      <c r="L65" s="43"/>
      <c r="M65" s="43"/>
      <c r="N65" s="43"/>
      <c r="O65" s="43"/>
      <c r="P65" s="43"/>
      <c r="Q65" s="128"/>
      <c r="R65" s="129" t="str">
        <f>IF(Table414[[#This Row],[Rubrique]]="","",Table414[[#This Row],[Qté]]*Table414[[#This Row],[Prix unitaire]])</f>
        <v/>
      </c>
      <c r="T65" s="43"/>
      <c r="U65" s="43"/>
      <c r="V65" s="43"/>
      <c r="W65" s="43"/>
      <c r="X65" s="43"/>
      <c r="Y65" s="128"/>
      <c r="Z65" s="129" t="str">
        <f>IF(Table415[[#This Row],[Rubrique]]="","",Table415[[#This Row],[Qté]]*Table415[[#This Row],[Prix unitaire]])</f>
        <v/>
      </c>
      <c r="AB65" s="43"/>
      <c r="AC65" s="43"/>
      <c r="AD65" s="43"/>
      <c r="AE65" s="43"/>
      <c r="AF65" s="43"/>
      <c r="AG65" s="128"/>
      <c r="AH65" s="129" t="str">
        <f>IF(Table416[[#This Row],[Rubrique]]="","",Table416[[#This Row],[Qté]]*Table416[[#This Row],[Prix unitaire]])</f>
        <v/>
      </c>
      <c r="AJ65" s="43"/>
      <c r="AK65" s="43"/>
      <c r="AL65" s="43"/>
      <c r="AM65" s="43"/>
      <c r="AN65" s="43"/>
      <c r="AO65" s="128"/>
      <c r="AP65" s="129" t="str">
        <f>IF(Table417[[#This Row],[Rubrique]]="","",Table417[[#This Row],[Qté]]*Table417[[#This Row],[Prix unitaire]])</f>
        <v/>
      </c>
      <c r="AR65" s="43"/>
      <c r="AS65" s="43"/>
      <c r="AT65" s="43"/>
      <c r="AU65" s="43"/>
      <c r="AV65" s="43"/>
      <c r="AW65" s="128"/>
      <c r="AX65" s="129" t="str">
        <f>IF(Table418[[#This Row],[Rubrique]]="","",Table418[[#This Row],[Qté]]*Table418[[#This Row],[Prix unitaire]])</f>
        <v/>
      </c>
      <c r="AZ65" s="43"/>
      <c r="BA65" s="43"/>
      <c r="BB65" s="43"/>
      <c r="BC65" s="43"/>
      <c r="BD65" s="43"/>
      <c r="BE65" s="128"/>
      <c r="BF65" s="129" t="str">
        <f>IF(Table419[[#This Row],[Rubrique]]="","",Table419[[#This Row],[Qté]]*Table419[[#This Row],[Prix unitaire]])</f>
        <v/>
      </c>
      <c r="BH65" s="43"/>
      <c r="BI65" s="43"/>
      <c r="BJ65" s="43"/>
      <c r="BK65" s="43"/>
      <c r="BL65" s="43"/>
      <c r="BM65" s="128"/>
      <c r="BN65" s="129" t="str">
        <f>IF(Table420[[#This Row],[Rubrique]]="","",Table420[[#This Row],[Qté]]*Table420[[#This Row],[Prix unitaire]])</f>
        <v/>
      </c>
      <c r="BP65" s="43"/>
      <c r="BQ65" s="43"/>
      <c r="BR65" s="43"/>
      <c r="BS65" s="43"/>
      <c r="BT65" s="43"/>
      <c r="BU65" s="128"/>
      <c r="BV65" s="129" t="str">
        <f>IF(Table421[[#This Row],[Rubrique]]="","",Table421[[#This Row],[Qté]]*Table421[[#This Row],[Prix unitaire]])</f>
        <v/>
      </c>
      <c r="BX65" s="43"/>
      <c r="BY65" s="43"/>
      <c r="BZ65" s="43"/>
      <c r="CA65" s="43"/>
      <c r="CB65" s="43"/>
      <c r="CC65" s="128"/>
      <c r="CD65" s="129" t="str">
        <f>IF(Table422[[#This Row],[Rubrique]]="","",Table422[[#This Row],[Qté]]*Table422[[#This Row],[Prix unitaire]])</f>
        <v/>
      </c>
      <c r="CF65" s="43"/>
      <c r="CG65" s="43"/>
      <c r="CH65" s="43"/>
      <c r="CI65" s="43"/>
      <c r="CJ65" s="43"/>
      <c r="CK65" s="128"/>
      <c r="CL65" s="129" t="str">
        <f>IF(Table424[[#This Row],[Rubrique]]="","",Table424[[#This Row],[Qté]]*Table424[[#This Row],[Prix unitaire]])</f>
        <v/>
      </c>
      <c r="CN65" s="43"/>
      <c r="CO65" s="43"/>
      <c r="CP65" s="43"/>
      <c r="CQ65" s="43"/>
      <c r="CR65" s="43"/>
      <c r="CS65" s="128"/>
      <c r="CT65" s="129" t="str">
        <f>IF(Table425[[#This Row],[Rubrique]]="","",Table425[[#This Row],[Qté]]*Table425[[#This Row],[Prix unitaire]])</f>
        <v/>
      </c>
      <c r="CV65" s="43"/>
      <c r="CW65" s="43"/>
      <c r="CX65" s="43"/>
      <c r="CY65" s="43"/>
      <c r="CZ65" s="43"/>
      <c r="DA65" s="128"/>
      <c r="DB65" s="129" t="str">
        <f>IF(Table42526[[#This Row],[Rubrique]]="","",Table42526[[#This Row],[Qté]]*Table42526[[#This Row],[Prix unitaire]])</f>
        <v/>
      </c>
      <c r="DD65" s="43"/>
      <c r="DE65" s="43"/>
      <c r="DF65" s="43"/>
      <c r="DG65" s="43"/>
      <c r="DH65" s="43"/>
      <c r="DI65" s="128"/>
      <c r="DJ65" s="129" t="str">
        <f>IF(Table42527[[#This Row],[Rubrique]]="","",Table42527[[#This Row],[Qté]]*Table42527[[#This Row],[Prix unitaire]])</f>
        <v/>
      </c>
    </row>
    <row r="66" spans="1:114" x14ac:dyDescent="0.25">
      <c r="A66" s="187" t="str">
        <f>IF(Listes!A65="","",Listes!A65)</f>
        <v/>
      </c>
      <c r="B66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6" s="43"/>
      <c r="E66" s="43"/>
      <c r="F66" s="43"/>
      <c r="G66" s="43"/>
      <c r="H66" s="43"/>
      <c r="I66" s="128"/>
      <c r="J66" s="129" t="str">
        <f>IF(Table4[[#This Row],[Rubrique]]="","",Table4[[#This Row],[Qté]]*Table4[[#This Row],[Prix unitaire]])</f>
        <v/>
      </c>
      <c r="L66" s="43"/>
      <c r="M66" s="43"/>
      <c r="N66" s="43"/>
      <c r="O66" s="43"/>
      <c r="P66" s="43"/>
      <c r="Q66" s="128"/>
      <c r="R66" s="129" t="str">
        <f>IF(Table414[[#This Row],[Rubrique]]="","",Table414[[#This Row],[Qté]]*Table414[[#This Row],[Prix unitaire]])</f>
        <v/>
      </c>
      <c r="T66" s="43"/>
      <c r="U66" s="43"/>
      <c r="V66" s="43"/>
      <c r="W66" s="43"/>
      <c r="X66" s="43"/>
      <c r="Y66" s="128"/>
      <c r="Z66" s="129" t="str">
        <f>IF(Table415[[#This Row],[Rubrique]]="","",Table415[[#This Row],[Qté]]*Table415[[#This Row],[Prix unitaire]])</f>
        <v/>
      </c>
      <c r="AB66" s="43"/>
      <c r="AC66" s="43"/>
      <c r="AD66" s="43"/>
      <c r="AE66" s="43"/>
      <c r="AF66" s="43"/>
      <c r="AG66" s="128"/>
      <c r="AH66" s="129" t="str">
        <f>IF(Table416[[#This Row],[Rubrique]]="","",Table416[[#This Row],[Qté]]*Table416[[#This Row],[Prix unitaire]])</f>
        <v/>
      </c>
      <c r="AJ66" s="43"/>
      <c r="AK66" s="43"/>
      <c r="AL66" s="43"/>
      <c r="AM66" s="43"/>
      <c r="AN66" s="43"/>
      <c r="AO66" s="128"/>
      <c r="AP66" s="129" t="str">
        <f>IF(Table417[[#This Row],[Rubrique]]="","",Table417[[#This Row],[Qté]]*Table417[[#This Row],[Prix unitaire]])</f>
        <v/>
      </c>
      <c r="AR66" s="43"/>
      <c r="AS66" s="43"/>
      <c r="AT66" s="43"/>
      <c r="AU66" s="43"/>
      <c r="AV66" s="43"/>
      <c r="AW66" s="128"/>
      <c r="AX66" s="129" t="str">
        <f>IF(Table418[[#This Row],[Rubrique]]="","",Table418[[#This Row],[Qté]]*Table418[[#This Row],[Prix unitaire]])</f>
        <v/>
      </c>
      <c r="AZ66" s="43"/>
      <c r="BA66" s="43"/>
      <c r="BB66" s="43"/>
      <c r="BC66" s="43"/>
      <c r="BD66" s="43"/>
      <c r="BE66" s="128"/>
      <c r="BF66" s="129" t="str">
        <f>IF(Table419[[#This Row],[Rubrique]]="","",Table419[[#This Row],[Qté]]*Table419[[#This Row],[Prix unitaire]])</f>
        <v/>
      </c>
      <c r="BH66" s="43"/>
      <c r="BI66" s="43"/>
      <c r="BJ66" s="43"/>
      <c r="BK66" s="43"/>
      <c r="BL66" s="43"/>
      <c r="BM66" s="128"/>
      <c r="BN66" s="129" t="str">
        <f>IF(Table420[[#This Row],[Rubrique]]="","",Table420[[#This Row],[Qté]]*Table420[[#This Row],[Prix unitaire]])</f>
        <v/>
      </c>
      <c r="BP66" s="43"/>
      <c r="BQ66" s="43"/>
      <c r="BR66" s="43"/>
      <c r="BS66" s="43"/>
      <c r="BT66" s="43"/>
      <c r="BU66" s="128"/>
      <c r="BV66" s="129" t="str">
        <f>IF(Table421[[#This Row],[Rubrique]]="","",Table421[[#This Row],[Qté]]*Table421[[#This Row],[Prix unitaire]])</f>
        <v/>
      </c>
      <c r="BX66" s="43"/>
      <c r="BY66" s="43"/>
      <c r="BZ66" s="43"/>
      <c r="CA66" s="43"/>
      <c r="CB66" s="43"/>
      <c r="CC66" s="128"/>
      <c r="CD66" s="129" t="str">
        <f>IF(Table422[[#This Row],[Rubrique]]="","",Table422[[#This Row],[Qté]]*Table422[[#This Row],[Prix unitaire]])</f>
        <v/>
      </c>
      <c r="CF66" s="43"/>
      <c r="CG66" s="43"/>
      <c r="CH66" s="43"/>
      <c r="CI66" s="43"/>
      <c r="CJ66" s="43"/>
      <c r="CK66" s="128"/>
      <c r="CL66" s="129" t="str">
        <f>IF(Table424[[#This Row],[Rubrique]]="","",Table424[[#This Row],[Qté]]*Table424[[#This Row],[Prix unitaire]])</f>
        <v/>
      </c>
      <c r="CN66" s="43"/>
      <c r="CO66" s="43"/>
      <c r="CP66" s="43"/>
      <c r="CQ66" s="43"/>
      <c r="CR66" s="43"/>
      <c r="CS66" s="128"/>
      <c r="CT66" s="129" t="str">
        <f>IF(Table425[[#This Row],[Rubrique]]="","",Table425[[#This Row],[Qté]]*Table425[[#This Row],[Prix unitaire]])</f>
        <v/>
      </c>
      <c r="CV66" s="43"/>
      <c r="CW66" s="43"/>
      <c r="CX66" s="43"/>
      <c r="CY66" s="43"/>
      <c r="CZ66" s="43"/>
      <c r="DA66" s="128"/>
      <c r="DB66" s="129" t="str">
        <f>IF(Table42526[[#This Row],[Rubrique]]="","",Table42526[[#This Row],[Qté]]*Table42526[[#This Row],[Prix unitaire]])</f>
        <v/>
      </c>
      <c r="DD66" s="43"/>
      <c r="DE66" s="43"/>
      <c r="DF66" s="43"/>
      <c r="DG66" s="43"/>
      <c r="DH66" s="43"/>
      <c r="DI66" s="128"/>
      <c r="DJ66" s="129" t="str">
        <f>IF(Table42527[[#This Row],[Rubrique]]="","",Table42527[[#This Row],[Qté]]*Table42527[[#This Row],[Prix unitaire]])</f>
        <v/>
      </c>
    </row>
    <row r="67" spans="1:114" x14ac:dyDescent="0.25">
      <c r="A67" s="187" t="str">
        <f>IF(Listes!A66="","",Listes!A66)</f>
        <v/>
      </c>
      <c r="B67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7" s="43"/>
      <c r="E67" s="43"/>
      <c r="F67" s="43"/>
      <c r="G67" s="43"/>
      <c r="H67" s="43"/>
      <c r="I67" s="128"/>
      <c r="J67" s="129" t="str">
        <f>IF(Table4[[#This Row],[Rubrique]]="","",Table4[[#This Row],[Qté]]*Table4[[#This Row],[Prix unitaire]])</f>
        <v/>
      </c>
      <c r="L67" s="43"/>
      <c r="M67" s="43"/>
      <c r="N67" s="43"/>
      <c r="O67" s="43"/>
      <c r="P67" s="43"/>
      <c r="Q67" s="128"/>
      <c r="R67" s="129" t="str">
        <f>IF(Table414[[#This Row],[Rubrique]]="","",Table414[[#This Row],[Qté]]*Table414[[#This Row],[Prix unitaire]])</f>
        <v/>
      </c>
      <c r="T67" s="43"/>
      <c r="U67" s="43"/>
      <c r="V67" s="43"/>
      <c r="W67" s="43"/>
      <c r="X67" s="43"/>
      <c r="Y67" s="128"/>
      <c r="Z67" s="129" t="str">
        <f>IF(Table415[[#This Row],[Rubrique]]="","",Table415[[#This Row],[Qté]]*Table415[[#This Row],[Prix unitaire]])</f>
        <v/>
      </c>
      <c r="AB67" s="43"/>
      <c r="AC67" s="43"/>
      <c r="AD67" s="43"/>
      <c r="AE67" s="43"/>
      <c r="AF67" s="43"/>
      <c r="AG67" s="128"/>
      <c r="AH67" s="129" t="str">
        <f>IF(Table416[[#This Row],[Rubrique]]="","",Table416[[#This Row],[Qté]]*Table416[[#This Row],[Prix unitaire]])</f>
        <v/>
      </c>
      <c r="AJ67" s="43"/>
      <c r="AK67" s="43"/>
      <c r="AL67" s="43"/>
      <c r="AM67" s="43"/>
      <c r="AN67" s="43"/>
      <c r="AO67" s="128"/>
      <c r="AP67" s="129" t="str">
        <f>IF(Table417[[#This Row],[Rubrique]]="","",Table417[[#This Row],[Qté]]*Table417[[#This Row],[Prix unitaire]])</f>
        <v/>
      </c>
      <c r="AR67" s="43"/>
      <c r="AS67" s="43"/>
      <c r="AT67" s="43"/>
      <c r="AU67" s="43"/>
      <c r="AV67" s="43"/>
      <c r="AW67" s="128"/>
      <c r="AX67" s="129" t="str">
        <f>IF(Table418[[#This Row],[Rubrique]]="","",Table418[[#This Row],[Qté]]*Table418[[#This Row],[Prix unitaire]])</f>
        <v/>
      </c>
      <c r="AZ67" s="43"/>
      <c r="BA67" s="43"/>
      <c r="BB67" s="43"/>
      <c r="BC67" s="43"/>
      <c r="BD67" s="43"/>
      <c r="BE67" s="128"/>
      <c r="BF67" s="129" t="str">
        <f>IF(Table419[[#This Row],[Rubrique]]="","",Table419[[#This Row],[Qté]]*Table419[[#This Row],[Prix unitaire]])</f>
        <v/>
      </c>
      <c r="BH67" s="43"/>
      <c r="BI67" s="43"/>
      <c r="BJ67" s="43"/>
      <c r="BK67" s="43"/>
      <c r="BL67" s="43"/>
      <c r="BM67" s="128"/>
      <c r="BN67" s="129" t="str">
        <f>IF(Table420[[#This Row],[Rubrique]]="","",Table420[[#This Row],[Qté]]*Table420[[#This Row],[Prix unitaire]])</f>
        <v/>
      </c>
      <c r="BP67" s="43"/>
      <c r="BQ67" s="43"/>
      <c r="BR67" s="43"/>
      <c r="BS67" s="43"/>
      <c r="BT67" s="43"/>
      <c r="BU67" s="128"/>
      <c r="BV67" s="129" t="str">
        <f>IF(Table421[[#This Row],[Rubrique]]="","",Table421[[#This Row],[Qté]]*Table421[[#This Row],[Prix unitaire]])</f>
        <v/>
      </c>
      <c r="BX67" s="43"/>
      <c r="BY67" s="43"/>
      <c r="BZ67" s="43"/>
      <c r="CA67" s="43"/>
      <c r="CB67" s="43"/>
      <c r="CC67" s="128"/>
      <c r="CD67" s="129" t="str">
        <f>IF(Table422[[#This Row],[Rubrique]]="","",Table422[[#This Row],[Qté]]*Table422[[#This Row],[Prix unitaire]])</f>
        <v/>
      </c>
      <c r="CF67" s="43"/>
      <c r="CG67" s="43"/>
      <c r="CH67" s="43"/>
      <c r="CI67" s="43"/>
      <c r="CJ67" s="43"/>
      <c r="CK67" s="128"/>
      <c r="CL67" s="129" t="str">
        <f>IF(Table424[[#This Row],[Rubrique]]="","",Table424[[#This Row],[Qté]]*Table424[[#This Row],[Prix unitaire]])</f>
        <v/>
      </c>
      <c r="CN67" s="43"/>
      <c r="CO67" s="43"/>
      <c r="CP67" s="43"/>
      <c r="CQ67" s="43"/>
      <c r="CR67" s="43"/>
      <c r="CS67" s="128"/>
      <c r="CT67" s="129" t="str">
        <f>IF(Table425[[#This Row],[Rubrique]]="","",Table425[[#This Row],[Qté]]*Table425[[#This Row],[Prix unitaire]])</f>
        <v/>
      </c>
      <c r="CV67" s="43"/>
      <c r="CW67" s="43"/>
      <c r="CX67" s="43"/>
      <c r="CY67" s="43"/>
      <c r="CZ67" s="43"/>
      <c r="DA67" s="128"/>
      <c r="DB67" s="129" t="str">
        <f>IF(Table42526[[#This Row],[Rubrique]]="","",Table42526[[#This Row],[Qté]]*Table42526[[#This Row],[Prix unitaire]])</f>
        <v/>
      </c>
      <c r="DD67" s="43"/>
      <c r="DE67" s="43"/>
      <c r="DF67" s="43"/>
      <c r="DG67" s="43"/>
      <c r="DH67" s="43"/>
      <c r="DI67" s="128"/>
      <c r="DJ67" s="129" t="str">
        <f>IF(Table42527[[#This Row],[Rubrique]]="","",Table42527[[#This Row],[Qté]]*Table42527[[#This Row],[Prix unitaire]])</f>
        <v/>
      </c>
    </row>
    <row r="68" spans="1:114" x14ac:dyDescent="0.25">
      <c r="A68" s="187" t="str">
        <f>IF(Listes!A67="","",Listes!A67)</f>
        <v/>
      </c>
      <c r="B68" s="125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8" s="43"/>
      <c r="E68" s="43"/>
      <c r="F68" s="43"/>
      <c r="G68" s="43"/>
      <c r="H68" s="43"/>
      <c r="I68" s="128"/>
      <c r="J68" s="129" t="str">
        <f>IF(Table4[[#This Row],[Rubrique]]="","",Table4[[#This Row],[Qté]]*Table4[[#This Row],[Prix unitaire]])</f>
        <v/>
      </c>
      <c r="L68" s="43"/>
      <c r="M68" s="43"/>
      <c r="N68" s="43"/>
      <c r="O68" s="43"/>
      <c r="P68" s="43"/>
      <c r="Q68" s="128"/>
      <c r="R68" s="129" t="str">
        <f>IF(Table414[[#This Row],[Rubrique]]="","",Table414[[#This Row],[Qté]]*Table414[[#This Row],[Prix unitaire]])</f>
        <v/>
      </c>
      <c r="T68" s="43"/>
      <c r="U68" s="43"/>
      <c r="V68" s="43"/>
      <c r="W68" s="43"/>
      <c r="X68" s="43"/>
      <c r="Y68" s="128"/>
      <c r="Z68" s="129" t="str">
        <f>IF(Table415[[#This Row],[Rubrique]]="","",Table415[[#This Row],[Qté]]*Table415[[#This Row],[Prix unitaire]])</f>
        <v/>
      </c>
      <c r="AB68" s="43"/>
      <c r="AC68" s="43"/>
      <c r="AD68" s="43"/>
      <c r="AE68" s="43"/>
      <c r="AF68" s="43"/>
      <c r="AG68" s="128"/>
      <c r="AH68" s="129" t="str">
        <f>IF(Table416[[#This Row],[Rubrique]]="","",Table416[[#This Row],[Qté]]*Table416[[#This Row],[Prix unitaire]])</f>
        <v/>
      </c>
      <c r="AJ68" s="43"/>
      <c r="AK68" s="43"/>
      <c r="AL68" s="43"/>
      <c r="AM68" s="43"/>
      <c r="AN68" s="43"/>
      <c r="AO68" s="128"/>
      <c r="AP68" s="129" t="str">
        <f>IF(Table417[[#This Row],[Rubrique]]="","",Table417[[#This Row],[Qté]]*Table417[[#This Row],[Prix unitaire]])</f>
        <v/>
      </c>
      <c r="AR68" s="43"/>
      <c r="AS68" s="43"/>
      <c r="AT68" s="43"/>
      <c r="AU68" s="43"/>
      <c r="AV68" s="43"/>
      <c r="AW68" s="128"/>
      <c r="AX68" s="129" t="str">
        <f>IF(Table418[[#This Row],[Rubrique]]="","",Table418[[#This Row],[Qté]]*Table418[[#This Row],[Prix unitaire]])</f>
        <v/>
      </c>
      <c r="AZ68" s="43"/>
      <c r="BA68" s="43"/>
      <c r="BB68" s="43"/>
      <c r="BC68" s="43"/>
      <c r="BD68" s="43"/>
      <c r="BE68" s="128"/>
      <c r="BF68" s="129" t="str">
        <f>IF(Table419[[#This Row],[Rubrique]]="","",Table419[[#This Row],[Qté]]*Table419[[#This Row],[Prix unitaire]])</f>
        <v/>
      </c>
      <c r="BH68" s="43"/>
      <c r="BI68" s="43"/>
      <c r="BJ68" s="43"/>
      <c r="BK68" s="43"/>
      <c r="BL68" s="43"/>
      <c r="BM68" s="128"/>
      <c r="BN68" s="129" t="str">
        <f>IF(Table420[[#This Row],[Rubrique]]="","",Table420[[#This Row],[Qté]]*Table420[[#This Row],[Prix unitaire]])</f>
        <v/>
      </c>
      <c r="BP68" s="43"/>
      <c r="BQ68" s="43"/>
      <c r="BR68" s="43"/>
      <c r="BS68" s="43"/>
      <c r="BT68" s="43"/>
      <c r="BU68" s="128"/>
      <c r="BV68" s="129" t="str">
        <f>IF(Table421[[#This Row],[Rubrique]]="","",Table421[[#This Row],[Qté]]*Table421[[#This Row],[Prix unitaire]])</f>
        <v/>
      </c>
      <c r="BX68" s="43"/>
      <c r="BY68" s="43"/>
      <c r="BZ68" s="43"/>
      <c r="CA68" s="43"/>
      <c r="CB68" s="43"/>
      <c r="CC68" s="128"/>
      <c r="CD68" s="129" t="str">
        <f>IF(Table422[[#This Row],[Rubrique]]="","",Table422[[#This Row],[Qté]]*Table422[[#This Row],[Prix unitaire]])</f>
        <v/>
      </c>
      <c r="CF68" s="43"/>
      <c r="CG68" s="43"/>
      <c r="CH68" s="43"/>
      <c r="CI68" s="43"/>
      <c r="CJ68" s="43"/>
      <c r="CK68" s="128"/>
      <c r="CL68" s="129" t="str">
        <f>IF(Table424[[#This Row],[Rubrique]]="","",Table424[[#This Row],[Qté]]*Table424[[#This Row],[Prix unitaire]])</f>
        <v/>
      </c>
      <c r="CN68" s="43"/>
      <c r="CO68" s="43"/>
      <c r="CP68" s="43"/>
      <c r="CQ68" s="43"/>
      <c r="CR68" s="43"/>
      <c r="CS68" s="128"/>
      <c r="CT68" s="129" t="str">
        <f>IF(Table425[[#This Row],[Rubrique]]="","",Table425[[#This Row],[Qté]]*Table425[[#This Row],[Prix unitaire]])</f>
        <v/>
      </c>
      <c r="CV68" s="43"/>
      <c r="CW68" s="43"/>
      <c r="CX68" s="43"/>
      <c r="CY68" s="43"/>
      <c r="CZ68" s="43"/>
      <c r="DA68" s="128"/>
      <c r="DB68" s="129" t="str">
        <f>IF(Table42526[[#This Row],[Rubrique]]="","",Table42526[[#This Row],[Qté]]*Table42526[[#This Row],[Prix unitaire]])</f>
        <v/>
      </c>
      <c r="DD68" s="43"/>
      <c r="DE68" s="43"/>
      <c r="DF68" s="43"/>
      <c r="DG68" s="43"/>
      <c r="DH68" s="43"/>
      <c r="DI68" s="128"/>
      <c r="DJ68" s="129" t="str">
        <f>IF(Table42527[[#This Row],[Rubrique]]="","",Table42527[[#This Row],[Qté]]*Table42527[[#This Row],[Prix unitaire]])</f>
        <v/>
      </c>
    </row>
    <row r="69" spans="1:114" x14ac:dyDescent="0.25">
      <c r="A69" s="188" t="str">
        <f>IF(Listes!A68="","",Listes!A68)</f>
        <v/>
      </c>
      <c r="B69" s="138" t="str">
        <f>IF(Tableau9[[#This Row],[Liste des rubriques]]="","",IF($B$3=Stockage!$B$2,SUMIF($D$5:$D$70,Tableau9[[#This Row],[Liste des rubriques]],$J$5:$J$70),IF($B$3=Stockage!$B$3,SUMIF($L$5:$L$70,Tableau9[[#This Row],[Liste des rubriques]],$R$5:$R$70),IF($B$3=Stockage!$B$4,SUMIF($T$5:$T$70,Tableau9[[#This Row],[Liste des rubriques]],$Z$5:$Z$70),IF($B$3=Stockage!$B$5,SUMIF($AB$5:$AB$70,Tableau9[[#This Row],[Liste des rubriques]],$AH$5:$AH$70),IF($B$3=Stockage!$B$6,SUMIF($AJ$5:$AJ$70,Tableau9[[#This Row],[Liste des rubriques]],$AP$5:$AP$70),IF($B$3=Stockage!$B$7,SUMIF($AR$5:$AR$70,Tableau9[[#This Row],[Liste des rubriques]],$AX$5:$AX$70),IF($B$3=Stockage!$B$8,SUMIF($AZ$5:$AZ$70,Tableau9[[#This Row],[Liste des rubriques]],$BF$5:$BF$70),IF($B$3=Stockage!$B$9,SUMIF($BH$5:$BH$70,Tableau9[[#This Row],[Liste des rubriques]],$BN$5:$BN$70),IF($B$3=Stockage!$B$10,SUMIF($BP$5:$BP$70,Tableau9[[#This Row],[Liste des rubriques]],$BV$5:$BV$70),IF($B$3=Stockage!$B$11,SUMIF($BX$5:$BX$70,Tableau9[[#This Row],[Liste des rubriques]],$CD$5:$CD$70),IF($B$3=Stockage!$B$12,SUMIF($CF$5:$CF$70,Tableau9[[#This Row],[Liste des rubriques]],$CL$5:$CL$70),IF($B$3=Stockage!$B$13,SUMIF($CN$5:$CN$70,Tableau9[[#This Row],[Liste des rubriques]],$CT$5:$CT$70),IF($B$3=Stockage!$B$14,SUMIF($CV$5:$CV$70,Tableau9[[#This Row],[Liste des rubriques]],$DB$5:$DB$70),IF(Stockage!$B$15,SUMIF($DD$5:$DD$70,Tableau9[[#This Row],[Liste des rubriques]],$DJ$5:$DJ$15),"")))))))))))))))</f>
        <v/>
      </c>
      <c r="D69" s="43"/>
      <c r="E69" s="43"/>
      <c r="F69" s="43"/>
      <c r="G69" s="43"/>
      <c r="H69" s="43"/>
      <c r="I69" s="128"/>
      <c r="J69" s="129" t="str">
        <f>IF(Table4[[#This Row],[Rubrique]]="","",Table4[[#This Row],[Qté]]*Table4[[#This Row],[Prix unitaire]])</f>
        <v/>
      </c>
      <c r="L69" s="43"/>
      <c r="M69" s="43"/>
      <c r="N69" s="43"/>
      <c r="O69" s="43"/>
      <c r="P69" s="43"/>
      <c r="Q69" s="128"/>
      <c r="R69" s="129" t="str">
        <f>IF(Table414[[#This Row],[Rubrique]]="","",Table414[[#This Row],[Qté]]*Table414[[#This Row],[Prix unitaire]])</f>
        <v/>
      </c>
      <c r="T69" s="43"/>
      <c r="U69" s="43"/>
      <c r="V69" s="43"/>
      <c r="W69" s="43"/>
      <c r="X69" s="43"/>
      <c r="Y69" s="128"/>
      <c r="Z69" s="129" t="str">
        <f>IF(Table415[[#This Row],[Rubrique]]="","",Table415[[#This Row],[Qté]]*Table415[[#This Row],[Prix unitaire]])</f>
        <v/>
      </c>
      <c r="AB69" s="43"/>
      <c r="AC69" s="43"/>
      <c r="AD69" s="43"/>
      <c r="AE69" s="43"/>
      <c r="AF69" s="43"/>
      <c r="AG69" s="128"/>
      <c r="AH69" s="129" t="str">
        <f>IF(Table416[[#This Row],[Rubrique]]="","",Table416[[#This Row],[Qté]]*Table416[[#This Row],[Prix unitaire]])</f>
        <v/>
      </c>
      <c r="AJ69" s="43"/>
      <c r="AK69" s="43"/>
      <c r="AL69" s="43"/>
      <c r="AM69" s="43"/>
      <c r="AN69" s="43"/>
      <c r="AO69" s="128"/>
      <c r="AP69" s="129" t="str">
        <f>IF(Table417[[#This Row],[Rubrique]]="","",Table417[[#This Row],[Qté]]*Table417[[#This Row],[Prix unitaire]])</f>
        <v/>
      </c>
      <c r="AR69" s="43"/>
      <c r="AS69" s="43"/>
      <c r="AT69" s="43"/>
      <c r="AU69" s="43"/>
      <c r="AV69" s="43"/>
      <c r="AW69" s="128"/>
      <c r="AX69" s="129" t="str">
        <f>IF(Table418[[#This Row],[Rubrique]]="","",Table418[[#This Row],[Qté]]*Table418[[#This Row],[Prix unitaire]])</f>
        <v/>
      </c>
      <c r="AZ69" s="43"/>
      <c r="BA69" s="43"/>
      <c r="BB69" s="43"/>
      <c r="BC69" s="43"/>
      <c r="BD69" s="43"/>
      <c r="BE69" s="128"/>
      <c r="BF69" s="129" t="str">
        <f>IF(Table419[[#This Row],[Rubrique]]="","",Table419[[#This Row],[Qté]]*Table419[[#This Row],[Prix unitaire]])</f>
        <v/>
      </c>
      <c r="BH69" s="43"/>
      <c r="BI69" s="43"/>
      <c r="BJ69" s="43"/>
      <c r="BK69" s="43"/>
      <c r="BL69" s="43"/>
      <c r="BM69" s="128"/>
      <c r="BN69" s="129" t="str">
        <f>IF(Table420[[#This Row],[Rubrique]]="","",Table420[[#This Row],[Qté]]*Table420[[#This Row],[Prix unitaire]])</f>
        <v/>
      </c>
      <c r="BP69" s="43"/>
      <c r="BQ69" s="43"/>
      <c r="BR69" s="43"/>
      <c r="BS69" s="43"/>
      <c r="BT69" s="43"/>
      <c r="BU69" s="128"/>
      <c r="BV69" s="129" t="str">
        <f>IF(Table421[[#This Row],[Rubrique]]="","",Table421[[#This Row],[Qté]]*Table421[[#This Row],[Prix unitaire]])</f>
        <v/>
      </c>
      <c r="BX69" s="43"/>
      <c r="BY69" s="43"/>
      <c r="BZ69" s="43"/>
      <c r="CA69" s="43"/>
      <c r="CB69" s="43"/>
      <c r="CC69" s="128"/>
      <c r="CD69" s="129" t="str">
        <f>IF(Table422[[#This Row],[Rubrique]]="","",Table422[[#This Row],[Qté]]*Table422[[#This Row],[Prix unitaire]])</f>
        <v/>
      </c>
      <c r="CF69" s="43"/>
      <c r="CG69" s="43"/>
      <c r="CH69" s="43"/>
      <c r="CI69" s="43"/>
      <c r="CJ69" s="43"/>
      <c r="CK69" s="128"/>
      <c r="CL69" s="129" t="str">
        <f>IF(Table424[[#This Row],[Rubrique]]="","",Table424[[#This Row],[Qté]]*Table424[[#This Row],[Prix unitaire]])</f>
        <v/>
      </c>
      <c r="CN69" s="43"/>
      <c r="CO69" s="43"/>
      <c r="CP69" s="43"/>
      <c r="CQ69" s="43"/>
      <c r="CR69" s="43"/>
      <c r="CS69" s="128"/>
      <c r="CT69" s="129" t="str">
        <f>IF(Table425[[#This Row],[Rubrique]]="","",Table425[[#This Row],[Qté]]*Table425[[#This Row],[Prix unitaire]])</f>
        <v/>
      </c>
      <c r="CV69" s="43"/>
      <c r="CW69" s="43"/>
      <c r="CX69" s="43"/>
      <c r="CY69" s="43"/>
      <c r="CZ69" s="43"/>
      <c r="DA69" s="128"/>
      <c r="DB69" s="129" t="str">
        <f>IF(Table42526[[#This Row],[Rubrique]]="","",Table42526[[#This Row],[Qté]]*Table42526[[#This Row],[Prix unitaire]])</f>
        <v/>
      </c>
      <c r="DD69" s="43"/>
      <c r="DE69" s="43"/>
      <c r="DF69" s="43"/>
      <c r="DG69" s="43"/>
      <c r="DH69" s="43"/>
      <c r="DI69" s="128"/>
      <c r="DJ69" s="129" t="str">
        <f>IF(Table42527[[#This Row],[Rubrique]]="","",Table42527[[#This Row],[Qté]]*Table42527[[#This Row],[Prix unitaire]])</f>
        <v/>
      </c>
    </row>
    <row r="70" spans="1:114" x14ac:dyDescent="0.25">
      <c r="A70" s="43"/>
      <c r="B70" s="111"/>
      <c r="D70" s="43"/>
      <c r="E70" s="43"/>
      <c r="F70" s="43"/>
      <c r="G70" s="43"/>
      <c r="H70" s="43"/>
      <c r="I70" s="128"/>
      <c r="J70" s="129" t="str">
        <f>IF(Table4[[#This Row],[Rubrique]]="","",Table4[[#This Row],[Qté]]*Table4[[#This Row],[Prix unitaire]])</f>
        <v/>
      </c>
      <c r="L70" s="43"/>
      <c r="M70" s="43"/>
      <c r="N70" s="43"/>
      <c r="O70" s="43"/>
      <c r="P70" s="43"/>
      <c r="Q70" s="128"/>
      <c r="R70" s="129" t="str">
        <f>IF(Table414[[#This Row],[Rubrique]]="","",Table414[[#This Row],[Qté]]*Table414[[#This Row],[Prix unitaire]])</f>
        <v/>
      </c>
      <c r="T70" s="43"/>
      <c r="U70" s="43"/>
      <c r="V70" s="43"/>
      <c r="W70" s="43"/>
      <c r="X70" s="43"/>
      <c r="Y70" s="128"/>
      <c r="Z70" s="129" t="str">
        <f>IF(Table415[[#This Row],[Rubrique]]="","",Table415[[#This Row],[Qté]]*Table415[[#This Row],[Prix unitaire]])</f>
        <v/>
      </c>
      <c r="AB70" s="43"/>
      <c r="AC70" s="43"/>
      <c r="AD70" s="43"/>
      <c r="AE70" s="43"/>
      <c r="AF70" s="43"/>
      <c r="AG70" s="128"/>
      <c r="AH70" s="129" t="str">
        <f>IF(Table416[[#This Row],[Rubrique]]="","",Table416[[#This Row],[Qté]]*Table416[[#This Row],[Prix unitaire]])</f>
        <v/>
      </c>
      <c r="AJ70" s="43"/>
      <c r="AK70" s="43"/>
      <c r="AL70" s="43"/>
      <c r="AM70" s="43"/>
      <c r="AN70" s="43"/>
      <c r="AO70" s="128"/>
      <c r="AP70" s="129" t="str">
        <f>IF(Table417[[#This Row],[Rubrique]]="","",Table417[[#This Row],[Qté]]*Table417[[#This Row],[Prix unitaire]])</f>
        <v/>
      </c>
      <c r="AR70" s="43"/>
      <c r="AS70" s="43"/>
      <c r="AT70" s="43"/>
      <c r="AU70" s="43"/>
      <c r="AV70" s="43"/>
      <c r="AW70" s="128"/>
      <c r="AX70" s="129" t="str">
        <f>IF(Table418[[#This Row],[Rubrique]]="","",Table418[[#This Row],[Qté]]*Table418[[#This Row],[Prix unitaire]])</f>
        <v/>
      </c>
      <c r="AZ70" s="43"/>
      <c r="BA70" s="43"/>
      <c r="BB70" s="43"/>
      <c r="BC70" s="43"/>
      <c r="BD70" s="43"/>
      <c r="BE70" s="128"/>
      <c r="BF70" s="129" t="str">
        <f>IF(Table419[[#This Row],[Rubrique]]="","",Table419[[#This Row],[Qté]]*Table419[[#This Row],[Prix unitaire]])</f>
        <v/>
      </c>
      <c r="BH70" s="43"/>
      <c r="BI70" s="43"/>
      <c r="BJ70" s="43"/>
      <c r="BK70" s="43"/>
      <c r="BL70" s="43"/>
      <c r="BM70" s="128"/>
      <c r="BN70" s="129" t="str">
        <f>IF(Table420[[#This Row],[Rubrique]]="","",Table420[[#This Row],[Qté]]*Table420[[#This Row],[Prix unitaire]])</f>
        <v/>
      </c>
      <c r="BP70" s="43"/>
      <c r="BQ70" s="43"/>
      <c r="BR70" s="43"/>
      <c r="BS70" s="43"/>
      <c r="BT70" s="43"/>
      <c r="BU70" s="128"/>
      <c r="BV70" s="129" t="str">
        <f>IF(Table421[[#This Row],[Rubrique]]="","",Table421[[#This Row],[Qté]]*Table421[[#This Row],[Prix unitaire]])</f>
        <v/>
      </c>
      <c r="BX70" s="43"/>
      <c r="BY70" s="43"/>
      <c r="BZ70" s="43"/>
      <c r="CA70" s="43"/>
      <c r="CB70" s="43"/>
      <c r="CC70" s="128"/>
      <c r="CD70" s="129" t="str">
        <f>IF(Table422[[#This Row],[Rubrique]]="","",Table422[[#This Row],[Qté]]*Table422[[#This Row],[Prix unitaire]])</f>
        <v/>
      </c>
      <c r="CF70" s="43"/>
      <c r="CG70" s="43"/>
      <c r="CH70" s="43"/>
      <c r="CI70" s="43"/>
      <c r="CJ70" s="43"/>
      <c r="CK70" s="128"/>
      <c r="CL70" s="129" t="str">
        <f>IF(Table424[[#This Row],[Rubrique]]="","",Table424[[#This Row],[Qté]]*Table424[[#This Row],[Prix unitaire]])</f>
        <v/>
      </c>
      <c r="CN70" s="43"/>
      <c r="CO70" s="43"/>
      <c r="CP70" s="43"/>
      <c r="CQ70" s="43"/>
      <c r="CR70" s="43"/>
      <c r="CS70" s="128"/>
      <c r="CT70" s="129" t="str">
        <f>IF(Table425[[#This Row],[Rubrique]]="","",Table425[[#This Row],[Qté]]*Table425[[#This Row],[Prix unitaire]])</f>
        <v/>
      </c>
      <c r="CV70" s="43"/>
      <c r="CW70" s="43"/>
      <c r="CX70" s="43"/>
      <c r="CY70" s="43"/>
      <c r="CZ70" s="43"/>
      <c r="DA70" s="128"/>
      <c r="DB70" s="129" t="str">
        <f>IF(Table42526[[#This Row],[Rubrique]]="","",Table42526[[#This Row],[Qté]]*Table42526[[#This Row],[Prix unitaire]])</f>
        <v/>
      </c>
      <c r="DD70" s="43"/>
      <c r="DE70" s="43"/>
      <c r="DF70" s="43"/>
      <c r="DG70" s="43"/>
      <c r="DH70" s="43"/>
      <c r="DI70" s="128"/>
      <c r="DJ70" s="129" t="str">
        <f>IF(Table42527[[#This Row],[Rubrique]]="","",Table42527[[#This Row],[Qté]]*Table42527[[#This Row],[Prix unitaire]])</f>
        <v/>
      </c>
    </row>
    <row r="71" spans="1:114" x14ac:dyDescent="0.25">
      <c r="A71" s="43"/>
      <c r="B71" s="63"/>
      <c r="D71" s="43"/>
      <c r="E71" s="43"/>
      <c r="F71" s="43"/>
      <c r="G71" s="43"/>
      <c r="H71" s="43"/>
      <c r="I71" s="43"/>
      <c r="J71" s="63"/>
      <c r="L71" s="43"/>
      <c r="M71" s="43"/>
      <c r="N71" s="43"/>
      <c r="O71" s="43"/>
      <c r="P71" s="43"/>
      <c r="Q71" s="43"/>
      <c r="R71" s="63"/>
      <c r="T71" s="43"/>
      <c r="U71" s="43"/>
      <c r="V71" s="43"/>
      <c r="W71" s="43"/>
      <c r="X71" s="43"/>
      <c r="Y71" s="43"/>
      <c r="Z71" s="63"/>
      <c r="AB71" s="43"/>
      <c r="AC71" s="43"/>
      <c r="AD71" s="43"/>
      <c r="AE71" s="43"/>
      <c r="AF71" s="43"/>
      <c r="AG71" s="43"/>
      <c r="AH71" s="63"/>
      <c r="AJ71" s="43"/>
      <c r="AK71" s="43"/>
      <c r="AL71" s="43"/>
      <c r="AM71" s="43"/>
      <c r="AN71" s="43"/>
      <c r="AO71" s="43"/>
      <c r="AP71" s="63"/>
      <c r="AR71" s="43"/>
      <c r="AS71" s="43"/>
      <c r="AT71" s="43"/>
      <c r="AU71" s="43"/>
      <c r="AV71" s="43"/>
      <c r="AW71" s="43"/>
      <c r="AX71" s="63"/>
      <c r="AZ71" s="43"/>
      <c r="BA71" s="43"/>
      <c r="BB71" s="43"/>
      <c r="BC71" s="43"/>
      <c r="BD71" s="43"/>
      <c r="BE71" s="43"/>
      <c r="BF71" s="63"/>
      <c r="BH71" s="43"/>
      <c r="BI71" s="43"/>
      <c r="BJ71" s="43"/>
      <c r="BK71" s="43"/>
      <c r="BL71" s="43"/>
      <c r="BM71" s="43"/>
      <c r="BN71" s="63"/>
      <c r="BP71" s="43"/>
      <c r="BQ71" s="43"/>
      <c r="BR71" s="43"/>
      <c r="BS71" s="43"/>
      <c r="BT71" s="43"/>
      <c r="BU71" s="43"/>
      <c r="BV71" s="111"/>
      <c r="BX71" s="43"/>
      <c r="BY71" s="43"/>
      <c r="BZ71" s="43"/>
      <c r="CA71" s="43"/>
      <c r="CB71" s="43"/>
      <c r="CC71" s="43"/>
      <c r="CD71" s="111"/>
      <c r="CF71" s="43"/>
      <c r="CG71" s="43"/>
      <c r="CH71" s="43"/>
      <c r="CI71" s="43"/>
      <c r="CJ71" s="43"/>
      <c r="CK71" s="43"/>
      <c r="CL71" s="111"/>
      <c r="CN71" s="43"/>
      <c r="CO71" s="43"/>
      <c r="CP71" s="43"/>
      <c r="CQ71" s="43"/>
      <c r="CR71" s="43"/>
      <c r="CS71" s="43"/>
      <c r="CT71" s="63"/>
      <c r="CV71" s="43"/>
      <c r="CW71" s="43"/>
      <c r="CX71" s="43"/>
      <c r="CY71" s="43"/>
      <c r="CZ71" s="43"/>
      <c r="DA71" s="43"/>
      <c r="DB71" s="63"/>
      <c r="DD71" s="43"/>
      <c r="DE71" s="43"/>
      <c r="DF71" s="43"/>
      <c r="DG71" s="43"/>
      <c r="DH71" s="43"/>
      <c r="DI71" s="43"/>
      <c r="DJ71" s="63"/>
    </row>
    <row r="72" spans="1:114" x14ac:dyDescent="0.25">
      <c r="A72" s="43"/>
      <c r="B72" s="63"/>
      <c r="D72" s="43"/>
      <c r="E72" s="43"/>
      <c r="F72" s="43"/>
      <c r="G72" s="43"/>
      <c r="H72" s="43"/>
      <c r="I72" s="43"/>
      <c r="J72" s="63"/>
      <c r="L72" s="43"/>
      <c r="M72" s="43"/>
      <c r="N72" s="43"/>
      <c r="O72" s="43"/>
      <c r="P72" s="43"/>
      <c r="Q72" s="43"/>
      <c r="R72" s="63"/>
      <c r="T72" s="43"/>
      <c r="U72" s="43"/>
      <c r="V72" s="43"/>
      <c r="W72" s="43"/>
      <c r="X72" s="43"/>
      <c r="Y72" s="43"/>
      <c r="Z72" s="63"/>
      <c r="AB72" s="43"/>
      <c r="AC72" s="43"/>
      <c r="AD72" s="43"/>
      <c r="AE72" s="43"/>
      <c r="AF72" s="43"/>
      <c r="AG72" s="43"/>
      <c r="AH72" s="63"/>
      <c r="AJ72" s="43"/>
      <c r="AK72" s="43"/>
      <c r="AL72" s="43"/>
      <c r="AM72" s="43"/>
      <c r="AN72" s="43"/>
      <c r="AO72" s="43"/>
      <c r="AP72" s="63"/>
      <c r="AR72" s="43"/>
      <c r="AS72" s="43"/>
      <c r="AT72" s="43"/>
      <c r="AU72" s="43"/>
      <c r="AV72" s="43"/>
      <c r="AW72" s="43"/>
      <c r="AX72" s="63"/>
      <c r="AZ72" s="43"/>
      <c r="BA72" s="43"/>
      <c r="BB72" s="43"/>
      <c r="BC72" s="43"/>
      <c r="BD72" s="43"/>
      <c r="BE72" s="43"/>
      <c r="BF72" s="63"/>
      <c r="BH72" s="43"/>
      <c r="BI72" s="43"/>
      <c r="BJ72" s="43"/>
      <c r="BK72" s="43"/>
      <c r="BL72" s="43"/>
      <c r="BM72" s="43"/>
      <c r="BN72" s="63"/>
      <c r="BP72" s="43"/>
      <c r="BQ72" s="43"/>
      <c r="BR72" s="43"/>
      <c r="BS72" s="43"/>
      <c r="BT72" s="43"/>
      <c r="BU72" s="43"/>
      <c r="BV72" s="111"/>
      <c r="BX72" s="43"/>
      <c r="BY72" s="43"/>
      <c r="BZ72" s="43"/>
      <c r="CA72" s="43"/>
      <c r="CB72" s="43"/>
      <c r="CC72" s="43"/>
      <c r="CD72" s="111"/>
      <c r="CF72" s="43"/>
      <c r="CG72" s="43"/>
      <c r="CH72" s="43"/>
      <c r="CI72" s="43"/>
      <c r="CJ72" s="43"/>
      <c r="CK72" s="43"/>
      <c r="CL72" s="111"/>
      <c r="CN72" s="43"/>
      <c r="CO72" s="43"/>
      <c r="CP72" s="43"/>
      <c r="CQ72" s="43"/>
      <c r="CR72" s="43"/>
      <c r="CS72" s="43"/>
      <c r="CT72" s="63"/>
      <c r="CV72" s="43"/>
      <c r="CW72" s="43"/>
      <c r="CX72" s="43"/>
      <c r="CY72" s="43"/>
      <c r="CZ72" s="43"/>
      <c r="DA72" s="43"/>
      <c r="DB72" s="63"/>
      <c r="DD72" s="43"/>
      <c r="DE72" s="43"/>
      <c r="DF72" s="43"/>
      <c r="DG72" s="43"/>
      <c r="DH72" s="43"/>
      <c r="DI72" s="43"/>
      <c r="DJ72" s="63"/>
    </row>
    <row r="73" spans="1:114" x14ac:dyDescent="0.25">
      <c r="A73" s="43"/>
      <c r="B73" s="63"/>
      <c r="D73" s="43"/>
      <c r="E73" s="43"/>
      <c r="F73" s="43"/>
      <c r="G73" s="43"/>
      <c r="H73" s="43"/>
      <c r="I73" s="43"/>
      <c r="J73" s="63"/>
      <c r="L73" s="43"/>
      <c r="M73" s="43"/>
      <c r="N73" s="43"/>
      <c r="O73" s="43"/>
      <c r="P73" s="43"/>
      <c r="Q73" s="43"/>
      <c r="R73" s="63"/>
      <c r="T73" s="43"/>
      <c r="U73" s="43"/>
      <c r="V73" s="43"/>
      <c r="W73" s="43"/>
      <c r="X73" s="43"/>
      <c r="Y73" s="43"/>
      <c r="Z73" s="63"/>
      <c r="AB73" s="43"/>
      <c r="AC73" s="43"/>
      <c r="AD73" s="43"/>
      <c r="AE73" s="43"/>
      <c r="AF73" s="43"/>
      <c r="AG73" s="43"/>
      <c r="AH73" s="63"/>
      <c r="AJ73" s="43"/>
      <c r="AK73" s="43"/>
      <c r="AL73" s="43"/>
      <c r="AM73" s="43"/>
      <c r="AN73" s="43"/>
      <c r="AO73" s="43"/>
      <c r="AP73" s="63"/>
      <c r="AR73" s="43"/>
      <c r="AS73" s="43"/>
      <c r="AT73" s="43"/>
      <c r="AU73" s="43"/>
      <c r="AV73" s="43"/>
      <c r="AW73" s="43"/>
      <c r="AX73" s="63"/>
      <c r="AZ73" s="43"/>
      <c r="BA73" s="43"/>
      <c r="BB73" s="43"/>
      <c r="BC73" s="43"/>
      <c r="BD73" s="43"/>
      <c r="BE73" s="43"/>
      <c r="BF73" s="63"/>
      <c r="BH73" s="43"/>
      <c r="BI73" s="43"/>
      <c r="BJ73" s="43"/>
      <c r="BK73" s="43"/>
      <c r="BL73" s="43"/>
      <c r="BM73" s="43"/>
      <c r="BN73" s="63"/>
      <c r="BP73" s="43"/>
      <c r="BQ73" s="43"/>
      <c r="BR73" s="43"/>
      <c r="BS73" s="43"/>
      <c r="BT73" s="43"/>
      <c r="BU73" s="43"/>
      <c r="BV73" s="111"/>
      <c r="BX73" s="43"/>
      <c r="BY73" s="43"/>
      <c r="BZ73" s="43"/>
      <c r="CA73" s="43"/>
      <c r="CB73" s="43"/>
      <c r="CC73" s="43"/>
      <c r="CD73" s="111"/>
      <c r="CF73" s="43"/>
      <c r="CG73" s="43"/>
      <c r="CH73" s="43"/>
      <c r="CI73" s="43"/>
      <c r="CJ73" s="43"/>
      <c r="CK73" s="43"/>
      <c r="CL73" s="111"/>
      <c r="CN73" s="43"/>
      <c r="CO73" s="43"/>
      <c r="CP73" s="43"/>
      <c r="CQ73" s="43"/>
      <c r="CR73" s="43"/>
      <c r="CS73" s="43"/>
      <c r="CT73" s="63"/>
      <c r="CV73" s="43"/>
      <c r="CW73" s="43"/>
      <c r="CX73" s="43"/>
      <c r="CY73" s="43"/>
      <c r="CZ73" s="43"/>
      <c r="DA73" s="43"/>
      <c r="DB73" s="63"/>
      <c r="DD73" s="43"/>
      <c r="DE73" s="43"/>
      <c r="DF73" s="43"/>
      <c r="DG73" s="43"/>
      <c r="DH73" s="43"/>
      <c r="DI73" s="43"/>
      <c r="DJ73" s="63"/>
    </row>
    <row r="74" spans="1:114" x14ac:dyDescent="0.25">
      <c r="A74" s="43"/>
      <c r="B74" s="63"/>
      <c r="D74" s="43"/>
      <c r="E74" s="43"/>
      <c r="F74" s="43"/>
      <c r="G74" s="43"/>
      <c r="H74" s="43"/>
      <c r="I74" s="43"/>
      <c r="J74" s="63"/>
      <c r="L74" s="43"/>
      <c r="M74" s="43"/>
      <c r="N74" s="43"/>
      <c r="O74" s="43"/>
      <c r="P74" s="43"/>
      <c r="Q74" s="43"/>
      <c r="R74" s="63"/>
      <c r="T74" s="43"/>
      <c r="U74" s="43"/>
      <c r="V74" s="43"/>
      <c r="W74" s="43"/>
      <c r="X74" s="43"/>
      <c r="Y74" s="43"/>
      <c r="Z74" s="63"/>
      <c r="AB74" s="43"/>
      <c r="AC74" s="43"/>
      <c r="AD74" s="43"/>
      <c r="AE74" s="43"/>
      <c r="AF74" s="43"/>
      <c r="AG74" s="43"/>
      <c r="AH74" s="63"/>
      <c r="AJ74" s="43"/>
      <c r="AK74" s="43"/>
      <c r="AL74" s="43"/>
      <c r="AM74" s="43"/>
      <c r="AN74" s="43"/>
      <c r="AO74" s="43"/>
      <c r="AP74" s="63"/>
      <c r="AR74" s="43"/>
      <c r="AS74" s="43"/>
      <c r="AT74" s="43"/>
      <c r="AU74" s="43"/>
      <c r="AV74" s="43"/>
      <c r="AW74" s="43"/>
      <c r="AX74" s="63"/>
      <c r="AZ74" s="43"/>
      <c r="BA74" s="43"/>
      <c r="BB74" s="43"/>
      <c r="BC74" s="43"/>
      <c r="BD74" s="43"/>
      <c r="BE74" s="43"/>
      <c r="BF74" s="63"/>
      <c r="BH74" s="43"/>
      <c r="BI74" s="43"/>
      <c r="BJ74" s="43"/>
      <c r="BK74" s="43"/>
      <c r="BL74" s="43"/>
      <c r="BM74" s="43"/>
      <c r="BN74" s="63"/>
      <c r="BP74" s="43"/>
      <c r="BQ74" s="43"/>
      <c r="BR74" s="43"/>
      <c r="BS74" s="43"/>
      <c r="BT74" s="43"/>
      <c r="BU74" s="43"/>
      <c r="BV74" s="111"/>
      <c r="BX74" s="43"/>
      <c r="BY74" s="43"/>
      <c r="BZ74" s="43"/>
      <c r="CA74" s="43"/>
      <c r="CB74" s="43"/>
      <c r="CC74" s="43"/>
      <c r="CD74" s="111"/>
      <c r="CF74" s="43"/>
      <c r="CG74" s="43"/>
      <c r="CH74" s="43"/>
      <c r="CI74" s="43"/>
      <c r="CJ74" s="43"/>
      <c r="CK74" s="43"/>
      <c r="CL74" s="111"/>
      <c r="CN74" s="43"/>
      <c r="CO74" s="43"/>
      <c r="CP74" s="43"/>
      <c r="CQ74" s="43"/>
      <c r="CR74" s="43"/>
      <c r="CS74" s="43"/>
      <c r="CT74" s="63"/>
      <c r="CV74" s="43"/>
      <c r="CW74" s="43"/>
      <c r="CX74" s="43"/>
      <c r="CY74" s="43"/>
      <c r="CZ74" s="43"/>
      <c r="DA74" s="43"/>
      <c r="DB74" s="63"/>
      <c r="DD74" s="43"/>
      <c r="DE74" s="43"/>
      <c r="DF74" s="43"/>
      <c r="DG74" s="43"/>
      <c r="DH74" s="43"/>
      <c r="DI74" s="43"/>
      <c r="DJ74" s="63"/>
    </row>
    <row r="75" spans="1:114" x14ac:dyDescent="0.25">
      <c r="A75" s="43"/>
      <c r="B75" s="63"/>
      <c r="D75" s="43"/>
      <c r="E75" s="43"/>
      <c r="F75" s="43"/>
      <c r="G75" s="43"/>
      <c r="H75" s="43"/>
      <c r="I75" s="43"/>
      <c r="J75" s="63"/>
      <c r="L75" s="43"/>
      <c r="M75" s="43"/>
      <c r="N75" s="43"/>
      <c r="O75" s="43"/>
      <c r="P75" s="43"/>
      <c r="Q75" s="43"/>
      <c r="R75" s="63"/>
      <c r="T75" s="43"/>
      <c r="U75" s="43"/>
      <c r="V75" s="43"/>
      <c r="W75" s="43"/>
      <c r="X75" s="43"/>
      <c r="Y75" s="43"/>
      <c r="Z75" s="63"/>
      <c r="AB75" s="43"/>
      <c r="AC75" s="43"/>
      <c r="AD75" s="43"/>
      <c r="AE75" s="43"/>
      <c r="AF75" s="43"/>
      <c r="AG75" s="43"/>
      <c r="AH75" s="63"/>
      <c r="AJ75" s="43"/>
      <c r="AK75" s="43"/>
      <c r="AL75" s="43"/>
      <c r="AM75" s="43"/>
      <c r="AN75" s="43"/>
      <c r="AO75" s="43"/>
      <c r="AP75" s="63"/>
      <c r="AR75" s="43"/>
      <c r="AS75" s="43"/>
      <c r="AT75" s="43"/>
      <c r="AU75" s="43"/>
      <c r="AV75" s="43"/>
      <c r="AW75" s="43"/>
      <c r="AX75" s="63"/>
      <c r="AZ75" s="43"/>
      <c r="BA75" s="43"/>
      <c r="BB75" s="43"/>
      <c r="BC75" s="43"/>
      <c r="BD75" s="43"/>
      <c r="BE75" s="43"/>
      <c r="BF75" s="63"/>
      <c r="BH75" s="43"/>
      <c r="BI75" s="43"/>
      <c r="BJ75" s="43"/>
      <c r="BK75" s="43"/>
      <c r="BL75" s="43"/>
      <c r="BM75" s="43"/>
      <c r="BN75" s="63"/>
      <c r="BP75" s="43"/>
      <c r="BQ75" s="43"/>
      <c r="BR75" s="43"/>
      <c r="BS75" s="43"/>
      <c r="BT75" s="43"/>
      <c r="BU75" s="43"/>
      <c r="BV75" s="111"/>
      <c r="BX75" s="43"/>
      <c r="BY75" s="43"/>
      <c r="BZ75" s="43"/>
      <c r="CA75" s="43"/>
      <c r="CB75" s="43"/>
      <c r="CC75" s="43"/>
      <c r="CD75" s="111"/>
      <c r="CF75" s="43"/>
      <c r="CG75" s="43"/>
      <c r="CH75" s="43"/>
      <c r="CI75" s="43"/>
      <c r="CJ75" s="43"/>
      <c r="CK75" s="43"/>
      <c r="CL75" s="111"/>
      <c r="CN75" s="43"/>
      <c r="CO75" s="43"/>
      <c r="CP75" s="43"/>
      <c r="CQ75" s="43"/>
      <c r="CR75" s="43"/>
      <c r="CS75" s="43"/>
      <c r="CT75" s="63"/>
      <c r="CV75" s="43"/>
      <c r="CW75" s="43"/>
      <c r="CX75" s="43"/>
      <c r="CY75" s="43"/>
      <c r="CZ75" s="43"/>
      <c r="DA75" s="43"/>
      <c r="DB75" s="63"/>
      <c r="DD75" s="43"/>
      <c r="DE75" s="43"/>
      <c r="DF75" s="43"/>
      <c r="DG75" s="43"/>
      <c r="DH75" s="43"/>
      <c r="DI75" s="43"/>
      <c r="DJ75" s="63"/>
    </row>
    <row r="76" spans="1:114" x14ac:dyDescent="0.25">
      <c r="A76" s="43"/>
      <c r="B76" s="63"/>
      <c r="D76" s="43"/>
      <c r="E76" s="43"/>
      <c r="F76" s="43"/>
      <c r="G76" s="43"/>
      <c r="H76" s="43"/>
      <c r="I76" s="43"/>
      <c r="J76" s="63"/>
      <c r="L76" s="43"/>
      <c r="M76" s="43"/>
      <c r="N76" s="43"/>
      <c r="O76" s="43"/>
      <c r="P76" s="43"/>
      <c r="Q76" s="43"/>
      <c r="R76" s="63"/>
      <c r="T76" s="43"/>
      <c r="U76" s="43"/>
      <c r="V76" s="43"/>
      <c r="W76" s="43"/>
      <c r="X76" s="43"/>
      <c r="Y76" s="43"/>
      <c r="Z76" s="63"/>
      <c r="AB76" s="43"/>
      <c r="AC76" s="43"/>
      <c r="AD76" s="43"/>
      <c r="AE76" s="43"/>
      <c r="AF76" s="43"/>
      <c r="AG76" s="43"/>
      <c r="AH76" s="63"/>
      <c r="AJ76" s="43"/>
      <c r="AK76" s="43"/>
      <c r="AL76" s="43"/>
      <c r="AM76" s="43"/>
      <c r="AN76" s="43"/>
      <c r="AO76" s="43"/>
      <c r="AP76" s="63"/>
      <c r="AR76" s="43"/>
      <c r="AS76" s="43"/>
      <c r="AT76" s="43"/>
      <c r="AU76" s="43"/>
      <c r="AV76" s="43"/>
      <c r="AW76" s="43"/>
      <c r="AX76" s="63"/>
      <c r="AZ76" s="43"/>
      <c r="BA76" s="43"/>
      <c r="BB76" s="43"/>
      <c r="BC76" s="43"/>
      <c r="BD76" s="43"/>
      <c r="BE76" s="43"/>
      <c r="BF76" s="63"/>
      <c r="BH76" s="43"/>
      <c r="BI76" s="43"/>
      <c r="BJ76" s="43"/>
      <c r="BK76" s="43"/>
      <c r="BL76" s="43"/>
      <c r="BM76" s="43"/>
      <c r="BN76" s="63"/>
      <c r="BP76" s="43"/>
      <c r="BQ76" s="43"/>
      <c r="BR76" s="43"/>
      <c r="BS76" s="43"/>
      <c r="BT76" s="43"/>
      <c r="BU76" s="43"/>
      <c r="BV76" s="111"/>
      <c r="BX76" s="43"/>
      <c r="BY76" s="43"/>
      <c r="BZ76" s="43"/>
      <c r="CA76" s="43"/>
      <c r="CB76" s="43"/>
      <c r="CC76" s="43"/>
      <c r="CD76" s="111"/>
      <c r="CF76" s="43"/>
      <c r="CG76" s="43"/>
      <c r="CH76" s="43"/>
      <c r="CI76" s="43"/>
      <c r="CJ76" s="43"/>
      <c r="CK76" s="43"/>
      <c r="CL76" s="111"/>
      <c r="CN76" s="43"/>
      <c r="CO76" s="43"/>
      <c r="CP76" s="43"/>
      <c r="CQ76" s="43"/>
      <c r="CR76" s="43"/>
      <c r="CS76" s="43"/>
      <c r="CT76" s="63"/>
      <c r="CV76" s="43"/>
      <c r="CW76" s="43"/>
      <c r="CX76" s="43"/>
      <c r="CY76" s="43"/>
      <c r="CZ76" s="43"/>
      <c r="DA76" s="43"/>
      <c r="DB76" s="63"/>
      <c r="DD76" s="43"/>
      <c r="DE76" s="43"/>
      <c r="DF76" s="43"/>
      <c r="DG76" s="43"/>
      <c r="DH76" s="43"/>
      <c r="DI76" s="43"/>
      <c r="DJ76" s="63"/>
    </row>
    <row r="77" spans="1:114" x14ac:dyDescent="0.25">
      <c r="A77" s="43"/>
      <c r="B77" s="63"/>
      <c r="D77" s="43"/>
      <c r="E77" s="43"/>
      <c r="F77" s="43"/>
      <c r="G77" s="43"/>
      <c r="H77" s="43"/>
      <c r="I77" s="43"/>
      <c r="J77" s="63"/>
      <c r="L77" s="43"/>
      <c r="M77" s="43"/>
      <c r="N77" s="43"/>
      <c r="O77" s="43"/>
      <c r="P77" s="43"/>
      <c r="Q77" s="43"/>
      <c r="R77" s="63"/>
      <c r="T77" s="43"/>
      <c r="U77" s="43"/>
      <c r="V77" s="43"/>
      <c r="W77" s="43"/>
      <c r="X77" s="43"/>
      <c r="Y77" s="43"/>
      <c r="Z77" s="63"/>
      <c r="AB77" s="43"/>
      <c r="AC77" s="43"/>
      <c r="AD77" s="43"/>
      <c r="AE77" s="43"/>
      <c r="AF77" s="43"/>
      <c r="AG77" s="43"/>
      <c r="AH77" s="63"/>
      <c r="AJ77" s="43"/>
      <c r="AK77" s="43"/>
      <c r="AL77" s="43"/>
      <c r="AM77" s="43"/>
      <c r="AN77" s="43"/>
      <c r="AO77" s="43"/>
      <c r="AP77" s="63"/>
      <c r="AR77" s="43"/>
      <c r="AS77" s="43"/>
      <c r="AT77" s="43"/>
      <c r="AU77" s="43"/>
      <c r="AV77" s="43"/>
      <c r="AW77" s="43"/>
      <c r="AX77" s="63"/>
      <c r="AZ77" s="43"/>
      <c r="BA77" s="43"/>
      <c r="BB77" s="43"/>
      <c r="BC77" s="43"/>
      <c r="BD77" s="43"/>
      <c r="BE77" s="43"/>
      <c r="BF77" s="63"/>
      <c r="BH77" s="43"/>
      <c r="BI77" s="43"/>
      <c r="BJ77" s="43"/>
      <c r="BK77" s="43"/>
      <c r="BL77" s="43"/>
      <c r="BM77" s="43"/>
      <c r="BN77" s="63"/>
      <c r="BP77" s="43"/>
      <c r="BQ77" s="43"/>
      <c r="BR77" s="43"/>
      <c r="BS77" s="43"/>
      <c r="BT77" s="43"/>
      <c r="BU77" s="43"/>
      <c r="BV77" s="111"/>
      <c r="BX77" s="43"/>
      <c r="BY77" s="43"/>
      <c r="BZ77" s="43"/>
      <c r="CA77" s="43"/>
      <c r="CB77" s="43"/>
      <c r="CC77" s="43"/>
      <c r="CD77" s="111"/>
      <c r="CF77" s="43"/>
      <c r="CG77" s="43"/>
      <c r="CH77" s="43"/>
      <c r="CI77" s="43"/>
      <c r="CJ77" s="43"/>
      <c r="CK77" s="43"/>
      <c r="CL77" s="111"/>
      <c r="CN77" s="43"/>
      <c r="CO77" s="43"/>
      <c r="CP77" s="43"/>
      <c r="CQ77" s="43"/>
      <c r="CR77" s="43"/>
      <c r="CS77" s="43"/>
      <c r="CT77" s="63"/>
      <c r="CV77" s="43"/>
      <c r="CW77" s="43"/>
      <c r="CX77" s="43"/>
      <c r="CY77" s="43"/>
      <c r="CZ77" s="43"/>
      <c r="DA77" s="43"/>
      <c r="DB77" s="63"/>
      <c r="DD77" s="43"/>
      <c r="DE77" s="43"/>
      <c r="DF77" s="43"/>
      <c r="DG77" s="43"/>
      <c r="DH77" s="43"/>
      <c r="DI77" s="43"/>
      <c r="DJ77" s="63"/>
    </row>
    <row r="78" spans="1:114" x14ac:dyDescent="0.25">
      <c r="A78" s="43"/>
      <c r="B78" s="63"/>
      <c r="D78" s="43"/>
      <c r="E78" s="43"/>
      <c r="F78" s="43"/>
      <c r="G78" s="43"/>
      <c r="H78" s="43"/>
      <c r="I78" s="43"/>
      <c r="J78" s="63"/>
      <c r="L78" s="43"/>
      <c r="M78" s="43"/>
      <c r="N78" s="43"/>
      <c r="O78" s="43"/>
      <c r="P78" s="43"/>
      <c r="Q78" s="43"/>
      <c r="R78" s="63"/>
      <c r="T78" s="43"/>
      <c r="U78" s="43"/>
      <c r="V78" s="43"/>
      <c r="W78" s="43"/>
      <c r="X78" s="43"/>
      <c r="Y78" s="43"/>
      <c r="Z78" s="63"/>
      <c r="AB78" s="43"/>
      <c r="AC78" s="43"/>
      <c r="AD78" s="43"/>
      <c r="AE78" s="43"/>
      <c r="AF78" s="43"/>
      <c r="AG78" s="43"/>
      <c r="AH78" s="63"/>
      <c r="AJ78" s="43"/>
      <c r="AK78" s="43"/>
      <c r="AL78" s="43"/>
      <c r="AM78" s="43"/>
      <c r="AN78" s="43"/>
      <c r="AO78" s="43"/>
      <c r="AP78" s="63"/>
      <c r="AR78" s="43"/>
      <c r="AS78" s="43"/>
      <c r="AT78" s="43"/>
      <c r="AU78" s="43"/>
      <c r="AV78" s="43"/>
      <c r="AW78" s="43"/>
      <c r="AX78" s="63"/>
      <c r="AZ78" s="43"/>
      <c r="BA78" s="43"/>
      <c r="BB78" s="43"/>
      <c r="BC78" s="43"/>
      <c r="BD78" s="43"/>
      <c r="BE78" s="43"/>
      <c r="BF78" s="63"/>
      <c r="BH78" s="43"/>
      <c r="BI78" s="43"/>
      <c r="BJ78" s="43"/>
      <c r="BK78" s="43"/>
      <c r="BL78" s="43"/>
      <c r="BM78" s="43"/>
      <c r="BN78" s="63"/>
      <c r="BP78" s="43"/>
      <c r="BQ78" s="43"/>
      <c r="BR78" s="43"/>
      <c r="BS78" s="43"/>
      <c r="BT78" s="43"/>
      <c r="BU78" s="43"/>
      <c r="BV78" s="111"/>
      <c r="BX78" s="43"/>
      <c r="BY78" s="43"/>
      <c r="BZ78" s="43"/>
      <c r="CA78" s="43"/>
      <c r="CB78" s="43"/>
      <c r="CC78" s="43"/>
      <c r="CD78" s="111"/>
      <c r="CF78" s="43"/>
      <c r="CG78" s="43"/>
      <c r="CH78" s="43"/>
      <c r="CI78" s="43"/>
      <c r="CJ78" s="43"/>
      <c r="CK78" s="43"/>
      <c r="CL78" s="111"/>
      <c r="CN78" s="43"/>
      <c r="CO78" s="43"/>
      <c r="CP78" s="43"/>
      <c r="CQ78" s="43"/>
      <c r="CR78" s="43"/>
      <c r="CS78" s="43"/>
      <c r="CT78" s="63"/>
      <c r="CV78" s="43"/>
      <c r="CW78" s="43"/>
      <c r="CX78" s="43"/>
      <c r="CY78" s="43"/>
      <c r="CZ78" s="43"/>
      <c r="DA78" s="43"/>
      <c r="DB78" s="63"/>
      <c r="DD78" s="43"/>
      <c r="DE78" s="43"/>
      <c r="DF78" s="43"/>
      <c r="DG78" s="43"/>
      <c r="DH78" s="43"/>
      <c r="DI78" s="43"/>
      <c r="DJ78" s="63"/>
    </row>
    <row r="79" spans="1:114" x14ac:dyDescent="0.25">
      <c r="A79" s="43"/>
      <c r="B79" s="63"/>
      <c r="D79" s="43"/>
      <c r="E79" s="43"/>
      <c r="F79" s="43"/>
      <c r="G79" s="43"/>
      <c r="H79" s="43"/>
      <c r="I79" s="43"/>
      <c r="J79" s="63"/>
      <c r="L79" s="43"/>
      <c r="M79" s="43"/>
      <c r="N79" s="43"/>
      <c r="O79" s="43"/>
      <c r="P79" s="43"/>
      <c r="Q79" s="43"/>
      <c r="R79" s="63"/>
      <c r="T79" s="43"/>
      <c r="U79" s="43"/>
      <c r="V79" s="43"/>
      <c r="W79" s="43"/>
      <c r="X79" s="43"/>
      <c r="Y79" s="43"/>
      <c r="Z79" s="63"/>
      <c r="AB79" s="43"/>
      <c r="AC79" s="43"/>
      <c r="AD79" s="43"/>
      <c r="AE79" s="43"/>
      <c r="AF79" s="43"/>
      <c r="AG79" s="43"/>
      <c r="AH79" s="63"/>
      <c r="AJ79" s="43"/>
      <c r="AK79" s="43"/>
      <c r="AL79" s="43"/>
      <c r="AM79" s="43"/>
      <c r="AN79" s="43"/>
      <c r="AO79" s="43"/>
      <c r="AP79" s="63"/>
      <c r="AR79" s="43"/>
      <c r="AS79" s="43"/>
      <c r="AT79" s="43"/>
      <c r="AU79" s="43"/>
      <c r="AV79" s="43"/>
      <c r="AW79" s="43"/>
      <c r="AX79" s="63"/>
      <c r="AZ79" s="43"/>
      <c r="BA79" s="43"/>
      <c r="BB79" s="43"/>
      <c r="BC79" s="43"/>
      <c r="BD79" s="43"/>
      <c r="BE79" s="43"/>
      <c r="BF79" s="63"/>
      <c r="BH79" s="43"/>
      <c r="BI79" s="43"/>
      <c r="BJ79" s="43"/>
      <c r="BK79" s="43"/>
      <c r="BL79" s="43"/>
      <c r="BM79" s="43"/>
      <c r="BN79" s="63"/>
      <c r="BP79" s="43"/>
      <c r="BQ79" s="43"/>
      <c r="BR79" s="43"/>
      <c r="BS79" s="43"/>
      <c r="BT79" s="43"/>
      <c r="BU79" s="43"/>
      <c r="BV79" s="111"/>
      <c r="BX79" s="43"/>
      <c r="BY79" s="43"/>
      <c r="BZ79" s="43"/>
      <c r="CA79" s="43"/>
      <c r="CB79" s="43"/>
      <c r="CC79" s="43"/>
      <c r="CD79" s="111"/>
      <c r="CF79" s="43"/>
      <c r="CG79" s="43"/>
      <c r="CH79" s="43"/>
      <c r="CI79" s="43"/>
      <c r="CJ79" s="43"/>
      <c r="CK79" s="43"/>
      <c r="CL79" s="111"/>
      <c r="CN79" s="43"/>
      <c r="CO79" s="43"/>
      <c r="CP79" s="43"/>
      <c r="CQ79" s="43"/>
      <c r="CR79" s="43"/>
      <c r="CS79" s="43"/>
      <c r="CT79" s="63"/>
      <c r="CV79" s="43"/>
      <c r="CW79" s="43"/>
      <c r="CX79" s="43"/>
      <c r="CY79" s="43"/>
      <c r="CZ79" s="43"/>
      <c r="DA79" s="43"/>
      <c r="DB79" s="63"/>
      <c r="DD79" s="43"/>
      <c r="DE79" s="43"/>
      <c r="DF79" s="43"/>
      <c r="DG79" s="43"/>
      <c r="DH79" s="43"/>
      <c r="DI79" s="43"/>
      <c r="DJ79" s="63"/>
    </row>
    <row r="80" spans="1:114" x14ac:dyDescent="0.25">
      <c r="A80" s="43"/>
      <c r="B80" s="63"/>
      <c r="D80" s="43"/>
      <c r="E80" s="43"/>
      <c r="F80" s="43"/>
      <c r="G80" s="43"/>
      <c r="H80" s="43"/>
      <c r="I80" s="43"/>
      <c r="J80" s="63"/>
      <c r="L80" s="43"/>
      <c r="M80" s="43"/>
      <c r="N80" s="43"/>
      <c r="O80" s="43"/>
      <c r="P80" s="43"/>
      <c r="Q80" s="43"/>
      <c r="R80" s="63"/>
      <c r="T80" s="43"/>
      <c r="U80" s="43"/>
      <c r="V80" s="43"/>
      <c r="W80" s="43"/>
      <c r="X80" s="43"/>
      <c r="Y80" s="43"/>
      <c r="Z80" s="63"/>
      <c r="AB80" s="43"/>
      <c r="AC80" s="43"/>
      <c r="AD80" s="43"/>
      <c r="AE80" s="43"/>
      <c r="AF80" s="43"/>
      <c r="AG80" s="43"/>
      <c r="AH80" s="63"/>
      <c r="AJ80" s="43"/>
      <c r="AK80" s="43"/>
      <c r="AL80" s="43"/>
      <c r="AM80" s="43"/>
      <c r="AN80" s="43"/>
      <c r="AO80" s="43"/>
      <c r="AP80" s="63"/>
      <c r="AR80" s="43"/>
      <c r="AS80" s="43"/>
      <c r="AT80" s="43"/>
      <c r="AU80" s="43"/>
      <c r="AV80" s="43"/>
      <c r="AW80" s="43"/>
      <c r="AX80" s="63"/>
      <c r="AZ80" s="43"/>
      <c r="BA80" s="43"/>
      <c r="BB80" s="43"/>
      <c r="BC80" s="43"/>
      <c r="BD80" s="43"/>
      <c r="BE80" s="43"/>
      <c r="BF80" s="63"/>
      <c r="BH80" s="43"/>
      <c r="BI80" s="43"/>
      <c r="BJ80" s="43"/>
      <c r="BK80" s="43"/>
      <c r="BL80" s="43"/>
      <c r="BM80" s="43"/>
      <c r="BN80" s="63"/>
      <c r="BP80" s="43"/>
      <c r="BQ80" s="43"/>
      <c r="BR80" s="43"/>
      <c r="BS80" s="43"/>
      <c r="BT80" s="43"/>
      <c r="BU80" s="43"/>
      <c r="BV80" s="111"/>
      <c r="BX80" s="43"/>
      <c r="BY80" s="43"/>
      <c r="BZ80" s="43"/>
      <c r="CA80" s="43"/>
      <c r="CB80" s="43"/>
      <c r="CC80" s="43"/>
      <c r="CD80" s="111"/>
      <c r="CF80" s="43"/>
      <c r="CG80" s="43"/>
      <c r="CH80" s="43"/>
      <c r="CI80" s="43"/>
      <c r="CJ80" s="43"/>
      <c r="CK80" s="43"/>
      <c r="CL80" s="111"/>
      <c r="CN80" s="43"/>
      <c r="CO80" s="43"/>
      <c r="CP80" s="43"/>
      <c r="CQ80" s="43"/>
      <c r="CR80" s="43"/>
      <c r="CS80" s="43"/>
      <c r="CT80" s="63"/>
      <c r="CV80" s="43"/>
      <c r="CW80" s="43"/>
      <c r="CX80" s="43"/>
      <c r="CY80" s="43"/>
      <c r="CZ80" s="43"/>
      <c r="DA80" s="43"/>
      <c r="DB80" s="63"/>
      <c r="DD80" s="43"/>
      <c r="DE80" s="43"/>
      <c r="DF80" s="43"/>
      <c r="DG80" s="43"/>
      <c r="DH80" s="43"/>
      <c r="DI80" s="43"/>
      <c r="DJ80" s="63"/>
    </row>
    <row r="81" spans="1:114" x14ac:dyDescent="0.25">
      <c r="A81" s="43"/>
      <c r="B81" s="63"/>
      <c r="D81" s="43"/>
      <c r="E81" s="43"/>
      <c r="F81" s="43"/>
      <c r="G81" s="43"/>
      <c r="H81" s="43"/>
      <c r="I81" s="43"/>
      <c r="J81" s="63"/>
      <c r="L81" s="43"/>
      <c r="M81" s="43"/>
      <c r="N81" s="43"/>
      <c r="O81" s="43"/>
      <c r="P81" s="43"/>
      <c r="Q81" s="43"/>
      <c r="R81" s="63"/>
      <c r="T81" s="43"/>
      <c r="U81" s="43"/>
      <c r="V81" s="43"/>
      <c r="W81" s="43"/>
      <c r="X81" s="43"/>
      <c r="Y81" s="43"/>
      <c r="Z81" s="63"/>
      <c r="AB81" s="43"/>
      <c r="AC81" s="43"/>
      <c r="AD81" s="43"/>
      <c r="AE81" s="43"/>
      <c r="AF81" s="43"/>
      <c r="AG81" s="43"/>
      <c r="AH81" s="63"/>
      <c r="AJ81" s="43"/>
      <c r="AK81" s="43"/>
      <c r="AL81" s="43"/>
      <c r="AM81" s="43"/>
      <c r="AN81" s="43"/>
      <c r="AO81" s="43"/>
      <c r="AP81" s="63"/>
      <c r="AR81" s="43"/>
      <c r="AS81" s="43"/>
      <c r="AT81" s="43"/>
      <c r="AU81" s="43"/>
      <c r="AV81" s="43"/>
      <c r="AW81" s="43"/>
      <c r="AX81" s="63"/>
      <c r="AZ81" s="43"/>
      <c r="BA81" s="43"/>
      <c r="BB81" s="43"/>
      <c r="BC81" s="43"/>
      <c r="BD81" s="43"/>
      <c r="BE81" s="43"/>
      <c r="BF81" s="63"/>
      <c r="BH81" s="43"/>
      <c r="BI81" s="43"/>
      <c r="BJ81" s="43"/>
      <c r="BK81" s="43"/>
      <c r="BL81" s="43"/>
      <c r="BM81" s="43"/>
      <c r="BN81" s="63"/>
      <c r="BP81" s="43"/>
      <c r="BQ81" s="43"/>
      <c r="BR81" s="43"/>
      <c r="BS81" s="43"/>
      <c r="BT81" s="43"/>
      <c r="BU81" s="43"/>
      <c r="BV81" s="63"/>
      <c r="BX81" s="43"/>
      <c r="BY81" s="43"/>
      <c r="BZ81" s="43"/>
      <c r="CA81" s="43"/>
      <c r="CB81" s="43"/>
      <c r="CC81" s="43"/>
      <c r="CD81" s="63"/>
      <c r="CF81" s="43"/>
      <c r="CG81" s="43"/>
      <c r="CH81" s="43"/>
      <c r="CI81" s="43"/>
      <c r="CJ81" s="43"/>
      <c r="CK81" s="43"/>
      <c r="CL81" s="63"/>
      <c r="CN81" s="43"/>
      <c r="CO81" s="43"/>
      <c r="CP81" s="43"/>
      <c r="CQ81" s="43"/>
      <c r="CR81" s="43"/>
      <c r="CS81" s="43"/>
      <c r="CT81" s="63"/>
      <c r="CV81" s="43"/>
      <c r="CW81" s="43"/>
      <c r="CX81" s="43"/>
      <c r="CY81" s="43"/>
      <c r="CZ81" s="43"/>
      <c r="DA81" s="43"/>
      <c r="DB81" s="63"/>
      <c r="DD81" s="43"/>
      <c r="DE81" s="43"/>
      <c r="DF81" s="43"/>
      <c r="DG81" s="43"/>
      <c r="DH81" s="43"/>
      <c r="DI81" s="43"/>
      <c r="DJ81" s="63"/>
    </row>
    <row r="82" spans="1:114" x14ac:dyDescent="0.25">
      <c r="A82" s="43"/>
      <c r="B82" s="63"/>
      <c r="D82" s="43"/>
      <c r="E82" s="43"/>
      <c r="F82" s="43"/>
      <c r="G82" s="43"/>
      <c r="H82" s="43"/>
      <c r="I82" s="43"/>
      <c r="J82" s="63"/>
      <c r="L82" s="43"/>
      <c r="M82" s="43"/>
      <c r="N82" s="43"/>
      <c r="O82" s="43"/>
      <c r="P82" s="43"/>
      <c r="Q82" s="43"/>
      <c r="R82" s="63"/>
      <c r="T82" s="43"/>
      <c r="U82" s="43"/>
      <c r="V82" s="43"/>
      <c r="W82" s="43"/>
      <c r="X82" s="43"/>
      <c r="Y82" s="43"/>
      <c r="Z82" s="63"/>
      <c r="AB82" s="43"/>
      <c r="AC82" s="43"/>
      <c r="AD82" s="43"/>
      <c r="AE82" s="43"/>
      <c r="AF82" s="43"/>
      <c r="AG82" s="43"/>
      <c r="AH82" s="63"/>
      <c r="AJ82" s="43"/>
      <c r="AK82" s="43"/>
      <c r="AL82" s="43"/>
      <c r="AM82" s="43"/>
      <c r="AN82" s="43"/>
      <c r="AO82" s="43"/>
      <c r="AP82" s="63"/>
      <c r="AR82" s="43"/>
      <c r="AS82" s="43"/>
      <c r="AT82" s="43"/>
      <c r="AU82" s="43"/>
      <c r="AV82" s="43"/>
      <c r="AW82" s="43"/>
      <c r="AX82" s="63"/>
      <c r="AZ82" s="43"/>
      <c r="BA82" s="43"/>
      <c r="BB82" s="43"/>
      <c r="BC82" s="43"/>
      <c r="BD82" s="43"/>
      <c r="BE82" s="43"/>
      <c r="BF82" s="63"/>
      <c r="BH82" s="43"/>
      <c r="BI82" s="43"/>
      <c r="BJ82" s="43"/>
      <c r="BK82" s="43"/>
      <c r="BL82" s="43"/>
      <c r="BM82" s="43"/>
      <c r="BN82" s="63"/>
      <c r="BP82" s="43"/>
      <c r="BQ82" s="43"/>
      <c r="BR82" s="43"/>
      <c r="BS82" s="43"/>
      <c r="BT82" s="43"/>
      <c r="BU82" s="43"/>
      <c r="BV82" s="63"/>
      <c r="BX82" s="43"/>
      <c r="BY82" s="43"/>
      <c r="BZ82" s="43"/>
      <c r="CA82" s="43"/>
      <c r="CB82" s="43"/>
      <c r="CC82" s="43"/>
      <c r="CD82" s="63"/>
      <c r="CF82" s="43"/>
      <c r="CG82" s="43"/>
      <c r="CH82" s="43"/>
      <c r="CI82" s="43"/>
      <c r="CJ82" s="43"/>
      <c r="CK82" s="43"/>
      <c r="CL82" s="63"/>
      <c r="CN82" s="43"/>
      <c r="CO82" s="43"/>
      <c r="CP82" s="43"/>
      <c r="CQ82" s="43"/>
      <c r="CR82" s="43"/>
      <c r="CS82" s="43"/>
      <c r="CT82" s="63"/>
      <c r="CV82" s="43"/>
      <c r="CW82" s="43"/>
      <c r="CX82" s="43"/>
      <c r="CY82" s="43"/>
      <c r="CZ82" s="43"/>
      <c r="DA82" s="43"/>
      <c r="DB82" s="63"/>
      <c r="DD82" s="43"/>
      <c r="DE82" s="43"/>
      <c r="DF82" s="43"/>
      <c r="DG82" s="43"/>
      <c r="DH82" s="43"/>
      <c r="DI82" s="43"/>
      <c r="DJ82" s="63"/>
    </row>
    <row r="83" spans="1:114" x14ac:dyDescent="0.25">
      <c r="A83" s="43"/>
      <c r="B83" s="63"/>
      <c r="D83" s="43"/>
      <c r="E83" s="43"/>
      <c r="F83" s="43"/>
      <c r="G83" s="43"/>
      <c r="H83" s="43"/>
      <c r="I83" s="43"/>
      <c r="J83" s="63"/>
      <c r="L83" s="43"/>
      <c r="M83" s="43"/>
      <c r="N83" s="43"/>
      <c r="O83" s="43"/>
      <c r="P83" s="43"/>
      <c r="Q83" s="43"/>
      <c r="R83" s="63"/>
      <c r="T83" s="43"/>
      <c r="U83" s="43"/>
      <c r="V83" s="43"/>
      <c r="W83" s="43"/>
      <c r="X83" s="43"/>
      <c r="Y83" s="43"/>
      <c r="Z83" s="63"/>
      <c r="AB83" s="43"/>
      <c r="AC83" s="43"/>
      <c r="AD83" s="43"/>
      <c r="AE83" s="43"/>
      <c r="AF83" s="43"/>
      <c r="AG83" s="43"/>
      <c r="AH83" s="63"/>
      <c r="AJ83" s="43"/>
      <c r="AK83" s="43"/>
      <c r="AL83" s="43"/>
      <c r="AM83" s="43"/>
      <c r="AN83" s="43"/>
      <c r="AO83" s="43"/>
      <c r="AP83" s="63"/>
      <c r="AR83" s="43"/>
      <c r="AS83" s="43"/>
      <c r="AT83" s="43"/>
      <c r="AU83" s="43"/>
      <c r="AV83" s="43"/>
      <c r="AW83" s="43"/>
      <c r="AX83" s="63"/>
      <c r="AZ83" s="43"/>
      <c r="BA83" s="43"/>
      <c r="BB83" s="43"/>
      <c r="BC83" s="43"/>
      <c r="BD83" s="43"/>
      <c r="BE83" s="43"/>
      <c r="BF83" s="63"/>
      <c r="BH83" s="43"/>
      <c r="BI83" s="43"/>
      <c r="BJ83" s="43"/>
      <c r="BK83" s="43"/>
      <c r="BL83" s="43"/>
      <c r="BM83" s="43"/>
      <c r="BN83" s="63"/>
      <c r="BP83" s="43"/>
      <c r="BQ83" s="43"/>
      <c r="BR83" s="43"/>
      <c r="BS83" s="43"/>
      <c r="BT83" s="43"/>
      <c r="BU83" s="43"/>
      <c r="BV83" s="63"/>
      <c r="BX83" s="43"/>
      <c r="BY83" s="43"/>
      <c r="BZ83" s="43"/>
      <c r="CA83" s="43"/>
      <c r="CB83" s="43"/>
      <c r="CC83" s="43"/>
      <c r="CD83" s="63"/>
      <c r="CF83" s="43"/>
      <c r="CG83" s="43"/>
      <c r="CH83" s="43"/>
      <c r="CI83" s="43"/>
      <c r="CJ83" s="43"/>
      <c r="CK83" s="43"/>
      <c r="CL83" s="63"/>
      <c r="CN83" s="43"/>
      <c r="CO83" s="43"/>
      <c r="CP83" s="43"/>
      <c r="CQ83" s="43"/>
      <c r="CR83" s="43"/>
      <c r="CS83" s="43"/>
      <c r="CT83" s="63"/>
      <c r="CV83" s="43"/>
      <c r="CW83" s="43"/>
      <c r="CX83" s="43"/>
      <c r="CY83" s="43"/>
      <c r="CZ83" s="43"/>
      <c r="DA83" s="43"/>
      <c r="DB83" s="63"/>
      <c r="DD83" s="43"/>
      <c r="DE83" s="43"/>
      <c r="DF83" s="43"/>
      <c r="DG83" s="43"/>
      <c r="DH83" s="43"/>
      <c r="DI83" s="43"/>
      <c r="DJ83" s="63"/>
    </row>
    <row r="84" spans="1:114" x14ac:dyDescent="0.25">
      <c r="A84" s="43"/>
      <c r="B84" s="63"/>
      <c r="D84" s="43"/>
      <c r="E84" s="43"/>
      <c r="F84" s="43"/>
      <c r="G84" s="43"/>
      <c r="H84" s="43"/>
      <c r="I84" s="43"/>
      <c r="J84" s="63"/>
      <c r="L84" s="43"/>
      <c r="M84" s="43"/>
      <c r="N84" s="43"/>
      <c r="O84" s="43"/>
      <c r="P84" s="43"/>
      <c r="Q84" s="43"/>
      <c r="R84" s="63"/>
      <c r="T84" s="43"/>
      <c r="U84" s="43"/>
      <c r="V84" s="43"/>
      <c r="W84" s="43"/>
      <c r="X84" s="43"/>
      <c r="Y84" s="43"/>
      <c r="Z84" s="63"/>
      <c r="AB84" s="43"/>
      <c r="AC84" s="43"/>
      <c r="AD84" s="43"/>
      <c r="AE84" s="43"/>
      <c r="AF84" s="43"/>
      <c r="AG84" s="43"/>
      <c r="AH84" s="63"/>
      <c r="AJ84" s="43"/>
      <c r="AK84" s="43"/>
      <c r="AL84" s="43"/>
      <c r="AM84" s="43"/>
      <c r="AN84" s="43"/>
      <c r="AO84" s="43"/>
      <c r="AP84" s="63"/>
      <c r="AR84" s="43"/>
      <c r="AS84" s="43"/>
      <c r="AT84" s="43"/>
      <c r="AU84" s="43"/>
      <c r="AV84" s="43"/>
      <c r="AW84" s="43"/>
      <c r="AX84" s="63"/>
      <c r="AZ84" s="43"/>
      <c r="BA84" s="43"/>
      <c r="BB84" s="43"/>
      <c r="BC84" s="43"/>
      <c r="BD84" s="43"/>
      <c r="BE84" s="43"/>
      <c r="BF84" s="63"/>
      <c r="BH84" s="43"/>
      <c r="BI84" s="43"/>
      <c r="BJ84" s="43"/>
      <c r="BK84" s="43"/>
      <c r="BL84" s="43"/>
      <c r="BM84" s="43"/>
      <c r="BN84" s="63"/>
      <c r="BP84" s="43"/>
      <c r="BQ84" s="43"/>
      <c r="BR84" s="43"/>
      <c r="BS84" s="43"/>
      <c r="BT84" s="43"/>
      <c r="BU84" s="43"/>
      <c r="BV84" s="63"/>
      <c r="BX84" s="43"/>
      <c r="BY84" s="43"/>
      <c r="BZ84" s="43"/>
      <c r="CA84" s="43"/>
      <c r="CB84" s="43"/>
      <c r="CC84" s="43"/>
      <c r="CD84" s="63"/>
      <c r="CF84" s="43"/>
      <c r="CG84" s="43"/>
      <c r="CH84" s="43"/>
      <c r="CI84" s="43"/>
      <c r="CJ84" s="43"/>
      <c r="CK84" s="43"/>
      <c r="CL84" s="63"/>
      <c r="CN84" s="43"/>
      <c r="CO84" s="43"/>
      <c r="CP84" s="43"/>
      <c r="CQ84" s="43"/>
      <c r="CR84" s="43"/>
      <c r="CS84" s="43"/>
      <c r="CT84" s="63"/>
      <c r="CV84" s="43"/>
      <c r="CW84" s="43"/>
      <c r="CX84" s="43"/>
      <c r="CY84" s="43"/>
      <c r="CZ84" s="43"/>
      <c r="DA84" s="43"/>
      <c r="DB84" s="63"/>
      <c r="DD84" s="43"/>
      <c r="DE84" s="43"/>
      <c r="DF84" s="43"/>
      <c r="DG84" s="43"/>
      <c r="DH84" s="43"/>
      <c r="DI84" s="43"/>
      <c r="DJ84" s="63"/>
    </row>
    <row r="85" spans="1:114" x14ac:dyDescent="0.25">
      <c r="A85" s="43"/>
      <c r="B85" s="63"/>
      <c r="D85" s="43"/>
      <c r="E85" s="43"/>
      <c r="F85" s="43"/>
      <c r="G85" s="43"/>
      <c r="H85" s="43"/>
      <c r="I85" s="43"/>
      <c r="J85" s="63"/>
      <c r="L85" s="43"/>
      <c r="M85" s="43"/>
      <c r="N85" s="43"/>
      <c r="O85" s="43"/>
      <c r="P85" s="43"/>
      <c r="Q85" s="43"/>
      <c r="R85" s="63"/>
      <c r="T85" s="43"/>
      <c r="U85" s="43"/>
      <c r="V85" s="43"/>
      <c r="W85" s="43"/>
      <c r="X85" s="43"/>
      <c r="Y85" s="43"/>
      <c r="Z85" s="63"/>
      <c r="AB85" s="43"/>
      <c r="AC85" s="43"/>
      <c r="AD85" s="43"/>
      <c r="AE85" s="43"/>
      <c r="AF85" s="43"/>
      <c r="AG85" s="43"/>
      <c r="AH85" s="63"/>
      <c r="AJ85" s="43"/>
      <c r="AK85" s="43"/>
      <c r="AL85" s="43"/>
      <c r="AM85" s="43"/>
      <c r="AN85" s="43"/>
      <c r="AO85" s="43"/>
      <c r="AP85" s="63"/>
      <c r="AR85" s="43"/>
      <c r="AS85" s="43"/>
      <c r="AT85" s="43"/>
      <c r="AU85" s="43"/>
      <c r="AV85" s="43"/>
      <c r="AW85" s="43"/>
      <c r="AX85" s="63"/>
      <c r="AZ85" s="43"/>
      <c r="BA85" s="43"/>
      <c r="BB85" s="43"/>
      <c r="BC85" s="43"/>
      <c r="BD85" s="43"/>
      <c r="BE85" s="43"/>
      <c r="BF85" s="63"/>
      <c r="BH85" s="43"/>
      <c r="BI85" s="43"/>
      <c r="BJ85" s="43"/>
      <c r="BK85" s="43"/>
      <c r="BL85" s="43"/>
      <c r="BM85" s="43"/>
      <c r="BN85" s="63"/>
      <c r="BP85" s="43"/>
      <c r="BQ85" s="43"/>
      <c r="BR85" s="43"/>
      <c r="BS85" s="43"/>
      <c r="BT85" s="43"/>
      <c r="BU85" s="43"/>
      <c r="BV85" s="63"/>
      <c r="BX85" s="43"/>
      <c r="BY85" s="43"/>
      <c r="BZ85" s="43"/>
      <c r="CA85" s="43"/>
      <c r="CB85" s="43"/>
      <c r="CC85" s="43"/>
      <c r="CD85" s="63"/>
      <c r="CF85" s="43"/>
      <c r="CG85" s="43"/>
      <c r="CH85" s="43"/>
      <c r="CI85" s="43"/>
      <c r="CJ85" s="43"/>
      <c r="CK85" s="43"/>
      <c r="CL85" s="63"/>
      <c r="CN85" s="43"/>
      <c r="CO85" s="43"/>
      <c r="CP85" s="43"/>
      <c r="CQ85" s="43"/>
      <c r="CR85" s="43"/>
      <c r="CS85" s="43"/>
      <c r="CT85" s="63"/>
      <c r="CV85" s="43"/>
      <c r="CW85" s="43"/>
      <c r="CX85" s="43"/>
      <c r="CY85" s="43"/>
      <c r="CZ85" s="43"/>
      <c r="DA85" s="43"/>
      <c r="DB85" s="63"/>
      <c r="DD85" s="43"/>
      <c r="DE85" s="43"/>
      <c r="DF85" s="43"/>
      <c r="DG85" s="43"/>
      <c r="DH85" s="43"/>
      <c r="DI85" s="43"/>
      <c r="DJ85" s="63"/>
    </row>
    <row r="86" spans="1:114" x14ac:dyDescent="0.25">
      <c r="A86" s="43"/>
      <c r="B86" s="63"/>
      <c r="D86" s="43"/>
      <c r="E86" s="43"/>
      <c r="F86" s="43"/>
      <c r="G86" s="43"/>
      <c r="H86" s="43"/>
      <c r="I86" s="43"/>
      <c r="J86" s="63"/>
      <c r="L86" s="43"/>
      <c r="M86" s="43"/>
      <c r="N86" s="43"/>
      <c r="O86" s="43"/>
      <c r="P86" s="43"/>
      <c r="Q86" s="43"/>
      <c r="R86" s="63"/>
      <c r="T86" s="43"/>
      <c r="U86" s="43"/>
      <c r="V86" s="43"/>
      <c r="W86" s="43"/>
      <c r="X86" s="43"/>
      <c r="Y86" s="43"/>
      <c r="Z86" s="63"/>
      <c r="AB86" s="43"/>
      <c r="AC86" s="43"/>
      <c r="AD86" s="43"/>
      <c r="AE86" s="43"/>
      <c r="AF86" s="43"/>
      <c r="AG86" s="43"/>
      <c r="AH86" s="63"/>
      <c r="AJ86" s="43"/>
      <c r="AK86" s="43"/>
      <c r="AL86" s="43"/>
      <c r="AM86" s="43"/>
      <c r="AN86" s="43"/>
      <c r="AO86" s="43"/>
      <c r="AP86" s="63"/>
      <c r="AR86" s="43"/>
      <c r="AS86" s="43"/>
      <c r="AT86" s="43"/>
      <c r="AU86" s="43"/>
      <c r="AV86" s="43"/>
      <c r="AW86" s="43"/>
      <c r="AX86" s="63"/>
      <c r="AZ86" s="43"/>
      <c r="BA86" s="43"/>
      <c r="BB86" s="43"/>
      <c r="BC86" s="43"/>
      <c r="BD86" s="43"/>
      <c r="BE86" s="43"/>
      <c r="BF86" s="63"/>
      <c r="BH86" s="43"/>
      <c r="BI86" s="43"/>
      <c r="BJ86" s="43"/>
      <c r="BK86" s="43"/>
      <c r="BL86" s="43"/>
      <c r="BM86" s="43"/>
      <c r="BN86" s="63"/>
      <c r="BP86" s="43"/>
      <c r="BQ86" s="43"/>
      <c r="BR86" s="43"/>
      <c r="BS86" s="43"/>
      <c r="BT86" s="43"/>
      <c r="BU86" s="43"/>
      <c r="BV86" s="63"/>
      <c r="BX86" s="43"/>
      <c r="BY86" s="43"/>
      <c r="BZ86" s="43"/>
      <c r="CA86" s="43"/>
      <c r="CB86" s="43"/>
      <c r="CC86" s="43"/>
      <c r="CD86" s="63"/>
      <c r="CF86" s="43"/>
      <c r="CG86" s="43"/>
      <c r="CH86" s="43"/>
      <c r="CI86" s="43"/>
      <c r="CJ86" s="43"/>
      <c r="CK86" s="43"/>
      <c r="CL86" s="63"/>
      <c r="CN86" s="43"/>
      <c r="CO86" s="43"/>
      <c r="CP86" s="43"/>
      <c r="CQ86" s="43"/>
      <c r="CR86" s="43"/>
      <c r="CS86" s="43"/>
      <c r="CT86" s="63"/>
      <c r="CV86" s="43"/>
      <c r="CW86" s="43"/>
      <c r="CX86" s="43"/>
      <c r="CY86" s="43"/>
      <c r="CZ86" s="43"/>
      <c r="DA86" s="43"/>
      <c r="DB86" s="63"/>
      <c r="DD86" s="43"/>
      <c r="DE86" s="43"/>
      <c r="DF86" s="43"/>
      <c r="DG86" s="43"/>
      <c r="DH86" s="43"/>
      <c r="DI86" s="43"/>
      <c r="DJ86" s="63"/>
    </row>
    <row r="87" spans="1:114" x14ac:dyDescent="0.25">
      <c r="A87" s="43"/>
      <c r="B87" s="63"/>
      <c r="D87" s="43"/>
      <c r="E87" s="43"/>
      <c r="F87" s="43"/>
      <c r="G87" s="43"/>
      <c r="H87" s="43"/>
      <c r="I87" s="43"/>
      <c r="J87" s="63"/>
      <c r="L87" s="43"/>
      <c r="M87" s="43"/>
      <c r="N87" s="43"/>
      <c r="O87" s="43"/>
      <c r="P87" s="43"/>
      <c r="Q87" s="43"/>
      <c r="R87" s="63"/>
      <c r="T87" s="43"/>
      <c r="U87" s="43"/>
      <c r="V87" s="43"/>
      <c r="W87" s="43"/>
      <c r="X87" s="43"/>
      <c r="Y87" s="43"/>
      <c r="Z87" s="63"/>
      <c r="AB87" s="43"/>
      <c r="AC87" s="43"/>
      <c r="AD87" s="43"/>
      <c r="AE87" s="43"/>
      <c r="AF87" s="43"/>
      <c r="AG87" s="43"/>
      <c r="AH87" s="63"/>
      <c r="AJ87" s="43"/>
      <c r="AK87" s="43"/>
      <c r="AL87" s="43"/>
      <c r="AM87" s="43"/>
      <c r="AN87" s="43"/>
      <c r="AO87" s="43"/>
      <c r="AP87" s="63"/>
      <c r="AR87" s="43"/>
      <c r="AS87" s="43"/>
      <c r="AT87" s="43"/>
      <c r="AU87" s="43"/>
      <c r="AV87" s="43"/>
      <c r="AW87" s="43"/>
      <c r="AX87" s="63"/>
      <c r="AZ87" s="43"/>
      <c r="BA87" s="43"/>
      <c r="BB87" s="43"/>
      <c r="BC87" s="43"/>
      <c r="BD87" s="43"/>
      <c r="BE87" s="43"/>
      <c r="BF87" s="63"/>
      <c r="BH87" s="43"/>
      <c r="BI87" s="43"/>
      <c r="BJ87" s="43"/>
      <c r="BK87" s="43"/>
      <c r="BL87" s="43"/>
      <c r="BM87" s="43"/>
      <c r="BN87" s="63"/>
      <c r="BP87" s="43"/>
      <c r="BQ87" s="43"/>
      <c r="BR87" s="43"/>
      <c r="BS87" s="43"/>
      <c r="BT87" s="43"/>
      <c r="BU87" s="43"/>
      <c r="BV87" s="63"/>
      <c r="BX87" s="43"/>
      <c r="BY87" s="43"/>
      <c r="BZ87" s="43"/>
      <c r="CA87" s="43"/>
      <c r="CB87" s="43"/>
      <c r="CC87" s="43"/>
      <c r="CD87" s="63"/>
      <c r="CF87" s="43"/>
      <c r="CG87" s="43"/>
      <c r="CH87" s="43"/>
      <c r="CI87" s="43"/>
      <c r="CJ87" s="43"/>
      <c r="CK87" s="43"/>
      <c r="CL87" s="63"/>
      <c r="CN87" s="43"/>
      <c r="CO87" s="43"/>
      <c r="CP87" s="43"/>
      <c r="CQ87" s="43"/>
      <c r="CR87" s="43"/>
      <c r="CS87" s="43"/>
      <c r="CT87" s="63"/>
      <c r="CV87" s="43"/>
      <c r="CW87" s="43"/>
      <c r="CX87" s="43"/>
      <c r="CY87" s="43"/>
      <c r="CZ87" s="43"/>
      <c r="DA87" s="43"/>
      <c r="DB87" s="63"/>
      <c r="DD87" s="43"/>
      <c r="DE87" s="43"/>
      <c r="DF87" s="43"/>
      <c r="DG87" s="43"/>
      <c r="DH87" s="43"/>
      <c r="DI87" s="43"/>
      <c r="DJ87" s="63"/>
    </row>
    <row r="88" spans="1:114" x14ac:dyDescent="0.25">
      <c r="A88" s="43"/>
      <c r="B88" s="63"/>
      <c r="D88" s="43"/>
      <c r="E88" s="43"/>
      <c r="F88" s="43"/>
      <c r="G88" s="43"/>
      <c r="H88" s="43"/>
      <c r="I88" s="43"/>
      <c r="J88" s="63"/>
      <c r="L88" s="43"/>
      <c r="M88" s="43"/>
      <c r="N88" s="43"/>
      <c r="O88" s="43"/>
      <c r="P88" s="43"/>
      <c r="Q88" s="43"/>
      <c r="R88" s="63"/>
      <c r="T88" s="43"/>
      <c r="U88" s="43"/>
      <c r="V88" s="43"/>
      <c r="W88" s="43"/>
      <c r="X88" s="43"/>
      <c r="Y88" s="43"/>
      <c r="Z88" s="63"/>
      <c r="AB88" s="43"/>
      <c r="AC88" s="43"/>
      <c r="AD88" s="43"/>
      <c r="AE88" s="43"/>
      <c r="AF88" s="43"/>
      <c r="AG88" s="43"/>
      <c r="AH88" s="63"/>
      <c r="AJ88" s="43"/>
      <c r="AK88" s="43"/>
      <c r="AL88" s="43"/>
      <c r="AM88" s="43"/>
      <c r="AN88" s="43"/>
      <c r="AO88" s="43"/>
      <c r="AP88" s="63"/>
      <c r="AR88" s="43"/>
      <c r="AS88" s="43"/>
      <c r="AT88" s="43"/>
      <c r="AU88" s="43"/>
      <c r="AV88" s="43"/>
      <c r="AW88" s="43"/>
      <c r="AX88" s="63"/>
      <c r="AZ88" s="43"/>
      <c r="BA88" s="43"/>
      <c r="BB88" s="43"/>
      <c r="BC88" s="43"/>
      <c r="BD88" s="43"/>
      <c r="BE88" s="43"/>
      <c r="BF88" s="63"/>
      <c r="BH88" s="43"/>
      <c r="BI88" s="43"/>
      <c r="BJ88" s="43"/>
      <c r="BK88" s="43"/>
      <c r="BL88" s="43"/>
      <c r="BM88" s="43"/>
      <c r="BN88" s="63"/>
      <c r="BP88" s="43"/>
      <c r="BQ88" s="43"/>
      <c r="BR88" s="43"/>
      <c r="BS88" s="43"/>
      <c r="BT88" s="43"/>
      <c r="BU88" s="43"/>
      <c r="BV88" s="63"/>
      <c r="BX88" s="43"/>
      <c r="BY88" s="43"/>
      <c r="BZ88" s="43"/>
      <c r="CA88" s="43"/>
      <c r="CB88" s="43"/>
      <c r="CC88" s="43"/>
      <c r="CD88" s="63"/>
      <c r="CF88" s="43"/>
      <c r="CG88" s="43"/>
      <c r="CH88" s="43"/>
      <c r="CI88" s="43"/>
      <c r="CJ88" s="43"/>
      <c r="CK88" s="43"/>
      <c r="CL88" s="63"/>
      <c r="CN88" s="43"/>
      <c r="CO88" s="43"/>
      <c r="CP88" s="43"/>
      <c r="CQ88" s="43"/>
      <c r="CR88" s="43"/>
      <c r="CS88" s="43"/>
      <c r="CT88" s="63"/>
      <c r="CV88" s="43"/>
      <c r="CW88" s="43"/>
      <c r="CX88" s="43"/>
      <c r="CY88" s="43"/>
      <c r="CZ88" s="43"/>
      <c r="DA88" s="43"/>
      <c r="DB88" s="63"/>
      <c r="DD88" s="43"/>
      <c r="DE88" s="43"/>
      <c r="DF88" s="43"/>
      <c r="DG88" s="43"/>
      <c r="DH88" s="43"/>
      <c r="DI88" s="43"/>
      <c r="DJ88" s="63"/>
    </row>
    <row r="89" spans="1:114" x14ac:dyDescent="0.25">
      <c r="A89" s="43"/>
      <c r="B89" s="63"/>
      <c r="D89" s="43"/>
      <c r="E89" s="43"/>
      <c r="F89" s="43"/>
      <c r="G89" s="43"/>
      <c r="H89" s="43"/>
      <c r="I89" s="43"/>
      <c r="J89" s="63"/>
      <c r="L89" s="43"/>
      <c r="M89" s="43"/>
      <c r="N89" s="43"/>
      <c r="O89" s="43"/>
      <c r="P89" s="43"/>
      <c r="Q89" s="43"/>
      <c r="R89" s="63"/>
      <c r="T89" s="43"/>
      <c r="U89" s="43"/>
      <c r="V89" s="43"/>
      <c r="W89" s="43"/>
      <c r="X89" s="43"/>
      <c r="Y89" s="43"/>
      <c r="Z89" s="63"/>
      <c r="AB89" s="43"/>
      <c r="AC89" s="43"/>
      <c r="AD89" s="43"/>
      <c r="AE89" s="43"/>
      <c r="AF89" s="43"/>
      <c r="AG89" s="43"/>
      <c r="AH89" s="63"/>
      <c r="AJ89" s="43"/>
      <c r="AK89" s="43"/>
      <c r="AL89" s="43"/>
      <c r="AM89" s="43"/>
      <c r="AN89" s="43"/>
      <c r="AO89" s="43"/>
      <c r="AP89" s="63"/>
      <c r="AR89" s="43"/>
      <c r="AS89" s="43"/>
      <c r="AT89" s="43"/>
      <c r="AU89" s="43"/>
      <c r="AV89" s="43"/>
      <c r="AW89" s="43"/>
      <c r="AX89" s="63"/>
      <c r="AZ89" s="43"/>
      <c r="BA89" s="43"/>
      <c r="BB89" s="43"/>
      <c r="BC89" s="43"/>
      <c r="BD89" s="43"/>
      <c r="BE89" s="43"/>
      <c r="BF89" s="63"/>
      <c r="BH89" s="43"/>
      <c r="BI89" s="43"/>
      <c r="BJ89" s="43"/>
      <c r="BK89" s="43"/>
      <c r="BL89" s="43"/>
      <c r="BM89" s="43"/>
      <c r="BN89" s="63"/>
      <c r="BP89" s="43"/>
      <c r="BQ89" s="43"/>
      <c r="BR89" s="43"/>
      <c r="BS89" s="43"/>
      <c r="BT89" s="43"/>
      <c r="BU89" s="43"/>
      <c r="BV89" s="63"/>
      <c r="BX89" s="43"/>
      <c r="BY89" s="43"/>
      <c r="BZ89" s="43"/>
      <c r="CA89" s="43"/>
      <c r="CB89" s="43"/>
      <c r="CC89" s="43"/>
      <c r="CD89" s="63"/>
      <c r="CF89" s="43"/>
      <c r="CG89" s="43"/>
      <c r="CH89" s="43"/>
      <c r="CI89" s="43"/>
      <c r="CJ89" s="43"/>
      <c r="CK89" s="43"/>
      <c r="CL89" s="63"/>
      <c r="CN89" s="43"/>
      <c r="CO89" s="43"/>
      <c r="CP89" s="43"/>
      <c r="CQ89" s="43"/>
      <c r="CR89" s="43"/>
      <c r="CS89" s="43"/>
      <c r="CT89" s="63"/>
      <c r="CV89" s="43"/>
      <c r="CW89" s="43"/>
      <c r="CX89" s="43"/>
      <c r="CY89" s="43"/>
      <c r="CZ89" s="43"/>
      <c r="DA89" s="43"/>
      <c r="DB89" s="63"/>
      <c r="DD89" s="43"/>
      <c r="DE89" s="43"/>
      <c r="DF89" s="43"/>
      <c r="DG89" s="43"/>
      <c r="DH89" s="43"/>
      <c r="DI89" s="43"/>
      <c r="DJ89" s="63"/>
    </row>
    <row r="90" spans="1:114" x14ac:dyDescent="0.25">
      <c r="A90" s="43"/>
      <c r="B90" s="63"/>
      <c r="D90" s="43"/>
      <c r="E90" s="43"/>
      <c r="F90" s="43"/>
      <c r="G90" s="43"/>
      <c r="H90" s="43"/>
      <c r="I90" s="43"/>
      <c r="J90" s="63"/>
      <c r="L90" s="43"/>
      <c r="M90" s="43"/>
      <c r="N90" s="43"/>
      <c r="O90" s="43"/>
      <c r="P90" s="43"/>
      <c r="Q90" s="43"/>
      <c r="R90" s="63"/>
      <c r="T90" s="43"/>
      <c r="U90" s="43"/>
      <c r="V90" s="43"/>
      <c r="W90" s="43"/>
      <c r="X90" s="43"/>
      <c r="Y90" s="43"/>
      <c r="Z90" s="63"/>
      <c r="AB90" s="43"/>
      <c r="AC90" s="43"/>
      <c r="AD90" s="43"/>
      <c r="AE90" s="43"/>
      <c r="AF90" s="43"/>
      <c r="AG90" s="43"/>
      <c r="AH90" s="63"/>
      <c r="AJ90" s="43"/>
      <c r="AK90" s="43"/>
      <c r="AL90" s="43"/>
      <c r="AM90" s="43"/>
      <c r="AN90" s="43"/>
      <c r="AO90" s="43"/>
      <c r="AP90" s="63"/>
      <c r="AR90" s="43"/>
      <c r="AS90" s="43"/>
      <c r="AT90" s="43"/>
      <c r="AU90" s="43"/>
      <c r="AV90" s="43"/>
      <c r="AW90" s="43"/>
      <c r="AX90" s="63"/>
      <c r="AZ90" s="43"/>
      <c r="BA90" s="43"/>
      <c r="BB90" s="43"/>
      <c r="BC90" s="43"/>
      <c r="BD90" s="43"/>
      <c r="BE90" s="43"/>
      <c r="BF90" s="63"/>
      <c r="BH90" s="43"/>
      <c r="BI90" s="43"/>
      <c r="BJ90" s="43"/>
      <c r="BK90" s="43"/>
      <c r="BL90" s="43"/>
      <c r="BM90" s="43"/>
      <c r="BN90" s="63"/>
      <c r="BP90" s="43"/>
      <c r="BQ90" s="43"/>
      <c r="BR90" s="43"/>
      <c r="BS90" s="43"/>
      <c r="BT90" s="43"/>
      <c r="BU90" s="43"/>
      <c r="BV90" s="63"/>
      <c r="BX90" s="43"/>
      <c r="BY90" s="43"/>
      <c r="BZ90" s="43"/>
      <c r="CA90" s="43"/>
      <c r="CB90" s="43"/>
      <c r="CC90" s="43"/>
      <c r="CD90" s="63"/>
      <c r="CF90" s="43"/>
      <c r="CG90" s="43"/>
      <c r="CH90" s="43"/>
      <c r="CI90" s="43"/>
      <c r="CJ90" s="43"/>
      <c r="CK90" s="43"/>
      <c r="CL90" s="63"/>
      <c r="CN90" s="43"/>
      <c r="CO90" s="43"/>
      <c r="CP90" s="43"/>
      <c r="CQ90" s="43"/>
      <c r="CR90" s="43"/>
      <c r="CS90" s="43"/>
      <c r="CT90" s="63"/>
      <c r="CV90" s="43"/>
      <c r="CW90" s="43"/>
      <c r="CX90" s="43"/>
      <c r="CY90" s="43"/>
      <c r="CZ90" s="43"/>
      <c r="DA90" s="43"/>
      <c r="DB90" s="63"/>
      <c r="DD90" s="43"/>
      <c r="DE90" s="43"/>
      <c r="DF90" s="43"/>
      <c r="DG90" s="43"/>
      <c r="DH90" s="43"/>
      <c r="DI90" s="43"/>
      <c r="DJ90" s="63"/>
    </row>
    <row r="91" spans="1:114" x14ac:dyDescent="0.25">
      <c r="A91" s="43"/>
      <c r="B91" s="63"/>
      <c r="D91" s="43"/>
      <c r="E91" s="43"/>
      <c r="F91" s="43"/>
      <c r="G91" s="43"/>
      <c r="H91" s="43"/>
      <c r="I91" s="43"/>
      <c r="J91" s="63"/>
      <c r="L91" s="43"/>
      <c r="M91" s="43"/>
      <c r="N91" s="43"/>
      <c r="O91" s="43"/>
      <c r="P91" s="43"/>
      <c r="Q91" s="43"/>
      <c r="R91" s="63"/>
      <c r="T91" s="43"/>
      <c r="U91" s="43"/>
      <c r="V91" s="43"/>
      <c r="W91" s="43"/>
      <c r="X91" s="43"/>
      <c r="Y91" s="43"/>
      <c r="Z91" s="63"/>
      <c r="AB91" s="43"/>
      <c r="AC91" s="43"/>
      <c r="AD91" s="43"/>
      <c r="AE91" s="43"/>
      <c r="AF91" s="43"/>
      <c r="AG91" s="43"/>
      <c r="AH91" s="63"/>
      <c r="AJ91" s="43"/>
      <c r="AK91" s="43"/>
      <c r="AL91" s="43"/>
      <c r="AM91" s="43"/>
      <c r="AN91" s="43"/>
      <c r="AO91" s="43"/>
      <c r="AP91" s="63"/>
      <c r="AR91" s="43"/>
      <c r="AS91" s="43"/>
      <c r="AT91" s="43"/>
      <c r="AU91" s="43"/>
      <c r="AV91" s="43"/>
      <c r="AW91" s="43"/>
      <c r="AX91" s="63"/>
      <c r="AZ91" s="43"/>
      <c r="BA91" s="43"/>
      <c r="BB91" s="43"/>
      <c r="BC91" s="43"/>
      <c r="BD91" s="43"/>
      <c r="BE91" s="43"/>
      <c r="BF91" s="63"/>
      <c r="BH91" s="43"/>
      <c r="BI91" s="43"/>
      <c r="BJ91" s="43"/>
      <c r="BK91" s="43"/>
      <c r="BL91" s="43"/>
      <c r="BM91" s="43"/>
      <c r="BN91" s="63"/>
      <c r="BP91" s="43"/>
      <c r="BQ91" s="43"/>
      <c r="BR91" s="43"/>
      <c r="BS91" s="43"/>
      <c r="BT91" s="43"/>
      <c r="BU91" s="43"/>
      <c r="BV91" s="63"/>
      <c r="BX91" s="43"/>
      <c r="BY91" s="43"/>
      <c r="BZ91" s="43"/>
      <c r="CA91" s="43"/>
      <c r="CB91" s="43"/>
      <c r="CC91" s="43"/>
      <c r="CD91" s="63"/>
      <c r="CF91" s="43"/>
      <c r="CG91" s="43"/>
      <c r="CH91" s="43"/>
      <c r="CI91" s="43"/>
      <c r="CJ91" s="43"/>
      <c r="CK91" s="43"/>
      <c r="CL91" s="63"/>
      <c r="CN91" s="43"/>
      <c r="CO91" s="43"/>
      <c r="CP91" s="43"/>
      <c r="CQ91" s="43"/>
      <c r="CR91" s="43"/>
      <c r="CS91" s="43"/>
      <c r="CT91" s="63"/>
      <c r="CV91" s="43"/>
      <c r="CW91" s="43"/>
      <c r="CX91" s="43"/>
      <c r="CY91" s="43"/>
      <c r="CZ91" s="43"/>
      <c r="DA91" s="43"/>
      <c r="DB91" s="63"/>
      <c r="DD91" s="43"/>
      <c r="DE91" s="43"/>
      <c r="DF91" s="43"/>
      <c r="DG91" s="43"/>
      <c r="DH91" s="43"/>
      <c r="DI91" s="43"/>
      <c r="DJ91" s="63"/>
    </row>
    <row r="92" spans="1:114" x14ac:dyDescent="0.25">
      <c r="A92" s="43"/>
      <c r="B92" s="63"/>
      <c r="D92" s="43"/>
      <c r="E92" s="43"/>
      <c r="F92" s="43"/>
      <c r="G92" s="43"/>
      <c r="H92" s="43"/>
      <c r="I92" s="43"/>
      <c r="J92" s="63"/>
      <c r="L92" s="43"/>
      <c r="M92" s="43"/>
      <c r="N92" s="43"/>
      <c r="O92" s="43"/>
      <c r="P92" s="43"/>
      <c r="Q92" s="43"/>
      <c r="R92" s="63"/>
      <c r="T92" s="43"/>
      <c r="U92" s="43"/>
      <c r="V92" s="43"/>
      <c r="W92" s="43"/>
      <c r="X92" s="43"/>
      <c r="Y92" s="43"/>
      <c r="Z92" s="63"/>
      <c r="AB92" s="43"/>
      <c r="AC92" s="43"/>
      <c r="AD92" s="43"/>
      <c r="AE92" s="43"/>
      <c r="AF92" s="43"/>
      <c r="AG92" s="43"/>
      <c r="AH92" s="63"/>
      <c r="AJ92" s="43"/>
      <c r="AK92" s="43"/>
      <c r="AL92" s="43"/>
      <c r="AM92" s="43"/>
      <c r="AN92" s="43"/>
      <c r="AO92" s="43"/>
      <c r="AP92" s="63"/>
      <c r="AR92" s="43"/>
      <c r="AS92" s="43"/>
      <c r="AT92" s="43"/>
      <c r="AU92" s="43"/>
      <c r="AV92" s="43"/>
      <c r="AW92" s="43"/>
      <c r="AX92" s="63"/>
      <c r="AZ92" s="43"/>
      <c r="BA92" s="43"/>
      <c r="BB92" s="43"/>
      <c r="BC92" s="43"/>
      <c r="BD92" s="43"/>
      <c r="BE92" s="43"/>
      <c r="BF92" s="63"/>
      <c r="BH92" s="43"/>
      <c r="BI92" s="43"/>
      <c r="BJ92" s="43"/>
      <c r="BK92" s="43"/>
      <c r="BL92" s="43"/>
      <c r="BM92" s="43"/>
      <c r="BN92" s="63"/>
      <c r="BP92" s="43"/>
      <c r="BQ92" s="43"/>
      <c r="BR92" s="43"/>
      <c r="BS92" s="43"/>
      <c r="BT92" s="43"/>
      <c r="BU92" s="43"/>
      <c r="BV92" s="63"/>
      <c r="BX92" s="43"/>
      <c r="BY92" s="43"/>
      <c r="BZ92" s="43"/>
      <c r="CA92" s="43"/>
      <c r="CB92" s="43"/>
      <c r="CC92" s="43"/>
      <c r="CD92" s="63"/>
      <c r="CF92" s="43"/>
      <c r="CG92" s="43"/>
      <c r="CH92" s="43"/>
      <c r="CI92" s="43"/>
      <c r="CJ92" s="43"/>
      <c r="CK92" s="43"/>
      <c r="CL92" s="63"/>
      <c r="CN92" s="43"/>
      <c r="CO92" s="43"/>
      <c r="CP92" s="43"/>
      <c r="CQ92" s="43"/>
      <c r="CR92" s="43"/>
      <c r="CS92" s="43"/>
      <c r="CT92" s="63"/>
      <c r="CV92" s="43"/>
      <c r="CW92" s="43"/>
      <c r="CX92" s="43"/>
      <c r="CY92" s="43"/>
      <c r="CZ92" s="43"/>
      <c r="DA92" s="43"/>
      <c r="DB92" s="63"/>
      <c r="DD92" s="43"/>
      <c r="DE92" s="43"/>
      <c r="DF92" s="43"/>
      <c r="DG92" s="43"/>
      <c r="DH92" s="43"/>
      <c r="DI92" s="43"/>
      <c r="DJ92" s="63"/>
    </row>
    <row r="93" spans="1:114" x14ac:dyDescent="0.25">
      <c r="A93" s="43"/>
      <c r="B93" s="63"/>
      <c r="D93" s="43"/>
      <c r="E93" s="43"/>
      <c r="F93" s="43"/>
      <c r="G93" s="43"/>
      <c r="H93" s="43"/>
      <c r="I93" s="43"/>
      <c r="J93" s="63"/>
      <c r="L93" s="43"/>
      <c r="M93" s="43"/>
      <c r="N93" s="43"/>
      <c r="O93" s="43"/>
      <c r="P93" s="43"/>
      <c r="Q93" s="43"/>
      <c r="R93" s="63"/>
      <c r="T93" s="43"/>
      <c r="U93" s="43"/>
      <c r="V93" s="43"/>
      <c r="W93" s="43"/>
      <c r="X93" s="43"/>
      <c r="Y93" s="43"/>
      <c r="Z93" s="63"/>
      <c r="AB93" s="43"/>
      <c r="AC93" s="43"/>
      <c r="AD93" s="43"/>
      <c r="AE93" s="43"/>
      <c r="AF93" s="43"/>
      <c r="AG93" s="43"/>
      <c r="AH93" s="63"/>
      <c r="AJ93" s="43"/>
      <c r="AK93" s="43"/>
      <c r="AL93" s="43"/>
      <c r="AM93" s="43"/>
      <c r="AN93" s="43"/>
      <c r="AO93" s="43"/>
      <c r="AP93" s="63"/>
      <c r="AR93" s="43"/>
      <c r="AS93" s="43"/>
      <c r="AT93" s="43"/>
      <c r="AU93" s="43"/>
      <c r="AV93" s="43"/>
      <c r="AW93" s="43"/>
      <c r="AX93" s="63"/>
      <c r="AZ93" s="43"/>
      <c r="BA93" s="43"/>
      <c r="BB93" s="43"/>
      <c r="BC93" s="43"/>
      <c r="BD93" s="43"/>
      <c r="BE93" s="43"/>
      <c r="BF93" s="63"/>
      <c r="BH93" s="43"/>
      <c r="BI93" s="43"/>
      <c r="BJ93" s="43"/>
      <c r="BK93" s="43"/>
      <c r="BL93" s="43"/>
      <c r="BM93" s="43"/>
      <c r="BN93" s="63"/>
      <c r="BP93" s="43"/>
      <c r="BQ93" s="43"/>
      <c r="BR93" s="43"/>
      <c r="BS93" s="43"/>
      <c r="BT93" s="43"/>
      <c r="BU93" s="43"/>
      <c r="BV93" s="63"/>
      <c r="BX93" s="43"/>
      <c r="BY93" s="43"/>
      <c r="BZ93" s="43"/>
      <c r="CA93" s="43"/>
      <c r="CB93" s="43"/>
      <c r="CC93" s="43"/>
      <c r="CD93" s="63"/>
      <c r="CF93" s="43"/>
      <c r="CG93" s="43"/>
      <c r="CH93" s="43"/>
      <c r="CI93" s="43"/>
      <c r="CJ93" s="43"/>
      <c r="CK93" s="43"/>
      <c r="CL93" s="63"/>
      <c r="CN93" s="43"/>
      <c r="CO93" s="43"/>
      <c r="CP93" s="43"/>
      <c r="CQ93" s="43"/>
      <c r="CR93" s="43"/>
      <c r="CS93" s="43"/>
      <c r="CT93" s="63"/>
      <c r="CV93" s="43"/>
      <c r="CW93" s="43"/>
      <c r="CX93" s="43"/>
      <c r="CY93" s="43"/>
      <c r="CZ93" s="43"/>
      <c r="DA93" s="43"/>
      <c r="DB93" s="63"/>
      <c r="DD93" s="43"/>
      <c r="DE93" s="43"/>
      <c r="DF93" s="43"/>
      <c r="DG93" s="43"/>
      <c r="DH93" s="43"/>
      <c r="DI93" s="43"/>
      <c r="DJ93" s="63"/>
    </row>
    <row r="94" spans="1:114" x14ac:dyDescent="0.25">
      <c r="A94" s="43"/>
      <c r="B94" s="63"/>
      <c r="D94" s="43"/>
      <c r="E94" s="43"/>
      <c r="F94" s="43"/>
      <c r="G94" s="43"/>
      <c r="H94" s="43"/>
      <c r="I94" s="43"/>
      <c r="J94" s="63"/>
      <c r="L94" s="43"/>
      <c r="M94" s="43"/>
      <c r="N94" s="43"/>
      <c r="O94" s="43"/>
      <c r="P94" s="43"/>
      <c r="Q94" s="43"/>
      <c r="R94" s="63"/>
      <c r="T94" s="43"/>
      <c r="U94" s="43"/>
      <c r="V94" s="43"/>
      <c r="W94" s="43"/>
      <c r="X94" s="43"/>
      <c r="Y94" s="43"/>
      <c r="Z94" s="63"/>
      <c r="AB94" s="43"/>
      <c r="AC94" s="43"/>
      <c r="AD94" s="43"/>
      <c r="AE94" s="43"/>
      <c r="AF94" s="43"/>
      <c r="AG94" s="43"/>
      <c r="AH94" s="63"/>
      <c r="AJ94" s="43"/>
      <c r="AK94" s="43"/>
      <c r="AL94" s="43"/>
      <c r="AM94" s="43"/>
      <c r="AN94" s="43"/>
      <c r="AO94" s="43"/>
      <c r="AP94" s="63"/>
      <c r="AR94" s="43"/>
      <c r="AS94" s="43"/>
      <c r="AT94" s="43"/>
      <c r="AU94" s="43"/>
      <c r="AV94" s="43"/>
      <c r="AW94" s="43"/>
      <c r="AX94" s="63"/>
      <c r="AZ94" s="43"/>
      <c r="BA94" s="43"/>
      <c r="BB94" s="43"/>
      <c r="BC94" s="43"/>
      <c r="BD94" s="43"/>
      <c r="BE94" s="43"/>
      <c r="BF94" s="63"/>
      <c r="BH94" s="43"/>
      <c r="BI94" s="43"/>
      <c r="BJ94" s="43"/>
      <c r="BK94" s="43"/>
      <c r="BL94" s="43"/>
      <c r="BM94" s="43"/>
      <c r="BN94" s="63"/>
      <c r="BP94" s="43"/>
      <c r="BQ94" s="43"/>
      <c r="BR94" s="43"/>
      <c r="BS94" s="43"/>
      <c r="BT94" s="43"/>
      <c r="BU94" s="43"/>
      <c r="BV94" s="63"/>
      <c r="BX94" s="43"/>
      <c r="BY94" s="43"/>
      <c r="BZ94" s="43"/>
      <c r="CA94" s="43"/>
      <c r="CB94" s="43"/>
      <c r="CC94" s="43"/>
      <c r="CD94" s="63"/>
      <c r="CF94" s="43"/>
      <c r="CG94" s="43"/>
      <c r="CH94" s="43"/>
      <c r="CI94" s="43"/>
      <c r="CJ94" s="43"/>
      <c r="CK94" s="43"/>
      <c r="CL94" s="63"/>
      <c r="CN94" s="43"/>
      <c r="CO94" s="43"/>
      <c r="CP94" s="43"/>
      <c r="CQ94" s="43"/>
      <c r="CR94" s="43"/>
      <c r="CS94" s="43"/>
      <c r="CT94" s="63"/>
      <c r="CV94" s="43"/>
      <c r="CW94" s="43"/>
      <c r="CX94" s="43"/>
      <c r="CY94" s="43"/>
      <c r="CZ94" s="43"/>
      <c r="DA94" s="43"/>
      <c r="DB94" s="63"/>
      <c r="DD94" s="43"/>
      <c r="DE94" s="43"/>
      <c r="DF94" s="43"/>
      <c r="DG94" s="43"/>
      <c r="DH94" s="43"/>
      <c r="DI94" s="43"/>
      <c r="DJ94" s="63"/>
    </row>
    <row r="95" spans="1:114" x14ac:dyDescent="0.25">
      <c r="A95" s="43"/>
      <c r="B95" s="63"/>
      <c r="D95" s="43"/>
      <c r="E95" s="43"/>
      <c r="F95" s="43"/>
      <c r="G95" s="43"/>
      <c r="H95" s="43"/>
      <c r="I95" s="43"/>
      <c r="J95" s="63"/>
      <c r="L95" s="43"/>
      <c r="M95" s="43"/>
      <c r="N95" s="43"/>
      <c r="O95" s="43"/>
      <c r="P95" s="43"/>
      <c r="Q95" s="43"/>
      <c r="R95" s="63"/>
      <c r="T95" s="43"/>
      <c r="U95" s="43"/>
      <c r="V95" s="43"/>
      <c r="W95" s="43"/>
      <c r="X95" s="43"/>
      <c r="Y95" s="43"/>
      <c r="Z95" s="63"/>
      <c r="AB95" s="43"/>
      <c r="AC95" s="43"/>
      <c r="AD95" s="43"/>
      <c r="AE95" s="43"/>
      <c r="AF95" s="43"/>
      <c r="AG95" s="43"/>
      <c r="AH95" s="63"/>
      <c r="AJ95" s="43"/>
      <c r="AK95" s="43"/>
      <c r="AL95" s="43"/>
      <c r="AM95" s="43"/>
      <c r="AN95" s="43"/>
      <c r="AO95" s="43"/>
      <c r="AP95" s="63"/>
      <c r="AR95" s="43"/>
      <c r="AS95" s="43"/>
      <c r="AT95" s="43"/>
      <c r="AU95" s="43"/>
      <c r="AV95" s="43"/>
      <c r="AW95" s="43"/>
      <c r="AX95" s="63"/>
      <c r="AZ95" s="43"/>
      <c r="BA95" s="43"/>
      <c r="BB95" s="43"/>
      <c r="BC95" s="43"/>
      <c r="BD95" s="43"/>
      <c r="BE95" s="43"/>
      <c r="BF95" s="63"/>
      <c r="BH95" s="43"/>
      <c r="BI95" s="43"/>
      <c r="BJ95" s="43"/>
      <c r="BK95" s="43"/>
      <c r="BL95" s="43"/>
      <c r="BM95" s="43"/>
      <c r="BN95" s="63"/>
      <c r="BP95" s="43"/>
      <c r="BQ95" s="43"/>
      <c r="BR95" s="43"/>
      <c r="BS95" s="43"/>
      <c r="BT95" s="43"/>
      <c r="BU95" s="43"/>
      <c r="BV95" s="63"/>
      <c r="BX95" s="43"/>
      <c r="BY95" s="43"/>
      <c r="BZ95" s="43"/>
      <c r="CA95" s="43"/>
      <c r="CB95" s="43"/>
      <c r="CC95" s="43"/>
      <c r="CD95" s="63"/>
      <c r="CF95" s="43"/>
      <c r="CG95" s="43"/>
      <c r="CH95" s="43"/>
      <c r="CI95" s="43"/>
      <c r="CJ95" s="43"/>
      <c r="CK95" s="43"/>
      <c r="CL95" s="63"/>
      <c r="CN95" s="43"/>
      <c r="CO95" s="43"/>
      <c r="CP95" s="43"/>
      <c r="CQ95" s="43"/>
      <c r="CR95" s="43"/>
      <c r="CS95" s="43"/>
      <c r="CT95" s="63"/>
      <c r="CV95" s="43"/>
      <c r="CW95" s="43"/>
      <c r="CX95" s="43"/>
      <c r="CY95" s="43"/>
      <c r="CZ95" s="43"/>
      <c r="DA95" s="43"/>
      <c r="DB95" s="63"/>
      <c r="DD95" s="43"/>
      <c r="DE95" s="43"/>
      <c r="DF95" s="43"/>
      <c r="DG95" s="43"/>
      <c r="DH95" s="43"/>
      <c r="DI95" s="43"/>
      <c r="DJ95" s="63"/>
    </row>
    <row r="96" spans="1:114" x14ac:dyDescent="0.25">
      <c r="A96" s="43"/>
      <c r="B96" s="63"/>
      <c r="D96" s="43"/>
      <c r="E96" s="43"/>
      <c r="F96" s="43"/>
      <c r="G96" s="43"/>
      <c r="H96" s="43"/>
      <c r="I96" s="43"/>
      <c r="J96" s="63"/>
      <c r="L96" s="43"/>
      <c r="M96" s="43"/>
      <c r="N96" s="43"/>
      <c r="O96" s="43"/>
      <c r="P96" s="43"/>
      <c r="Q96" s="43"/>
      <c r="R96" s="63"/>
      <c r="T96" s="43"/>
      <c r="U96" s="43"/>
      <c r="V96" s="43"/>
      <c r="W96" s="43"/>
      <c r="X96" s="43"/>
      <c r="Y96" s="43"/>
      <c r="Z96" s="63"/>
      <c r="AB96" s="43"/>
      <c r="AC96" s="43"/>
      <c r="AD96" s="43"/>
      <c r="AE96" s="43"/>
      <c r="AF96" s="43"/>
      <c r="AG96" s="43"/>
      <c r="AH96" s="63"/>
      <c r="AJ96" s="43"/>
      <c r="AK96" s="43"/>
      <c r="AL96" s="43"/>
      <c r="AM96" s="43"/>
      <c r="AN96" s="43"/>
      <c r="AO96" s="43"/>
      <c r="AP96" s="63"/>
      <c r="AR96" s="43"/>
      <c r="AS96" s="43"/>
      <c r="AT96" s="43"/>
      <c r="AU96" s="43"/>
      <c r="AV96" s="43"/>
      <c r="AW96" s="43"/>
      <c r="AX96" s="63"/>
      <c r="AZ96" s="43"/>
      <c r="BA96" s="43"/>
      <c r="BB96" s="43"/>
      <c r="BC96" s="43"/>
      <c r="BD96" s="43"/>
      <c r="BE96" s="43"/>
      <c r="BF96" s="63"/>
      <c r="BH96" s="43"/>
      <c r="BI96" s="43"/>
      <c r="BJ96" s="43"/>
      <c r="BK96" s="43"/>
      <c r="BL96" s="43"/>
      <c r="BM96" s="43"/>
      <c r="BN96" s="63"/>
      <c r="BP96" s="43"/>
      <c r="BQ96" s="43"/>
      <c r="BR96" s="43"/>
      <c r="BS96" s="43"/>
      <c r="BT96" s="43"/>
      <c r="BU96" s="43"/>
      <c r="BV96" s="63"/>
      <c r="BX96" s="43"/>
      <c r="BY96" s="43"/>
      <c r="BZ96" s="43"/>
      <c r="CA96" s="43"/>
      <c r="CB96" s="43"/>
      <c r="CC96" s="43"/>
      <c r="CD96" s="63"/>
      <c r="CF96" s="43"/>
      <c r="CG96" s="43"/>
      <c r="CH96" s="43"/>
      <c r="CI96" s="43"/>
      <c r="CJ96" s="43"/>
      <c r="CK96" s="43"/>
      <c r="CL96" s="63"/>
      <c r="CN96" s="43"/>
      <c r="CO96" s="43"/>
      <c r="CP96" s="43"/>
      <c r="CQ96" s="43"/>
      <c r="CR96" s="43"/>
      <c r="CS96" s="43"/>
      <c r="CT96" s="63"/>
      <c r="CV96" s="43"/>
      <c r="CW96" s="43"/>
      <c r="CX96" s="43"/>
      <c r="CY96" s="43"/>
      <c r="CZ96" s="43"/>
      <c r="DA96" s="43"/>
      <c r="DB96" s="63"/>
      <c r="DD96" s="43"/>
      <c r="DE96" s="43"/>
      <c r="DF96" s="43"/>
      <c r="DG96" s="43"/>
      <c r="DH96" s="43"/>
      <c r="DI96" s="43"/>
      <c r="DJ96" s="63"/>
    </row>
    <row r="97" spans="1:114" x14ac:dyDescent="0.25">
      <c r="A97" s="43"/>
      <c r="B97" s="63"/>
      <c r="D97" s="43"/>
      <c r="E97" s="43"/>
      <c r="F97" s="43"/>
      <c r="G97" s="43"/>
      <c r="H97" s="43"/>
      <c r="I97" s="43"/>
      <c r="J97" s="63"/>
      <c r="L97" s="43"/>
      <c r="M97" s="43"/>
      <c r="N97" s="43"/>
      <c r="O97" s="43"/>
      <c r="P97" s="43"/>
      <c r="Q97" s="43"/>
      <c r="R97" s="63"/>
      <c r="T97" s="43"/>
      <c r="U97" s="43"/>
      <c r="V97" s="43"/>
      <c r="W97" s="43"/>
      <c r="X97" s="43"/>
      <c r="Y97" s="43"/>
      <c r="Z97" s="63"/>
      <c r="AB97" s="43"/>
      <c r="AC97" s="43"/>
      <c r="AD97" s="43"/>
      <c r="AE97" s="43"/>
      <c r="AF97" s="43"/>
      <c r="AG97" s="43"/>
      <c r="AH97" s="63"/>
      <c r="AJ97" s="43"/>
      <c r="AK97" s="43"/>
      <c r="AL97" s="43"/>
      <c r="AM97" s="43"/>
      <c r="AN97" s="43"/>
      <c r="AO97" s="43"/>
      <c r="AP97" s="63"/>
      <c r="AR97" s="43"/>
      <c r="AS97" s="43"/>
      <c r="AT97" s="43"/>
      <c r="AU97" s="43"/>
      <c r="AV97" s="43"/>
      <c r="AW97" s="43"/>
      <c r="AX97" s="63"/>
      <c r="AZ97" s="43"/>
      <c r="BA97" s="43"/>
      <c r="BB97" s="43"/>
      <c r="BC97" s="43"/>
      <c r="BD97" s="43"/>
      <c r="BE97" s="43"/>
      <c r="BF97" s="63"/>
      <c r="BH97" s="43"/>
      <c r="BI97" s="43"/>
      <c r="BJ97" s="43"/>
      <c r="BK97" s="43"/>
      <c r="BL97" s="43"/>
      <c r="BM97" s="43"/>
      <c r="BN97" s="63"/>
      <c r="BP97" s="43"/>
      <c r="BQ97" s="43"/>
      <c r="BR97" s="43"/>
      <c r="BS97" s="43"/>
      <c r="BT97" s="43"/>
      <c r="BU97" s="43"/>
      <c r="BV97" s="63"/>
      <c r="BX97" s="43"/>
      <c r="BY97" s="43"/>
      <c r="BZ97" s="43"/>
      <c r="CA97" s="43"/>
      <c r="CB97" s="43"/>
      <c r="CC97" s="43"/>
      <c r="CD97" s="63"/>
      <c r="CF97" s="43"/>
      <c r="CG97" s="43"/>
      <c r="CH97" s="43"/>
      <c r="CI97" s="43"/>
      <c r="CJ97" s="43"/>
      <c r="CK97" s="43"/>
      <c r="CL97" s="63"/>
      <c r="CN97" s="43"/>
      <c r="CO97" s="43"/>
      <c r="CP97" s="43"/>
      <c r="CQ97" s="43"/>
      <c r="CR97" s="43"/>
      <c r="CS97" s="43"/>
      <c r="CT97" s="63"/>
      <c r="CV97" s="43"/>
      <c r="CW97" s="43"/>
      <c r="CX97" s="43"/>
      <c r="CY97" s="43"/>
      <c r="CZ97" s="43"/>
      <c r="DA97" s="43"/>
      <c r="DB97" s="63"/>
      <c r="DD97" s="43"/>
      <c r="DE97" s="43"/>
      <c r="DF97" s="43"/>
      <c r="DG97" s="43"/>
      <c r="DH97" s="43"/>
      <c r="DI97" s="43"/>
      <c r="DJ97" s="63"/>
    </row>
    <row r="98" spans="1:114" x14ac:dyDescent="0.25">
      <c r="A98" s="43"/>
      <c r="B98" s="63"/>
      <c r="D98" s="43"/>
      <c r="E98" s="43"/>
      <c r="F98" s="43"/>
      <c r="G98" s="43"/>
      <c r="H98" s="43"/>
      <c r="I98" s="43"/>
      <c r="J98" s="63"/>
      <c r="L98" s="43"/>
      <c r="M98" s="43"/>
      <c r="N98" s="43"/>
      <c r="O98" s="43"/>
      <c r="P98" s="43"/>
      <c r="Q98" s="43"/>
      <c r="R98" s="63"/>
      <c r="T98" s="43"/>
      <c r="U98" s="43"/>
      <c r="V98" s="43"/>
      <c r="W98" s="43"/>
      <c r="X98" s="43"/>
      <c r="Y98" s="43"/>
      <c r="Z98" s="63"/>
      <c r="AB98" s="43"/>
      <c r="AC98" s="43"/>
      <c r="AD98" s="43"/>
      <c r="AE98" s="43"/>
      <c r="AF98" s="43"/>
      <c r="AG98" s="43"/>
      <c r="AH98" s="63"/>
      <c r="AJ98" s="43"/>
      <c r="AK98" s="43"/>
      <c r="AL98" s="43"/>
      <c r="AM98" s="43"/>
      <c r="AN98" s="43"/>
      <c r="AO98" s="43"/>
      <c r="AP98" s="63"/>
      <c r="AR98" s="43"/>
      <c r="AS98" s="43"/>
      <c r="AT98" s="43"/>
      <c r="AU98" s="43"/>
      <c r="AV98" s="43"/>
      <c r="AW98" s="43"/>
      <c r="AX98" s="63"/>
      <c r="AZ98" s="43"/>
      <c r="BA98" s="43"/>
      <c r="BB98" s="43"/>
      <c r="BC98" s="43"/>
      <c r="BD98" s="43"/>
      <c r="BE98" s="43"/>
      <c r="BF98" s="63"/>
      <c r="BH98" s="43"/>
      <c r="BI98" s="43"/>
      <c r="BJ98" s="43"/>
      <c r="BK98" s="43"/>
      <c r="BL98" s="43"/>
      <c r="BM98" s="43"/>
      <c r="BN98" s="63"/>
      <c r="BP98" s="43"/>
      <c r="BQ98" s="43"/>
      <c r="BR98" s="43"/>
      <c r="BS98" s="43"/>
      <c r="BT98" s="43"/>
      <c r="BU98" s="43"/>
      <c r="BV98" s="63"/>
      <c r="BX98" s="43"/>
      <c r="BY98" s="43"/>
      <c r="BZ98" s="43"/>
      <c r="CA98" s="43"/>
      <c r="CB98" s="43"/>
      <c r="CC98" s="43"/>
      <c r="CD98" s="63"/>
      <c r="CF98" s="43"/>
      <c r="CG98" s="43"/>
      <c r="CH98" s="43"/>
      <c r="CI98" s="43"/>
      <c r="CJ98" s="43"/>
      <c r="CK98" s="43"/>
      <c r="CL98" s="63"/>
      <c r="CN98" s="43"/>
      <c r="CO98" s="43"/>
      <c r="CP98" s="43"/>
      <c r="CQ98" s="43"/>
      <c r="CR98" s="43"/>
      <c r="CS98" s="43"/>
      <c r="CT98" s="63"/>
      <c r="CV98" s="43"/>
      <c r="CW98" s="43"/>
      <c r="CX98" s="43"/>
      <c r="CY98" s="43"/>
      <c r="CZ98" s="43"/>
      <c r="DA98" s="43"/>
      <c r="DB98" s="63"/>
      <c r="DD98" s="43"/>
      <c r="DE98" s="43"/>
      <c r="DF98" s="43"/>
      <c r="DG98" s="43"/>
      <c r="DH98" s="43"/>
      <c r="DI98" s="43"/>
      <c r="DJ98" s="63"/>
    </row>
    <row r="99" spans="1:114" x14ac:dyDescent="0.25">
      <c r="A99" s="43"/>
      <c r="B99" s="63"/>
      <c r="D99" s="43"/>
      <c r="E99" s="43"/>
      <c r="F99" s="43"/>
      <c r="G99" s="43"/>
      <c r="H99" s="43"/>
      <c r="I99" s="43"/>
      <c r="J99" s="63"/>
      <c r="L99" s="43"/>
      <c r="M99" s="43"/>
      <c r="N99" s="43"/>
      <c r="O99" s="43"/>
      <c r="P99" s="43"/>
      <c r="Q99" s="43"/>
      <c r="R99" s="63"/>
      <c r="T99" s="43"/>
      <c r="U99" s="43"/>
      <c r="V99" s="43"/>
      <c r="W99" s="43"/>
      <c r="X99" s="43"/>
      <c r="Y99" s="43"/>
      <c r="Z99" s="63"/>
      <c r="AB99" s="43"/>
      <c r="AC99" s="43"/>
      <c r="AD99" s="43"/>
      <c r="AE99" s="43"/>
      <c r="AF99" s="43"/>
      <c r="AG99" s="43"/>
      <c r="AH99" s="63"/>
      <c r="AJ99" s="43"/>
      <c r="AK99" s="43"/>
      <c r="AL99" s="43"/>
      <c r="AM99" s="43"/>
      <c r="AN99" s="43"/>
      <c r="AO99" s="43"/>
      <c r="AP99" s="63"/>
      <c r="AR99" s="43"/>
      <c r="AS99" s="43"/>
      <c r="AT99" s="43"/>
      <c r="AU99" s="43"/>
      <c r="AV99" s="43"/>
      <c r="AW99" s="43"/>
      <c r="AX99" s="63"/>
      <c r="AZ99" s="43"/>
      <c r="BA99" s="43"/>
      <c r="BB99" s="43"/>
      <c r="BC99" s="43"/>
      <c r="BD99" s="43"/>
      <c r="BE99" s="43"/>
      <c r="BF99" s="63"/>
      <c r="BH99" s="43"/>
      <c r="BI99" s="43"/>
      <c r="BJ99" s="43"/>
      <c r="BK99" s="43"/>
      <c r="BL99" s="43"/>
      <c r="BM99" s="43"/>
      <c r="BN99" s="63"/>
      <c r="BP99" s="43"/>
      <c r="BQ99" s="43"/>
      <c r="BR99" s="43"/>
      <c r="BS99" s="43"/>
      <c r="BT99" s="43"/>
      <c r="BU99" s="43"/>
      <c r="BV99" s="63"/>
      <c r="BX99" s="43"/>
      <c r="BY99" s="43"/>
      <c r="BZ99" s="43"/>
      <c r="CA99" s="43"/>
      <c r="CB99" s="43"/>
      <c r="CC99" s="43"/>
      <c r="CD99" s="63"/>
      <c r="CF99" s="43"/>
      <c r="CG99" s="43"/>
      <c r="CH99" s="43"/>
      <c r="CI99" s="43"/>
      <c r="CJ99" s="43"/>
      <c r="CK99" s="43"/>
      <c r="CL99" s="63"/>
      <c r="CN99" s="43"/>
      <c r="CO99" s="43"/>
      <c r="CP99" s="43"/>
      <c r="CQ99" s="43"/>
      <c r="CR99" s="43"/>
      <c r="CS99" s="43"/>
      <c r="CT99" s="63"/>
      <c r="CV99" s="43"/>
      <c r="CW99" s="43"/>
      <c r="CX99" s="43"/>
      <c r="CY99" s="43"/>
      <c r="CZ99" s="43"/>
      <c r="DA99" s="43"/>
      <c r="DB99" s="63"/>
      <c r="DD99" s="43"/>
      <c r="DE99" s="43"/>
      <c r="DF99" s="43"/>
      <c r="DG99" s="43"/>
      <c r="DH99" s="43"/>
      <c r="DI99" s="43"/>
      <c r="DJ99" s="63"/>
    </row>
    <row r="100" spans="1:114" x14ac:dyDescent="0.25">
      <c r="A100" s="43"/>
      <c r="B100" s="63"/>
      <c r="D100" s="43"/>
      <c r="E100" s="43"/>
      <c r="F100" s="43"/>
      <c r="G100" s="43"/>
      <c r="H100" s="43"/>
      <c r="I100" s="43"/>
      <c r="J100" s="63"/>
      <c r="L100" s="43"/>
      <c r="M100" s="43"/>
      <c r="N100" s="43"/>
      <c r="O100" s="43"/>
      <c r="P100" s="43"/>
      <c r="Q100" s="43"/>
      <c r="R100" s="63"/>
      <c r="T100" s="43"/>
      <c r="U100" s="43"/>
      <c r="V100" s="43"/>
      <c r="W100" s="43"/>
      <c r="X100" s="43"/>
      <c r="Y100" s="43"/>
      <c r="Z100" s="63"/>
      <c r="AB100" s="43"/>
      <c r="AC100" s="43"/>
      <c r="AD100" s="43"/>
      <c r="AE100" s="43"/>
      <c r="AF100" s="43"/>
      <c r="AG100" s="43"/>
      <c r="AH100" s="63"/>
      <c r="AJ100" s="43"/>
      <c r="AK100" s="43"/>
      <c r="AL100" s="43"/>
      <c r="AM100" s="43"/>
      <c r="AN100" s="43"/>
      <c r="AO100" s="43"/>
      <c r="AP100" s="63"/>
      <c r="AR100" s="43"/>
      <c r="AS100" s="43"/>
      <c r="AT100" s="43"/>
      <c r="AU100" s="43"/>
      <c r="AV100" s="43"/>
      <c r="AW100" s="43"/>
      <c r="AX100" s="63"/>
      <c r="AZ100" s="43"/>
      <c r="BA100" s="43"/>
      <c r="BB100" s="43"/>
      <c r="BC100" s="43"/>
      <c r="BD100" s="43"/>
      <c r="BE100" s="43"/>
      <c r="BF100" s="63"/>
      <c r="BH100" s="43"/>
      <c r="BI100" s="43"/>
      <c r="BJ100" s="43"/>
      <c r="BK100" s="43"/>
      <c r="BL100" s="43"/>
      <c r="BM100" s="43"/>
      <c r="BN100" s="63"/>
      <c r="BP100" s="43"/>
      <c r="BQ100" s="43"/>
      <c r="BR100" s="43"/>
      <c r="BS100" s="43"/>
      <c r="BT100" s="43"/>
      <c r="BU100" s="43"/>
      <c r="BV100" s="63"/>
      <c r="BX100" s="43"/>
      <c r="BY100" s="43"/>
      <c r="BZ100" s="43"/>
      <c r="CA100" s="43"/>
      <c r="CB100" s="43"/>
      <c r="CC100" s="43"/>
      <c r="CD100" s="63"/>
      <c r="CF100" s="43"/>
      <c r="CG100" s="43"/>
      <c r="CH100" s="43"/>
      <c r="CI100" s="43"/>
      <c r="CJ100" s="43"/>
      <c r="CK100" s="43"/>
      <c r="CL100" s="63"/>
      <c r="CN100" s="43"/>
      <c r="CO100" s="43"/>
      <c r="CP100" s="43"/>
      <c r="CQ100" s="43"/>
      <c r="CR100" s="43"/>
      <c r="CS100" s="43"/>
      <c r="CT100" s="63"/>
      <c r="CV100" s="43"/>
      <c r="CW100" s="43"/>
      <c r="CX100" s="43"/>
      <c r="CY100" s="43"/>
      <c r="CZ100" s="43"/>
      <c r="DA100" s="43"/>
      <c r="DB100" s="63"/>
      <c r="DD100" s="43"/>
      <c r="DE100" s="43"/>
      <c r="DF100" s="43"/>
      <c r="DG100" s="43"/>
      <c r="DH100" s="43"/>
      <c r="DI100" s="43"/>
      <c r="DJ100" s="63"/>
    </row>
    <row r="101" spans="1:114" x14ac:dyDescent="0.25">
      <c r="A101" s="43"/>
      <c r="B101" s="63"/>
      <c r="D101" s="43"/>
      <c r="E101" s="43"/>
      <c r="F101" s="43"/>
      <c r="G101" s="43"/>
      <c r="H101" s="43"/>
      <c r="I101" s="43"/>
      <c r="J101" s="63"/>
      <c r="L101" s="43"/>
      <c r="M101" s="43"/>
      <c r="N101" s="43"/>
      <c r="O101" s="43"/>
      <c r="P101" s="43"/>
      <c r="Q101" s="43"/>
      <c r="R101" s="63"/>
      <c r="T101" s="43"/>
      <c r="U101" s="43"/>
      <c r="V101" s="43"/>
      <c r="W101" s="43"/>
      <c r="X101" s="43"/>
      <c r="Y101" s="43"/>
      <c r="Z101" s="63"/>
      <c r="AB101" s="43"/>
      <c r="AC101" s="43"/>
      <c r="AD101" s="43"/>
      <c r="AE101" s="43"/>
      <c r="AF101" s="43"/>
      <c r="AG101" s="43"/>
      <c r="AH101" s="63"/>
      <c r="AJ101" s="43"/>
      <c r="AK101" s="43"/>
      <c r="AL101" s="43"/>
      <c r="AM101" s="43"/>
      <c r="AN101" s="43"/>
      <c r="AO101" s="43"/>
      <c r="AP101" s="63"/>
      <c r="AR101" s="43"/>
      <c r="AS101" s="43"/>
      <c r="AT101" s="43"/>
      <c r="AU101" s="43"/>
      <c r="AV101" s="43"/>
      <c r="AW101" s="43"/>
      <c r="AX101" s="63"/>
      <c r="AZ101" s="43"/>
      <c r="BA101" s="43"/>
      <c r="BB101" s="43"/>
      <c r="BC101" s="43"/>
      <c r="BD101" s="43"/>
      <c r="BE101" s="43"/>
      <c r="BF101" s="63"/>
      <c r="BH101" s="43"/>
      <c r="BI101" s="43"/>
      <c r="BJ101" s="43"/>
      <c r="BK101" s="43"/>
      <c r="BL101" s="43"/>
      <c r="BM101" s="43"/>
      <c r="BN101" s="63"/>
      <c r="BP101" s="43"/>
      <c r="BQ101" s="43"/>
      <c r="BR101" s="43"/>
      <c r="BS101" s="43"/>
      <c r="BT101" s="43"/>
      <c r="BU101" s="43"/>
      <c r="BV101" s="63"/>
      <c r="BX101" s="43"/>
      <c r="BY101" s="43"/>
      <c r="BZ101" s="43"/>
      <c r="CA101" s="43"/>
      <c r="CB101" s="43"/>
      <c r="CC101" s="43"/>
      <c r="CD101" s="63"/>
      <c r="CF101" s="43"/>
      <c r="CG101" s="43"/>
      <c r="CH101" s="43"/>
      <c r="CI101" s="43"/>
      <c r="CJ101" s="43"/>
      <c r="CK101" s="43"/>
      <c r="CL101" s="63"/>
      <c r="CN101" s="43"/>
      <c r="CO101" s="43"/>
      <c r="CP101" s="43"/>
      <c r="CQ101" s="43"/>
      <c r="CR101" s="43"/>
      <c r="CS101" s="43"/>
      <c r="CT101" s="63"/>
      <c r="CV101" s="43"/>
      <c r="CW101" s="43"/>
      <c r="CX101" s="43"/>
      <c r="CY101" s="43"/>
      <c r="CZ101" s="43"/>
      <c r="DA101" s="43"/>
      <c r="DB101" s="63"/>
      <c r="DD101" s="43"/>
      <c r="DE101" s="43"/>
      <c r="DF101" s="43"/>
      <c r="DG101" s="43"/>
      <c r="DH101" s="43"/>
      <c r="DI101" s="43"/>
      <c r="DJ101" s="63"/>
    </row>
    <row r="102" spans="1:114" x14ac:dyDescent="0.25">
      <c r="A102" s="43"/>
      <c r="B102" s="63"/>
      <c r="D102" s="43"/>
      <c r="E102" s="43"/>
      <c r="F102" s="43"/>
      <c r="G102" s="43"/>
      <c r="H102" s="43"/>
      <c r="I102" s="43"/>
      <c r="J102" s="63"/>
      <c r="L102" s="43"/>
      <c r="M102" s="43"/>
      <c r="N102" s="43"/>
      <c r="O102" s="43"/>
      <c r="P102" s="43"/>
      <c r="Q102" s="43"/>
      <c r="R102" s="63"/>
      <c r="T102" s="43"/>
      <c r="U102" s="43"/>
      <c r="V102" s="43"/>
      <c r="W102" s="43"/>
      <c r="X102" s="43"/>
      <c r="Y102" s="43"/>
      <c r="Z102" s="63"/>
      <c r="AB102" s="43"/>
      <c r="AC102" s="43"/>
      <c r="AD102" s="43"/>
      <c r="AE102" s="43"/>
      <c r="AF102" s="43"/>
      <c r="AG102" s="43"/>
      <c r="AH102" s="63"/>
      <c r="AJ102" s="43"/>
      <c r="AK102" s="43"/>
      <c r="AL102" s="43"/>
      <c r="AM102" s="43"/>
      <c r="AN102" s="43"/>
      <c r="AO102" s="43"/>
      <c r="AP102" s="63"/>
      <c r="AR102" s="43"/>
      <c r="AS102" s="43"/>
      <c r="AT102" s="43"/>
      <c r="AU102" s="43"/>
      <c r="AV102" s="43"/>
      <c r="AW102" s="43"/>
      <c r="AX102" s="63"/>
      <c r="AZ102" s="43"/>
      <c r="BA102" s="43"/>
      <c r="BB102" s="43"/>
      <c r="BC102" s="43"/>
      <c r="BD102" s="43"/>
      <c r="BE102" s="43"/>
      <c r="BF102" s="63"/>
      <c r="BH102" s="43"/>
      <c r="BI102" s="43"/>
      <c r="BJ102" s="43"/>
      <c r="BK102" s="43"/>
      <c r="BL102" s="43"/>
      <c r="BM102" s="43"/>
      <c r="BN102" s="63"/>
      <c r="BP102" s="43"/>
      <c r="BQ102" s="43"/>
      <c r="BR102" s="43"/>
      <c r="BS102" s="43"/>
      <c r="BT102" s="43"/>
      <c r="BU102" s="43"/>
      <c r="BV102" s="63"/>
      <c r="BX102" s="43"/>
      <c r="BY102" s="43"/>
      <c r="BZ102" s="43"/>
      <c r="CA102" s="43"/>
      <c r="CB102" s="43"/>
      <c r="CC102" s="43"/>
      <c r="CD102" s="63"/>
      <c r="CF102" s="43"/>
      <c r="CG102" s="43"/>
      <c r="CH102" s="43"/>
      <c r="CI102" s="43"/>
      <c r="CJ102" s="43"/>
      <c r="CK102" s="43"/>
      <c r="CL102" s="63"/>
      <c r="CN102" s="43"/>
      <c r="CO102" s="43"/>
      <c r="CP102" s="43"/>
      <c r="CQ102" s="43"/>
      <c r="CR102" s="43"/>
      <c r="CS102" s="43"/>
      <c r="CT102" s="63"/>
      <c r="CV102" s="43"/>
      <c r="CW102" s="43"/>
      <c r="CX102" s="43"/>
      <c r="CY102" s="43"/>
      <c r="CZ102" s="43"/>
      <c r="DA102" s="43"/>
      <c r="DB102" s="63"/>
      <c r="DD102" s="43"/>
      <c r="DE102" s="43"/>
      <c r="DF102" s="43"/>
      <c r="DG102" s="43"/>
      <c r="DH102" s="43"/>
      <c r="DI102" s="43"/>
      <c r="DJ102" s="63"/>
    </row>
    <row r="103" spans="1:114" x14ac:dyDescent="0.25">
      <c r="A103" s="43"/>
      <c r="B103" s="63"/>
      <c r="D103" s="43"/>
      <c r="E103" s="43"/>
      <c r="F103" s="43"/>
      <c r="G103" s="43"/>
      <c r="H103" s="43"/>
      <c r="I103" s="43"/>
      <c r="J103" s="63"/>
      <c r="L103" s="43"/>
      <c r="M103" s="43"/>
      <c r="N103" s="43"/>
      <c r="O103" s="43"/>
      <c r="P103" s="43"/>
      <c r="Q103" s="43"/>
      <c r="R103" s="63"/>
      <c r="T103" s="43"/>
      <c r="U103" s="43"/>
      <c r="V103" s="43"/>
      <c r="W103" s="43"/>
      <c r="X103" s="43"/>
      <c r="Y103" s="43"/>
      <c r="Z103" s="63"/>
      <c r="AB103" s="43"/>
      <c r="AC103" s="43"/>
      <c r="AD103" s="43"/>
      <c r="AE103" s="43"/>
      <c r="AF103" s="43"/>
      <c r="AG103" s="43"/>
      <c r="AH103" s="63"/>
      <c r="AJ103" s="43"/>
      <c r="AK103" s="43"/>
      <c r="AL103" s="43"/>
      <c r="AM103" s="43"/>
      <c r="AN103" s="43"/>
      <c r="AO103" s="43"/>
      <c r="AP103" s="63"/>
      <c r="AR103" s="43"/>
      <c r="AS103" s="43"/>
      <c r="AT103" s="43"/>
      <c r="AU103" s="43"/>
      <c r="AV103" s="43"/>
      <c r="AW103" s="43"/>
      <c r="AX103" s="63"/>
      <c r="AZ103" s="43"/>
      <c r="BA103" s="43"/>
      <c r="BB103" s="43"/>
      <c r="BC103" s="43"/>
      <c r="BD103" s="43"/>
      <c r="BE103" s="43"/>
      <c r="BF103" s="63"/>
      <c r="BH103" s="43"/>
      <c r="BI103" s="43"/>
      <c r="BJ103" s="43"/>
      <c r="BK103" s="43"/>
      <c r="BL103" s="43"/>
      <c r="BM103" s="43"/>
      <c r="BN103" s="63"/>
      <c r="BP103" s="43"/>
      <c r="BQ103" s="43"/>
      <c r="BR103" s="43"/>
      <c r="BS103" s="43"/>
      <c r="BT103" s="43"/>
      <c r="BU103" s="43"/>
      <c r="BV103" s="63"/>
      <c r="BX103" s="43"/>
      <c r="BY103" s="43"/>
      <c r="BZ103" s="43"/>
      <c r="CA103" s="43"/>
      <c r="CB103" s="43"/>
      <c r="CC103" s="43"/>
      <c r="CD103" s="63"/>
      <c r="CF103" s="43"/>
      <c r="CG103" s="43"/>
      <c r="CH103" s="43"/>
      <c r="CI103" s="43"/>
      <c r="CJ103" s="43"/>
      <c r="CK103" s="43"/>
      <c r="CL103" s="63"/>
      <c r="CN103" s="43"/>
      <c r="CO103" s="43"/>
      <c r="CP103" s="43"/>
      <c r="CQ103" s="43"/>
      <c r="CR103" s="43"/>
      <c r="CS103" s="43"/>
      <c r="CT103" s="63"/>
      <c r="CV103" s="43"/>
      <c r="CW103" s="43"/>
      <c r="CX103" s="43"/>
      <c r="CY103" s="43"/>
      <c r="CZ103" s="43"/>
      <c r="DA103" s="43"/>
      <c r="DB103" s="63"/>
      <c r="DD103" s="43"/>
      <c r="DE103" s="43"/>
      <c r="DF103" s="43"/>
      <c r="DG103" s="43"/>
      <c r="DH103" s="43"/>
      <c r="DI103" s="43"/>
      <c r="DJ103" s="63"/>
    </row>
    <row r="104" spans="1:114" x14ac:dyDescent="0.25">
      <c r="A104" s="43"/>
      <c r="B104" s="63"/>
      <c r="D104" s="43"/>
      <c r="E104" s="43"/>
      <c r="F104" s="43"/>
      <c r="G104" s="43"/>
      <c r="H104" s="43"/>
      <c r="I104" s="43"/>
      <c r="J104" s="63"/>
      <c r="L104" s="43"/>
      <c r="M104" s="43"/>
      <c r="N104" s="43"/>
      <c r="O104" s="43"/>
      <c r="P104" s="43"/>
      <c r="Q104" s="43"/>
      <c r="R104" s="63"/>
      <c r="T104" s="43"/>
      <c r="U104" s="43"/>
      <c r="V104" s="43"/>
      <c r="W104" s="43"/>
      <c r="X104" s="43"/>
      <c r="Y104" s="43"/>
      <c r="Z104" s="63"/>
      <c r="AB104" s="43"/>
      <c r="AC104" s="43"/>
      <c r="AD104" s="43"/>
      <c r="AE104" s="43"/>
      <c r="AF104" s="43"/>
      <c r="AG104" s="43"/>
      <c r="AH104" s="63"/>
      <c r="AJ104" s="43"/>
      <c r="AK104" s="43"/>
      <c r="AL104" s="43"/>
      <c r="AM104" s="43"/>
      <c r="AN104" s="43"/>
      <c r="AO104" s="43"/>
      <c r="AP104" s="63"/>
      <c r="AR104" s="43"/>
      <c r="AS104" s="43"/>
      <c r="AT104" s="43"/>
      <c r="AU104" s="43"/>
      <c r="AV104" s="43"/>
      <c r="AW104" s="43"/>
      <c r="AX104" s="63"/>
      <c r="AZ104" s="43"/>
      <c r="BA104" s="43"/>
      <c r="BB104" s="43"/>
      <c r="BC104" s="43"/>
      <c r="BD104" s="43"/>
      <c r="BE104" s="43"/>
      <c r="BF104" s="63"/>
      <c r="BH104" s="43"/>
      <c r="BI104" s="43"/>
      <c r="BJ104" s="43"/>
      <c r="BK104" s="43"/>
      <c r="BL104" s="43"/>
      <c r="BM104" s="43"/>
      <c r="BN104" s="63"/>
      <c r="BP104" s="43"/>
      <c r="BQ104" s="43"/>
      <c r="BR104" s="43"/>
      <c r="BS104" s="43"/>
      <c r="BT104" s="43"/>
      <c r="BU104" s="43"/>
      <c r="BV104" s="63"/>
      <c r="BX104" s="43"/>
      <c r="BY104" s="43"/>
      <c r="BZ104" s="43"/>
      <c r="CA104" s="43"/>
      <c r="CB104" s="43"/>
      <c r="CC104" s="43"/>
      <c r="CD104" s="63"/>
      <c r="CF104" s="43"/>
      <c r="CG104" s="43"/>
      <c r="CH104" s="43"/>
      <c r="CI104" s="43"/>
      <c r="CJ104" s="43"/>
      <c r="CK104" s="43"/>
      <c r="CL104" s="63"/>
      <c r="CN104" s="43"/>
      <c r="CO104" s="43"/>
      <c r="CP104" s="43"/>
      <c r="CQ104" s="43"/>
      <c r="CR104" s="43"/>
      <c r="CS104" s="43"/>
      <c r="CT104" s="63"/>
      <c r="CV104" s="43"/>
      <c r="CW104" s="43"/>
      <c r="CX104" s="43"/>
      <c r="CY104" s="43"/>
      <c r="CZ104" s="43"/>
      <c r="DA104" s="43"/>
      <c r="DB104" s="63"/>
      <c r="DD104" s="43"/>
      <c r="DE104" s="43"/>
      <c r="DF104" s="43"/>
      <c r="DG104" s="43"/>
      <c r="DH104" s="43"/>
      <c r="DI104" s="43"/>
      <c r="DJ104" s="63"/>
    </row>
    <row r="105" spans="1:114" x14ac:dyDescent="0.25">
      <c r="A105" s="43"/>
      <c r="B105" s="63"/>
      <c r="D105" s="43"/>
      <c r="E105" s="43"/>
      <c r="F105" s="43"/>
      <c r="G105" s="43"/>
      <c r="H105" s="43"/>
      <c r="I105" s="43"/>
      <c r="J105" s="63"/>
      <c r="L105" s="43"/>
      <c r="M105" s="43"/>
      <c r="N105" s="43"/>
      <c r="O105" s="43"/>
      <c r="P105" s="43"/>
      <c r="Q105" s="43"/>
      <c r="R105" s="63"/>
      <c r="T105" s="43"/>
      <c r="U105" s="43"/>
      <c r="V105" s="43"/>
      <c r="W105" s="43"/>
      <c r="X105" s="43"/>
      <c r="Y105" s="43"/>
      <c r="Z105" s="63"/>
      <c r="AB105" s="43"/>
      <c r="AC105" s="43"/>
      <c r="AD105" s="43"/>
      <c r="AE105" s="43"/>
      <c r="AF105" s="43"/>
      <c r="AG105" s="43"/>
      <c r="AH105" s="63"/>
      <c r="AJ105" s="43"/>
      <c r="AK105" s="43"/>
      <c r="AL105" s="43"/>
      <c r="AM105" s="43"/>
      <c r="AN105" s="43"/>
      <c r="AO105" s="43"/>
      <c r="AP105" s="63"/>
      <c r="AR105" s="43"/>
      <c r="AS105" s="43"/>
      <c r="AT105" s="43"/>
      <c r="AU105" s="43"/>
      <c r="AV105" s="43"/>
      <c r="AW105" s="43"/>
      <c r="AX105" s="63"/>
      <c r="AZ105" s="43"/>
      <c r="BA105" s="43"/>
      <c r="BB105" s="43"/>
      <c r="BC105" s="43"/>
      <c r="BD105" s="43"/>
      <c r="BE105" s="43"/>
      <c r="BF105" s="63"/>
      <c r="BH105" s="43"/>
      <c r="BI105" s="43"/>
      <c r="BJ105" s="43"/>
      <c r="BK105" s="43"/>
      <c r="BL105" s="43"/>
      <c r="BM105" s="43"/>
      <c r="BN105" s="63"/>
      <c r="BP105" s="43"/>
      <c r="BQ105" s="43"/>
      <c r="BR105" s="43"/>
      <c r="BS105" s="43"/>
      <c r="BT105" s="43"/>
      <c r="BU105" s="43"/>
      <c r="BV105" s="63"/>
      <c r="BX105" s="43"/>
      <c r="BY105" s="43"/>
      <c r="BZ105" s="43"/>
      <c r="CA105" s="43"/>
      <c r="CB105" s="43"/>
      <c r="CC105" s="43"/>
      <c r="CD105" s="63"/>
      <c r="CF105" s="43"/>
      <c r="CG105" s="43"/>
      <c r="CH105" s="43"/>
      <c r="CI105" s="43"/>
      <c r="CJ105" s="43"/>
      <c r="CK105" s="43"/>
      <c r="CL105" s="63"/>
      <c r="CN105" s="43"/>
      <c r="CO105" s="43"/>
      <c r="CP105" s="43"/>
      <c r="CQ105" s="43"/>
      <c r="CR105" s="43"/>
      <c r="CS105" s="43"/>
      <c r="CT105" s="63"/>
      <c r="CV105" s="43"/>
      <c r="CW105" s="43"/>
      <c r="CX105" s="43"/>
      <c r="CY105" s="43"/>
      <c r="CZ105" s="43"/>
      <c r="DA105" s="43"/>
      <c r="DB105" s="63"/>
      <c r="DD105" s="43"/>
      <c r="DE105" s="43"/>
      <c r="DF105" s="43"/>
      <c r="DG105" s="43"/>
      <c r="DH105" s="43"/>
      <c r="DI105" s="43"/>
      <c r="DJ105" s="63"/>
    </row>
    <row r="106" spans="1:114" x14ac:dyDescent="0.25">
      <c r="A106" s="43"/>
      <c r="B106" s="63"/>
      <c r="D106" s="43"/>
      <c r="E106" s="43"/>
      <c r="F106" s="43"/>
      <c r="G106" s="43"/>
      <c r="H106" s="43"/>
      <c r="I106" s="43"/>
      <c r="J106" s="63"/>
      <c r="L106" s="43"/>
      <c r="M106" s="43"/>
      <c r="N106" s="43"/>
      <c r="O106" s="43"/>
      <c r="P106" s="43"/>
      <c r="Q106" s="43"/>
      <c r="R106" s="63"/>
      <c r="T106" s="43"/>
      <c r="U106" s="43"/>
      <c r="V106" s="43"/>
      <c r="W106" s="43"/>
      <c r="X106" s="43"/>
      <c r="Y106" s="43"/>
      <c r="Z106" s="63"/>
      <c r="AB106" s="43"/>
      <c r="AC106" s="43"/>
      <c r="AD106" s="43"/>
      <c r="AE106" s="43"/>
      <c r="AF106" s="43"/>
      <c r="AG106" s="43"/>
      <c r="AH106" s="63"/>
      <c r="AJ106" s="43"/>
      <c r="AK106" s="43"/>
      <c r="AL106" s="43"/>
      <c r="AM106" s="43"/>
      <c r="AN106" s="43"/>
      <c r="AO106" s="43"/>
      <c r="AP106" s="63"/>
      <c r="AR106" s="43"/>
      <c r="AS106" s="43"/>
      <c r="AT106" s="43"/>
      <c r="AU106" s="43"/>
      <c r="AV106" s="43"/>
      <c r="AW106" s="43"/>
      <c r="AX106" s="63"/>
      <c r="AZ106" s="43"/>
      <c r="BA106" s="43"/>
      <c r="BB106" s="43"/>
      <c r="BC106" s="43"/>
      <c r="BD106" s="43"/>
      <c r="BE106" s="43"/>
      <c r="BF106" s="63"/>
      <c r="BH106" s="43"/>
      <c r="BI106" s="43"/>
      <c r="BJ106" s="43"/>
      <c r="BK106" s="43"/>
      <c r="BL106" s="43"/>
      <c r="BM106" s="43"/>
      <c r="BN106" s="63"/>
      <c r="BP106" s="43"/>
      <c r="BQ106" s="43"/>
      <c r="BR106" s="43"/>
      <c r="BS106" s="43"/>
      <c r="BT106" s="43"/>
      <c r="BU106" s="43"/>
      <c r="BV106" s="63"/>
      <c r="BX106" s="43"/>
      <c r="BY106" s="43"/>
      <c r="BZ106" s="43"/>
      <c r="CA106" s="43"/>
      <c r="CB106" s="43"/>
      <c r="CC106" s="43"/>
      <c r="CD106" s="63"/>
      <c r="CF106" s="43"/>
      <c r="CG106" s="43"/>
      <c r="CH106" s="43"/>
      <c r="CI106" s="43"/>
      <c r="CJ106" s="43"/>
      <c r="CK106" s="43"/>
      <c r="CL106" s="63"/>
      <c r="CN106" s="43"/>
      <c r="CO106" s="43"/>
      <c r="CP106" s="43"/>
      <c r="CQ106" s="43"/>
      <c r="CR106" s="43"/>
      <c r="CS106" s="43"/>
      <c r="CT106" s="63"/>
      <c r="CV106" s="43"/>
      <c r="CW106" s="43"/>
      <c r="CX106" s="43"/>
      <c r="CY106" s="43"/>
      <c r="CZ106" s="43"/>
      <c r="DA106" s="43"/>
      <c r="DB106" s="63"/>
      <c r="DD106" s="43"/>
      <c r="DE106" s="43"/>
      <c r="DF106" s="43"/>
      <c r="DG106" s="43"/>
      <c r="DH106" s="43"/>
      <c r="DI106" s="43"/>
      <c r="DJ106" s="63"/>
    </row>
    <row r="107" spans="1:114" x14ac:dyDescent="0.25">
      <c r="A107" s="43"/>
      <c r="B107" s="63"/>
      <c r="D107" s="43"/>
      <c r="E107" s="43"/>
      <c r="F107" s="43"/>
      <c r="G107" s="43"/>
      <c r="H107" s="43"/>
      <c r="I107" s="43"/>
      <c r="J107" s="63"/>
      <c r="L107" s="43"/>
      <c r="M107" s="43"/>
      <c r="N107" s="43"/>
      <c r="O107" s="43"/>
      <c r="P107" s="43"/>
      <c r="Q107" s="43"/>
      <c r="R107" s="63"/>
      <c r="T107" s="43"/>
      <c r="U107" s="43"/>
      <c r="V107" s="43"/>
      <c r="W107" s="43"/>
      <c r="X107" s="43"/>
      <c r="Y107" s="43"/>
      <c r="Z107" s="63"/>
      <c r="AB107" s="43"/>
      <c r="AC107" s="43"/>
      <c r="AD107" s="43"/>
      <c r="AE107" s="43"/>
      <c r="AF107" s="43"/>
      <c r="AG107" s="43"/>
      <c r="AH107" s="63"/>
      <c r="AJ107" s="43"/>
      <c r="AK107" s="43"/>
      <c r="AL107" s="43"/>
      <c r="AM107" s="43"/>
      <c r="AN107" s="43"/>
      <c r="AO107" s="43"/>
      <c r="AP107" s="63"/>
      <c r="AR107" s="43"/>
      <c r="AS107" s="43"/>
      <c r="AT107" s="43"/>
      <c r="AU107" s="43"/>
      <c r="AV107" s="43"/>
      <c r="AW107" s="43"/>
      <c r="AX107" s="63"/>
      <c r="AZ107" s="43"/>
      <c r="BA107" s="43"/>
      <c r="BB107" s="43"/>
      <c r="BC107" s="43"/>
      <c r="BD107" s="43"/>
      <c r="BE107" s="43"/>
      <c r="BF107" s="63"/>
      <c r="BH107" s="43"/>
      <c r="BI107" s="43"/>
      <c r="BJ107" s="43"/>
      <c r="BK107" s="43"/>
      <c r="BL107" s="43"/>
      <c r="BM107" s="43"/>
      <c r="BN107" s="63"/>
      <c r="BP107" s="43"/>
      <c r="BQ107" s="43"/>
      <c r="BR107" s="43"/>
      <c r="BS107" s="43"/>
      <c r="BT107" s="43"/>
      <c r="BU107" s="43"/>
      <c r="BV107" s="63"/>
      <c r="BX107" s="43"/>
      <c r="BY107" s="43"/>
      <c r="BZ107" s="43"/>
      <c r="CA107" s="43"/>
      <c r="CB107" s="43"/>
      <c r="CC107" s="43"/>
      <c r="CD107" s="63"/>
      <c r="CF107" s="43"/>
      <c r="CG107" s="43"/>
      <c r="CH107" s="43"/>
      <c r="CI107" s="43"/>
      <c r="CJ107" s="43"/>
      <c r="CK107" s="43"/>
      <c r="CL107" s="63"/>
      <c r="CN107" s="43"/>
      <c r="CO107" s="43"/>
      <c r="CP107" s="43"/>
      <c r="CQ107" s="43"/>
      <c r="CR107" s="43"/>
      <c r="CS107" s="43"/>
      <c r="CT107" s="63"/>
      <c r="CV107" s="43"/>
      <c r="CW107" s="43"/>
      <c r="CX107" s="43"/>
      <c r="CY107" s="43"/>
      <c r="CZ107" s="43"/>
      <c r="DA107" s="43"/>
      <c r="DB107" s="63"/>
      <c r="DD107" s="43"/>
      <c r="DE107" s="43"/>
      <c r="DF107" s="43"/>
      <c r="DG107" s="43"/>
      <c r="DH107" s="43"/>
      <c r="DI107" s="43"/>
      <c r="DJ107" s="63"/>
    </row>
    <row r="108" spans="1:114" x14ac:dyDescent="0.25">
      <c r="A108" s="43"/>
      <c r="B108" s="63"/>
      <c r="D108" s="43"/>
      <c r="E108" s="43"/>
      <c r="F108" s="43"/>
      <c r="G108" s="43"/>
      <c r="H108" s="43"/>
      <c r="I108" s="43"/>
      <c r="J108" s="63"/>
      <c r="L108" s="43"/>
      <c r="M108" s="43"/>
      <c r="N108" s="43"/>
      <c r="O108" s="43"/>
      <c r="P108" s="43"/>
      <c r="Q108" s="43"/>
      <c r="R108" s="63"/>
      <c r="T108" s="43"/>
      <c r="U108" s="43"/>
      <c r="V108" s="43"/>
      <c r="W108" s="43"/>
      <c r="X108" s="43"/>
      <c r="Y108" s="43"/>
      <c r="Z108" s="63"/>
      <c r="AB108" s="43"/>
      <c r="AC108" s="43"/>
      <c r="AD108" s="43"/>
      <c r="AE108" s="43"/>
      <c r="AF108" s="43"/>
      <c r="AG108" s="43"/>
      <c r="AH108" s="63"/>
      <c r="AJ108" s="43"/>
      <c r="AK108" s="43"/>
      <c r="AL108" s="43"/>
      <c r="AM108" s="43"/>
      <c r="AN108" s="43"/>
      <c r="AO108" s="43"/>
      <c r="AP108" s="63"/>
      <c r="AR108" s="43"/>
      <c r="AS108" s="43"/>
      <c r="AT108" s="43"/>
      <c r="AU108" s="43"/>
      <c r="AV108" s="43"/>
      <c r="AW108" s="43"/>
      <c r="AX108" s="63"/>
      <c r="AZ108" s="43"/>
      <c r="BA108" s="43"/>
      <c r="BB108" s="43"/>
      <c r="BC108" s="43"/>
      <c r="BD108" s="43"/>
      <c r="BE108" s="43"/>
      <c r="BF108" s="63"/>
      <c r="BH108" s="43"/>
      <c r="BI108" s="43"/>
      <c r="BJ108" s="43"/>
      <c r="BK108" s="43"/>
      <c r="BL108" s="43"/>
      <c r="BM108" s="43"/>
      <c r="BN108" s="63"/>
      <c r="BP108" s="43"/>
      <c r="BQ108" s="43"/>
      <c r="BR108" s="43"/>
      <c r="BS108" s="43"/>
      <c r="BT108" s="43"/>
      <c r="BU108" s="43"/>
      <c r="BV108" s="63"/>
      <c r="BX108" s="43"/>
      <c r="BY108" s="43"/>
      <c r="BZ108" s="43"/>
      <c r="CA108" s="43"/>
      <c r="CB108" s="43"/>
      <c r="CC108" s="43"/>
      <c r="CD108" s="63"/>
      <c r="CF108" s="43"/>
      <c r="CG108" s="43"/>
      <c r="CH108" s="43"/>
      <c r="CI108" s="43"/>
      <c r="CJ108" s="43"/>
      <c r="CK108" s="43"/>
      <c r="CL108" s="63"/>
      <c r="CN108" s="43"/>
      <c r="CO108" s="43"/>
      <c r="CP108" s="43"/>
      <c r="CQ108" s="43"/>
      <c r="CR108" s="43"/>
      <c r="CS108" s="43"/>
      <c r="CT108" s="63"/>
      <c r="CV108" s="43"/>
      <c r="CW108" s="43"/>
      <c r="CX108" s="43"/>
      <c r="CY108" s="43"/>
      <c r="CZ108" s="43"/>
      <c r="DA108" s="43"/>
      <c r="DB108" s="63"/>
      <c r="DD108" s="43"/>
      <c r="DE108" s="43"/>
      <c r="DF108" s="43"/>
      <c r="DG108" s="43"/>
      <c r="DH108" s="43"/>
      <c r="DI108" s="43"/>
      <c r="DJ108" s="63"/>
    </row>
    <row r="109" spans="1:114" x14ac:dyDescent="0.25">
      <c r="A109" s="43"/>
      <c r="B109" s="63"/>
      <c r="D109" s="43"/>
      <c r="E109" s="43"/>
      <c r="F109" s="43"/>
      <c r="G109" s="43"/>
      <c r="H109" s="43"/>
      <c r="I109" s="43"/>
      <c r="J109" s="63"/>
      <c r="L109" s="43"/>
      <c r="M109" s="43"/>
      <c r="N109" s="43"/>
      <c r="O109" s="43"/>
      <c r="P109" s="43"/>
      <c r="Q109" s="43"/>
      <c r="R109" s="63"/>
      <c r="T109" s="43"/>
      <c r="U109" s="43"/>
      <c r="V109" s="43"/>
      <c r="W109" s="43"/>
      <c r="X109" s="43"/>
      <c r="Y109" s="43"/>
      <c r="Z109" s="63"/>
      <c r="AB109" s="43"/>
      <c r="AC109" s="43"/>
      <c r="AD109" s="43"/>
      <c r="AE109" s="43"/>
      <c r="AF109" s="43"/>
      <c r="AG109" s="43"/>
      <c r="AH109" s="63"/>
      <c r="AJ109" s="43"/>
      <c r="AK109" s="43"/>
      <c r="AL109" s="43"/>
      <c r="AM109" s="43"/>
      <c r="AN109" s="43"/>
      <c r="AO109" s="43"/>
      <c r="AP109" s="63"/>
      <c r="AR109" s="43"/>
      <c r="AS109" s="43"/>
      <c r="AT109" s="43"/>
      <c r="AU109" s="43"/>
      <c r="AV109" s="43"/>
      <c r="AW109" s="43"/>
      <c r="AX109" s="63"/>
      <c r="AZ109" s="43"/>
      <c r="BA109" s="43"/>
      <c r="BB109" s="43"/>
      <c r="BC109" s="43"/>
      <c r="BD109" s="43"/>
      <c r="BE109" s="43"/>
      <c r="BF109" s="63"/>
      <c r="BH109" s="43"/>
      <c r="BI109" s="43"/>
      <c r="BJ109" s="43"/>
      <c r="BK109" s="43"/>
      <c r="BL109" s="43"/>
      <c r="BM109" s="43"/>
      <c r="BN109" s="63"/>
      <c r="BP109" s="43"/>
      <c r="BQ109" s="43"/>
      <c r="BR109" s="43"/>
      <c r="BS109" s="43"/>
      <c r="BT109" s="43"/>
      <c r="BU109" s="43"/>
      <c r="BV109" s="63"/>
      <c r="BX109" s="43"/>
      <c r="BY109" s="43"/>
      <c r="BZ109" s="43"/>
      <c r="CA109" s="43"/>
      <c r="CB109" s="43"/>
      <c r="CC109" s="43"/>
      <c r="CD109" s="63"/>
      <c r="CF109" s="43"/>
      <c r="CG109" s="43"/>
      <c r="CH109" s="43"/>
      <c r="CI109" s="43"/>
      <c r="CJ109" s="43"/>
      <c r="CK109" s="43"/>
      <c r="CL109" s="63"/>
      <c r="CN109" s="43"/>
      <c r="CO109" s="43"/>
      <c r="CP109" s="43"/>
      <c r="CQ109" s="43"/>
      <c r="CR109" s="43"/>
      <c r="CS109" s="43"/>
      <c r="CT109" s="63"/>
      <c r="CV109" s="43"/>
      <c r="CW109" s="43"/>
      <c r="CX109" s="43"/>
      <c r="CY109" s="43"/>
      <c r="CZ109" s="43"/>
      <c r="DA109" s="43"/>
      <c r="DB109" s="63"/>
      <c r="DD109" s="43"/>
      <c r="DE109" s="43"/>
      <c r="DF109" s="43"/>
      <c r="DG109" s="43"/>
      <c r="DH109" s="43"/>
      <c r="DI109" s="43"/>
      <c r="DJ109" s="63"/>
    </row>
    <row r="110" spans="1:114" x14ac:dyDescent="0.25">
      <c r="A110" s="43"/>
      <c r="B110" s="63"/>
      <c r="D110" s="43"/>
      <c r="E110" s="43"/>
      <c r="F110" s="43"/>
      <c r="G110" s="43"/>
      <c r="H110" s="43"/>
      <c r="I110" s="43"/>
      <c r="J110" s="63"/>
      <c r="L110" s="43"/>
      <c r="M110" s="43"/>
      <c r="N110" s="43"/>
      <c r="O110" s="43"/>
      <c r="P110" s="43"/>
      <c r="Q110" s="43"/>
      <c r="R110" s="63"/>
      <c r="T110" s="43"/>
      <c r="U110" s="43"/>
      <c r="V110" s="43"/>
      <c r="W110" s="43"/>
      <c r="X110" s="43"/>
      <c r="Y110" s="43"/>
      <c r="Z110" s="63"/>
      <c r="AB110" s="43"/>
      <c r="AC110" s="43"/>
      <c r="AD110" s="43"/>
      <c r="AE110" s="43"/>
      <c r="AF110" s="43"/>
      <c r="AG110" s="43"/>
      <c r="AH110" s="63"/>
      <c r="AJ110" s="43"/>
      <c r="AK110" s="43"/>
      <c r="AL110" s="43"/>
      <c r="AM110" s="43"/>
      <c r="AN110" s="43"/>
      <c r="AO110" s="43"/>
      <c r="AP110" s="63"/>
      <c r="AR110" s="43"/>
      <c r="AS110" s="43"/>
      <c r="AT110" s="43"/>
      <c r="AU110" s="43"/>
      <c r="AV110" s="43"/>
      <c r="AW110" s="43"/>
      <c r="AX110" s="63"/>
      <c r="AZ110" s="43"/>
      <c r="BA110" s="43"/>
      <c r="BB110" s="43"/>
      <c r="BC110" s="43"/>
      <c r="BD110" s="43"/>
      <c r="BE110" s="43"/>
      <c r="BF110" s="63"/>
      <c r="BH110" s="43"/>
      <c r="BI110" s="43"/>
      <c r="BJ110" s="43"/>
      <c r="BK110" s="43"/>
      <c r="BL110" s="43"/>
      <c r="BM110" s="43"/>
      <c r="BN110" s="63"/>
      <c r="BP110" s="43"/>
      <c r="BQ110" s="43"/>
      <c r="BR110" s="43"/>
      <c r="BS110" s="43"/>
      <c r="BT110" s="43"/>
      <c r="BU110" s="43"/>
      <c r="BV110" s="63"/>
      <c r="BX110" s="43"/>
      <c r="BY110" s="43"/>
      <c r="BZ110" s="43"/>
      <c r="CA110" s="43"/>
      <c r="CB110" s="43"/>
      <c r="CC110" s="43"/>
      <c r="CD110" s="63"/>
      <c r="CF110" s="43"/>
      <c r="CG110" s="43"/>
      <c r="CH110" s="43"/>
      <c r="CI110" s="43"/>
      <c r="CJ110" s="43"/>
      <c r="CK110" s="43"/>
      <c r="CL110" s="63"/>
      <c r="CN110" s="43"/>
      <c r="CO110" s="43"/>
      <c r="CP110" s="43"/>
      <c r="CQ110" s="43"/>
      <c r="CR110" s="43"/>
      <c r="CS110" s="43"/>
      <c r="CT110" s="63"/>
      <c r="CV110" s="43"/>
      <c r="CW110" s="43"/>
      <c r="CX110" s="43"/>
      <c r="CY110" s="43"/>
      <c r="CZ110" s="43"/>
      <c r="DA110" s="43"/>
      <c r="DB110" s="63"/>
      <c r="DD110" s="43"/>
      <c r="DE110" s="43"/>
      <c r="DF110" s="43"/>
      <c r="DG110" s="43"/>
      <c r="DH110" s="43"/>
      <c r="DI110" s="43"/>
      <c r="DJ110" s="63"/>
    </row>
    <row r="111" spans="1:114" x14ac:dyDescent="0.25">
      <c r="A111" s="43"/>
      <c r="B111" s="63"/>
      <c r="D111" s="43"/>
      <c r="E111" s="43"/>
      <c r="F111" s="43"/>
      <c r="G111" s="43"/>
      <c r="H111" s="43"/>
      <c r="I111" s="43"/>
      <c r="J111" s="63"/>
      <c r="L111" s="43"/>
      <c r="M111" s="43"/>
      <c r="N111" s="43"/>
      <c r="O111" s="43"/>
      <c r="P111" s="43"/>
      <c r="Q111" s="43"/>
      <c r="R111" s="63"/>
      <c r="T111" s="43"/>
      <c r="U111" s="43"/>
      <c r="V111" s="43"/>
      <c r="W111" s="43"/>
      <c r="X111" s="43"/>
      <c r="Y111" s="43"/>
      <c r="Z111" s="63"/>
      <c r="AB111" s="43"/>
      <c r="AC111" s="43"/>
      <c r="AD111" s="43"/>
      <c r="AE111" s="43"/>
      <c r="AF111" s="43"/>
      <c r="AG111" s="43"/>
      <c r="AH111" s="63"/>
      <c r="AJ111" s="43"/>
      <c r="AK111" s="43"/>
      <c r="AL111" s="43"/>
      <c r="AM111" s="43"/>
      <c r="AN111" s="43"/>
      <c r="AO111" s="43"/>
      <c r="AP111" s="63"/>
      <c r="AR111" s="43"/>
      <c r="AS111" s="43"/>
      <c r="AT111" s="43"/>
      <c r="AU111" s="43"/>
      <c r="AV111" s="43"/>
      <c r="AW111" s="43"/>
      <c r="AX111" s="63"/>
      <c r="AZ111" s="43"/>
      <c r="BA111" s="43"/>
      <c r="BB111" s="43"/>
      <c r="BC111" s="43"/>
      <c r="BD111" s="43"/>
      <c r="BE111" s="43"/>
      <c r="BF111" s="63"/>
      <c r="BH111" s="43"/>
      <c r="BI111" s="43"/>
      <c r="BJ111" s="43"/>
      <c r="BK111" s="43"/>
      <c r="BL111" s="43"/>
      <c r="BM111" s="43"/>
      <c r="BN111" s="63"/>
      <c r="BP111" s="43"/>
      <c r="BQ111" s="43"/>
      <c r="BR111" s="43"/>
      <c r="BS111" s="43"/>
      <c r="BT111" s="43"/>
      <c r="BU111" s="43"/>
      <c r="BV111" s="63"/>
      <c r="BX111" s="43"/>
      <c r="BY111" s="43"/>
      <c r="BZ111" s="43"/>
      <c r="CA111" s="43"/>
      <c r="CB111" s="43"/>
      <c r="CC111" s="43"/>
      <c r="CD111" s="63"/>
      <c r="CF111" s="43"/>
      <c r="CG111" s="43"/>
      <c r="CH111" s="43"/>
      <c r="CI111" s="43"/>
      <c r="CJ111" s="43"/>
      <c r="CK111" s="43"/>
      <c r="CL111" s="63"/>
      <c r="CN111" s="43"/>
      <c r="CO111" s="43"/>
      <c r="CP111" s="43"/>
      <c r="CQ111" s="43"/>
      <c r="CR111" s="43"/>
      <c r="CS111" s="43"/>
      <c r="CT111" s="63"/>
      <c r="CV111" s="43"/>
      <c r="CW111" s="43"/>
      <c r="CX111" s="43"/>
      <c r="CY111" s="43"/>
      <c r="CZ111" s="43"/>
      <c r="DA111" s="43"/>
      <c r="DB111" s="63"/>
      <c r="DD111" s="43"/>
      <c r="DE111" s="43"/>
      <c r="DF111" s="43"/>
      <c r="DG111" s="43"/>
      <c r="DH111" s="43"/>
      <c r="DI111" s="43"/>
      <c r="DJ111" s="63"/>
    </row>
    <row r="112" spans="1:114" x14ac:dyDescent="0.25">
      <c r="A112" s="43"/>
      <c r="B112" s="63"/>
      <c r="D112" s="43"/>
      <c r="E112" s="43"/>
      <c r="F112" s="43"/>
      <c r="G112" s="43"/>
      <c r="H112" s="43"/>
      <c r="I112" s="43"/>
      <c r="J112" s="63"/>
      <c r="L112" s="43"/>
      <c r="M112" s="43"/>
      <c r="N112" s="43"/>
      <c r="O112" s="43"/>
      <c r="P112" s="43"/>
      <c r="Q112" s="43"/>
      <c r="R112" s="63"/>
      <c r="T112" s="43"/>
      <c r="U112" s="43"/>
      <c r="V112" s="43"/>
      <c r="W112" s="43"/>
      <c r="X112" s="43"/>
      <c r="Y112" s="43"/>
      <c r="Z112" s="63"/>
      <c r="AB112" s="43"/>
      <c r="AC112" s="43"/>
      <c r="AD112" s="43"/>
      <c r="AE112" s="43"/>
      <c r="AF112" s="43"/>
      <c r="AG112" s="43"/>
      <c r="AH112" s="63"/>
      <c r="AJ112" s="43"/>
      <c r="AK112" s="43"/>
      <c r="AL112" s="43"/>
      <c r="AM112" s="43"/>
      <c r="AN112" s="43"/>
      <c r="AO112" s="43"/>
      <c r="AP112" s="63"/>
      <c r="AR112" s="43"/>
      <c r="AS112" s="43"/>
      <c r="AT112" s="43"/>
      <c r="AU112" s="43"/>
      <c r="AV112" s="43"/>
      <c r="AW112" s="43"/>
      <c r="AX112" s="63"/>
      <c r="AZ112" s="43"/>
      <c r="BA112" s="43"/>
      <c r="BB112" s="43"/>
      <c r="BC112" s="43"/>
      <c r="BD112" s="43"/>
      <c r="BE112" s="43"/>
      <c r="BF112" s="63"/>
      <c r="BH112" s="43"/>
      <c r="BI112" s="43"/>
      <c r="BJ112" s="43"/>
      <c r="BK112" s="43"/>
      <c r="BL112" s="43"/>
      <c r="BM112" s="43"/>
      <c r="BN112" s="63"/>
      <c r="BP112" s="43"/>
      <c r="BQ112" s="43"/>
      <c r="BR112" s="43"/>
      <c r="BS112" s="43"/>
      <c r="BT112" s="43"/>
      <c r="BU112" s="43"/>
      <c r="BV112" s="63"/>
      <c r="BX112" s="43"/>
      <c r="BY112" s="43"/>
      <c r="BZ112" s="43"/>
      <c r="CA112" s="43"/>
      <c r="CB112" s="43"/>
      <c r="CC112" s="43"/>
      <c r="CD112" s="63"/>
      <c r="CF112" s="43"/>
      <c r="CG112" s="43"/>
      <c r="CH112" s="43"/>
      <c r="CI112" s="43"/>
      <c r="CJ112" s="43"/>
      <c r="CK112" s="43"/>
      <c r="CL112" s="63"/>
      <c r="CN112" s="43"/>
      <c r="CO112" s="43"/>
      <c r="CP112" s="43"/>
      <c r="CQ112" s="43"/>
      <c r="CR112" s="43"/>
      <c r="CS112" s="43"/>
      <c r="CT112" s="63"/>
      <c r="CV112" s="43"/>
      <c r="CW112" s="43"/>
      <c r="CX112" s="43"/>
      <c r="CY112" s="43"/>
      <c r="CZ112" s="43"/>
      <c r="DA112" s="43"/>
      <c r="DB112" s="63"/>
      <c r="DD112" s="43"/>
      <c r="DE112" s="43"/>
      <c r="DF112" s="43"/>
      <c r="DG112" s="43"/>
      <c r="DH112" s="43"/>
      <c r="DI112" s="43"/>
      <c r="DJ112" s="63"/>
    </row>
    <row r="113" spans="1:114" x14ac:dyDescent="0.25">
      <c r="A113" s="43"/>
      <c r="B113" s="63"/>
      <c r="D113" s="43"/>
      <c r="E113" s="43"/>
      <c r="F113" s="43"/>
      <c r="G113" s="43"/>
      <c r="H113" s="43"/>
      <c r="I113" s="43"/>
      <c r="J113" s="63"/>
      <c r="L113" s="43"/>
      <c r="M113" s="43"/>
      <c r="N113" s="43"/>
      <c r="O113" s="43"/>
      <c r="P113" s="43"/>
      <c r="Q113" s="43"/>
      <c r="R113" s="63"/>
      <c r="T113" s="43"/>
      <c r="U113" s="43"/>
      <c r="V113" s="43"/>
      <c r="W113" s="43"/>
      <c r="X113" s="43"/>
      <c r="Y113" s="43"/>
      <c r="Z113" s="63"/>
      <c r="AB113" s="43"/>
      <c r="AC113" s="43"/>
      <c r="AD113" s="43"/>
      <c r="AE113" s="43"/>
      <c r="AF113" s="43"/>
      <c r="AG113" s="43"/>
      <c r="AH113" s="63"/>
      <c r="AJ113" s="43"/>
      <c r="AK113" s="43"/>
      <c r="AL113" s="43"/>
      <c r="AM113" s="43"/>
      <c r="AN113" s="43"/>
      <c r="AO113" s="43"/>
      <c r="AP113" s="63"/>
      <c r="AR113" s="43"/>
      <c r="AS113" s="43"/>
      <c r="AT113" s="43"/>
      <c r="AU113" s="43"/>
      <c r="AV113" s="43"/>
      <c r="AW113" s="43"/>
      <c r="AX113" s="63"/>
      <c r="AZ113" s="43"/>
      <c r="BA113" s="43"/>
      <c r="BB113" s="43"/>
      <c r="BC113" s="43"/>
      <c r="BD113" s="43"/>
      <c r="BE113" s="43"/>
      <c r="BF113" s="63"/>
      <c r="BH113" s="43"/>
      <c r="BI113" s="43"/>
      <c r="BJ113" s="43"/>
      <c r="BK113" s="43"/>
      <c r="BL113" s="43"/>
      <c r="BM113" s="43"/>
      <c r="BN113" s="63"/>
      <c r="BP113" s="43"/>
      <c r="BQ113" s="43"/>
      <c r="BR113" s="43"/>
      <c r="BS113" s="43"/>
      <c r="BT113" s="43"/>
      <c r="BU113" s="43"/>
      <c r="BV113" s="63"/>
      <c r="BX113" s="43"/>
      <c r="BY113" s="43"/>
      <c r="BZ113" s="43"/>
      <c r="CA113" s="43"/>
      <c r="CB113" s="43"/>
      <c r="CC113" s="43"/>
      <c r="CD113" s="63"/>
      <c r="CF113" s="43"/>
      <c r="CG113" s="43"/>
      <c r="CH113" s="43"/>
      <c r="CI113" s="43"/>
      <c r="CJ113" s="43"/>
      <c r="CK113" s="43"/>
      <c r="CL113" s="63"/>
      <c r="CN113" s="43"/>
      <c r="CO113" s="43"/>
      <c r="CP113" s="43"/>
      <c r="CQ113" s="43"/>
      <c r="CR113" s="43"/>
      <c r="CS113" s="43"/>
      <c r="CT113" s="63"/>
      <c r="CV113" s="43"/>
      <c r="CW113" s="43"/>
      <c r="CX113" s="43"/>
      <c r="CY113" s="43"/>
      <c r="CZ113" s="43"/>
      <c r="DA113" s="43"/>
      <c r="DB113" s="63"/>
      <c r="DD113" s="43"/>
      <c r="DE113" s="43"/>
      <c r="DF113" s="43"/>
      <c r="DG113" s="43"/>
      <c r="DH113" s="43"/>
      <c r="DI113" s="43"/>
      <c r="DJ113" s="63"/>
    </row>
    <row r="114" spans="1:114" x14ac:dyDescent="0.25">
      <c r="A114" s="43"/>
      <c r="B114" s="63"/>
      <c r="D114" s="43"/>
      <c r="E114" s="43"/>
      <c r="F114" s="43"/>
      <c r="G114" s="43"/>
      <c r="H114" s="43"/>
      <c r="I114" s="43"/>
      <c r="J114" s="63"/>
      <c r="L114" s="43"/>
      <c r="M114" s="43"/>
      <c r="N114" s="43"/>
      <c r="O114" s="43"/>
      <c r="P114" s="43"/>
      <c r="Q114" s="43"/>
      <c r="R114" s="63"/>
      <c r="T114" s="43"/>
      <c r="U114" s="43"/>
      <c r="V114" s="43"/>
      <c r="W114" s="43"/>
      <c r="X114" s="43"/>
      <c r="Y114" s="43"/>
      <c r="Z114" s="63"/>
      <c r="AB114" s="43"/>
      <c r="AC114" s="43"/>
      <c r="AD114" s="43"/>
      <c r="AE114" s="43"/>
      <c r="AF114" s="43"/>
      <c r="AG114" s="43"/>
      <c r="AH114" s="63"/>
      <c r="AJ114" s="43"/>
      <c r="AK114" s="43"/>
      <c r="AL114" s="43"/>
      <c r="AM114" s="43"/>
      <c r="AN114" s="43"/>
      <c r="AO114" s="43"/>
      <c r="AP114" s="63"/>
      <c r="AR114" s="43"/>
      <c r="AS114" s="43"/>
      <c r="AT114" s="43"/>
      <c r="AU114" s="43"/>
      <c r="AV114" s="43"/>
      <c r="AW114" s="43"/>
      <c r="AX114" s="63"/>
      <c r="AZ114" s="43"/>
      <c r="BA114" s="43"/>
      <c r="BB114" s="43"/>
      <c r="BC114" s="43"/>
      <c r="BD114" s="43"/>
      <c r="BE114" s="43"/>
      <c r="BF114" s="63"/>
      <c r="BH114" s="43"/>
      <c r="BI114" s="43"/>
      <c r="BJ114" s="43"/>
      <c r="BK114" s="43"/>
      <c r="BL114" s="43"/>
      <c r="BM114" s="43"/>
      <c r="BN114" s="63"/>
      <c r="BP114" s="43"/>
      <c r="BQ114" s="43"/>
      <c r="BR114" s="43"/>
      <c r="BS114" s="43"/>
      <c r="BT114" s="43"/>
      <c r="BU114" s="43"/>
      <c r="BV114" s="63"/>
      <c r="BX114" s="43"/>
      <c r="BY114" s="43"/>
      <c r="BZ114" s="43"/>
      <c r="CA114" s="43"/>
      <c r="CB114" s="43"/>
      <c r="CC114" s="43"/>
      <c r="CD114" s="63"/>
      <c r="CF114" s="43"/>
      <c r="CG114" s="43"/>
      <c r="CH114" s="43"/>
      <c r="CI114" s="43"/>
      <c r="CJ114" s="43"/>
      <c r="CK114" s="43"/>
      <c r="CL114" s="63"/>
      <c r="CN114" s="43"/>
      <c r="CO114" s="43"/>
      <c r="CP114" s="43"/>
      <c r="CQ114" s="43"/>
      <c r="CR114" s="43"/>
      <c r="CS114" s="43"/>
      <c r="CT114" s="63"/>
      <c r="CV114" s="43"/>
      <c r="CW114" s="43"/>
      <c r="CX114" s="43"/>
      <c r="CY114" s="43"/>
      <c r="CZ114" s="43"/>
      <c r="DA114" s="43"/>
      <c r="DB114" s="63"/>
      <c r="DD114" s="43"/>
      <c r="DE114" s="43"/>
      <c r="DF114" s="43"/>
      <c r="DG114" s="43"/>
      <c r="DH114" s="43"/>
      <c r="DI114" s="43"/>
      <c r="DJ114" s="63"/>
    </row>
    <row r="115" spans="1:114" x14ac:dyDescent="0.25">
      <c r="A115" s="43"/>
      <c r="B115" s="63"/>
      <c r="D115" s="43"/>
      <c r="E115" s="43"/>
      <c r="F115" s="43"/>
      <c r="G115" s="43"/>
      <c r="H115" s="43"/>
      <c r="I115" s="43"/>
      <c r="J115" s="63"/>
      <c r="L115" s="43"/>
      <c r="M115" s="43"/>
      <c r="N115" s="43"/>
      <c r="O115" s="43"/>
      <c r="P115" s="43"/>
      <c r="Q115" s="43"/>
      <c r="R115" s="63"/>
      <c r="T115" s="43"/>
      <c r="U115" s="43"/>
      <c r="V115" s="43"/>
      <c r="W115" s="43"/>
      <c r="X115" s="43"/>
      <c r="Y115" s="43"/>
      <c r="Z115" s="63"/>
      <c r="AB115" s="43"/>
      <c r="AC115" s="43"/>
      <c r="AD115" s="43"/>
      <c r="AE115" s="43"/>
      <c r="AF115" s="43"/>
      <c r="AG115" s="43"/>
      <c r="AH115" s="63"/>
      <c r="AJ115" s="43"/>
      <c r="AK115" s="43"/>
      <c r="AL115" s="43"/>
      <c r="AM115" s="43"/>
      <c r="AN115" s="43"/>
      <c r="AO115" s="43"/>
      <c r="AP115" s="63"/>
      <c r="AR115" s="43"/>
      <c r="AS115" s="43"/>
      <c r="AT115" s="43"/>
      <c r="AU115" s="43"/>
      <c r="AV115" s="43"/>
      <c r="AW115" s="43"/>
      <c r="AX115" s="63"/>
      <c r="AZ115" s="43"/>
      <c r="BA115" s="43"/>
      <c r="BB115" s="43"/>
      <c r="BC115" s="43"/>
      <c r="BD115" s="43"/>
      <c r="BE115" s="43"/>
      <c r="BF115" s="63"/>
      <c r="BH115" s="43"/>
      <c r="BI115" s="43"/>
      <c r="BJ115" s="43"/>
      <c r="BK115" s="43"/>
      <c r="BL115" s="43"/>
      <c r="BM115" s="43"/>
      <c r="BN115" s="63"/>
      <c r="BP115" s="43"/>
      <c r="BQ115" s="43"/>
      <c r="BR115" s="43"/>
      <c r="BS115" s="43"/>
      <c r="BT115" s="43"/>
      <c r="BU115" s="43"/>
      <c r="BV115" s="63"/>
      <c r="BX115" s="43"/>
      <c r="BY115" s="43"/>
      <c r="BZ115" s="43"/>
      <c r="CA115" s="43"/>
      <c r="CB115" s="43"/>
      <c r="CC115" s="43"/>
      <c r="CD115" s="63"/>
      <c r="CF115" s="43"/>
      <c r="CG115" s="43"/>
      <c r="CH115" s="43"/>
      <c r="CI115" s="43"/>
      <c r="CJ115" s="43"/>
      <c r="CK115" s="43"/>
      <c r="CL115" s="63"/>
      <c r="CN115" s="43"/>
      <c r="CO115" s="43"/>
      <c r="CP115" s="43"/>
      <c r="CQ115" s="43"/>
      <c r="CR115" s="43"/>
      <c r="CS115" s="43"/>
      <c r="CT115" s="63"/>
      <c r="CV115" s="43"/>
      <c r="CW115" s="43"/>
      <c r="CX115" s="43"/>
      <c r="CY115" s="43"/>
      <c r="CZ115" s="43"/>
      <c r="DA115" s="43"/>
      <c r="DB115" s="63"/>
      <c r="DD115" s="43"/>
      <c r="DE115" s="43"/>
      <c r="DF115" s="43"/>
      <c r="DG115" s="43"/>
      <c r="DH115" s="43"/>
      <c r="DI115" s="43"/>
      <c r="DJ115" s="63"/>
    </row>
    <row r="116" spans="1:114" x14ac:dyDescent="0.25">
      <c r="A116" s="43"/>
      <c r="B116" s="63"/>
      <c r="D116" s="43"/>
      <c r="E116" s="43"/>
      <c r="F116" s="43"/>
      <c r="G116" s="43"/>
      <c r="H116" s="43"/>
      <c r="I116" s="43"/>
      <c r="J116" s="63"/>
      <c r="L116" s="43"/>
      <c r="M116" s="43"/>
      <c r="N116" s="43"/>
      <c r="O116" s="43"/>
      <c r="P116" s="43"/>
      <c r="Q116" s="43"/>
      <c r="R116" s="63"/>
      <c r="T116" s="43"/>
      <c r="U116" s="43"/>
      <c r="V116" s="43"/>
      <c r="W116" s="43"/>
      <c r="X116" s="43"/>
      <c r="Y116" s="43"/>
      <c r="Z116" s="63"/>
      <c r="AB116" s="43"/>
      <c r="AC116" s="43"/>
      <c r="AD116" s="43"/>
      <c r="AE116" s="43"/>
      <c r="AF116" s="43"/>
      <c r="AG116" s="43"/>
      <c r="AH116" s="63"/>
      <c r="AJ116" s="43"/>
      <c r="AK116" s="43"/>
      <c r="AL116" s="43"/>
      <c r="AM116" s="43"/>
      <c r="AN116" s="43"/>
      <c r="AO116" s="43"/>
      <c r="AP116" s="63"/>
      <c r="AR116" s="43"/>
      <c r="AS116" s="43"/>
      <c r="AT116" s="43"/>
      <c r="AU116" s="43"/>
      <c r="AV116" s="43"/>
      <c r="AW116" s="43"/>
      <c r="AX116" s="63"/>
      <c r="AZ116" s="43"/>
      <c r="BA116" s="43"/>
      <c r="BB116" s="43"/>
      <c r="BC116" s="43"/>
      <c r="BD116" s="43"/>
      <c r="BE116" s="43"/>
      <c r="BF116" s="63"/>
      <c r="BH116" s="43"/>
      <c r="BI116" s="43"/>
      <c r="BJ116" s="43"/>
      <c r="BK116" s="43"/>
      <c r="BL116" s="43"/>
      <c r="BM116" s="43"/>
      <c r="BN116" s="63"/>
      <c r="BP116" s="43"/>
      <c r="BQ116" s="43"/>
      <c r="BR116" s="43"/>
      <c r="BS116" s="43"/>
      <c r="BT116" s="43"/>
      <c r="BU116" s="43"/>
      <c r="BV116" s="63"/>
      <c r="BX116" s="43"/>
      <c r="BY116" s="43"/>
      <c r="BZ116" s="43"/>
      <c r="CA116" s="43"/>
      <c r="CB116" s="43"/>
      <c r="CC116" s="43"/>
      <c r="CD116" s="63"/>
      <c r="CF116" s="43"/>
      <c r="CG116" s="43"/>
      <c r="CH116" s="43"/>
      <c r="CI116" s="43"/>
      <c r="CJ116" s="43"/>
      <c r="CK116" s="43"/>
      <c r="CL116" s="63"/>
      <c r="CN116" s="43"/>
      <c r="CO116" s="43"/>
      <c r="CP116" s="43"/>
      <c r="CQ116" s="43"/>
      <c r="CR116" s="43"/>
      <c r="CS116" s="43"/>
      <c r="CT116" s="63"/>
      <c r="CV116" s="43"/>
      <c r="CW116" s="43"/>
      <c r="CX116" s="43"/>
      <c r="CY116" s="43"/>
      <c r="CZ116" s="43"/>
      <c r="DA116" s="43"/>
      <c r="DB116" s="63"/>
      <c r="DD116" s="43"/>
      <c r="DE116" s="43"/>
      <c r="DF116" s="43"/>
      <c r="DG116" s="43"/>
      <c r="DH116" s="43"/>
      <c r="DI116" s="43"/>
      <c r="DJ116" s="63"/>
    </row>
    <row r="117" spans="1:114" x14ac:dyDescent="0.25">
      <c r="A117" s="43"/>
      <c r="B117" s="63"/>
      <c r="D117" s="43"/>
      <c r="E117" s="43"/>
      <c r="F117" s="43"/>
      <c r="G117" s="43"/>
      <c r="H117" s="43"/>
      <c r="I117" s="43"/>
      <c r="J117" s="63"/>
      <c r="L117" s="43"/>
      <c r="M117" s="43"/>
      <c r="N117" s="43"/>
      <c r="O117" s="43"/>
      <c r="P117" s="43"/>
      <c r="Q117" s="43"/>
      <c r="R117" s="63"/>
      <c r="T117" s="43"/>
      <c r="U117" s="43"/>
      <c r="V117" s="43"/>
      <c r="W117" s="43"/>
      <c r="X117" s="43"/>
      <c r="Y117" s="43"/>
      <c r="Z117" s="63"/>
      <c r="AB117" s="43"/>
      <c r="AC117" s="43"/>
      <c r="AD117" s="43"/>
      <c r="AE117" s="43"/>
      <c r="AF117" s="43"/>
      <c r="AG117" s="43"/>
      <c r="AH117" s="63"/>
      <c r="AJ117" s="43"/>
      <c r="AK117" s="43"/>
      <c r="AL117" s="43"/>
      <c r="AM117" s="43"/>
      <c r="AN117" s="43"/>
      <c r="AO117" s="43"/>
      <c r="AP117" s="63"/>
      <c r="AR117" s="43"/>
      <c r="AS117" s="43"/>
      <c r="AT117" s="43"/>
      <c r="AU117" s="43"/>
      <c r="AV117" s="43"/>
      <c r="AW117" s="43"/>
      <c r="AX117" s="63"/>
      <c r="AZ117" s="43"/>
      <c r="BA117" s="43"/>
      <c r="BB117" s="43"/>
      <c r="BC117" s="43"/>
      <c r="BD117" s="43"/>
      <c r="BE117" s="43"/>
      <c r="BF117" s="63"/>
      <c r="BH117" s="43"/>
      <c r="BI117" s="43"/>
      <c r="BJ117" s="43"/>
      <c r="BK117" s="43"/>
      <c r="BL117" s="43"/>
      <c r="BM117" s="43"/>
      <c r="BN117" s="63"/>
      <c r="BP117" s="43"/>
      <c r="BQ117" s="43"/>
      <c r="BR117" s="43"/>
      <c r="BS117" s="43"/>
      <c r="BT117" s="43"/>
      <c r="BU117" s="43"/>
      <c r="BV117" s="63"/>
      <c r="BX117" s="43"/>
      <c r="BY117" s="43"/>
      <c r="BZ117" s="43"/>
      <c r="CA117" s="43"/>
      <c r="CB117" s="43"/>
      <c r="CC117" s="43"/>
      <c r="CD117" s="63"/>
      <c r="CF117" s="43"/>
      <c r="CG117" s="43"/>
      <c r="CH117" s="43"/>
      <c r="CI117" s="43"/>
      <c r="CJ117" s="43"/>
      <c r="CK117" s="43"/>
      <c r="CL117" s="63"/>
      <c r="CN117" s="43"/>
      <c r="CO117" s="43"/>
      <c r="CP117" s="43"/>
      <c r="CQ117" s="43"/>
      <c r="CR117" s="43"/>
      <c r="CS117" s="43"/>
      <c r="CT117" s="63"/>
      <c r="CV117" s="43"/>
      <c r="CW117" s="43"/>
      <c r="CX117" s="43"/>
      <c r="CY117" s="43"/>
      <c r="CZ117" s="43"/>
      <c r="DA117" s="43"/>
      <c r="DB117" s="63"/>
      <c r="DD117" s="43"/>
      <c r="DE117" s="43"/>
      <c r="DF117" s="43"/>
      <c r="DG117" s="43"/>
      <c r="DH117" s="43"/>
      <c r="DI117" s="43"/>
      <c r="DJ117" s="63"/>
    </row>
    <row r="118" spans="1:114" x14ac:dyDescent="0.25">
      <c r="A118" s="43"/>
      <c r="B118" s="63"/>
      <c r="D118" s="43"/>
      <c r="E118" s="43"/>
      <c r="F118" s="43"/>
      <c r="G118" s="43"/>
      <c r="H118" s="43"/>
      <c r="I118" s="43"/>
      <c r="J118" s="63"/>
      <c r="L118" s="43"/>
      <c r="M118" s="43"/>
      <c r="N118" s="43"/>
      <c r="O118" s="43"/>
      <c r="P118" s="43"/>
      <c r="Q118" s="43"/>
      <c r="R118" s="63"/>
      <c r="T118" s="43"/>
      <c r="U118" s="43"/>
      <c r="V118" s="43"/>
      <c r="W118" s="43"/>
      <c r="X118" s="43"/>
      <c r="Y118" s="43"/>
      <c r="Z118" s="63"/>
      <c r="AB118" s="43"/>
      <c r="AC118" s="43"/>
      <c r="AD118" s="43"/>
      <c r="AE118" s="43"/>
      <c r="AF118" s="43"/>
      <c r="AG118" s="43"/>
      <c r="AH118" s="63"/>
      <c r="AJ118" s="43"/>
      <c r="AK118" s="43"/>
      <c r="AL118" s="43"/>
      <c r="AM118" s="43"/>
      <c r="AN118" s="43"/>
      <c r="AO118" s="43"/>
      <c r="AP118" s="63"/>
      <c r="AR118" s="43"/>
      <c r="AS118" s="43"/>
      <c r="AT118" s="43"/>
      <c r="AU118" s="43"/>
      <c r="AV118" s="43"/>
      <c r="AW118" s="43"/>
      <c r="AX118" s="63"/>
      <c r="AZ118" s="43"/>
      <c r="BA118" s="43"/>
      <c r="BB118" s="43"/>
      <c r="BC118" s="43"/>
      <c r="BD118" s="43"/>
      <c r="BE118" s="43"/>
      <c r="BF118" s="63"/>
      <c r="BH118" s="43"/>
      <c r="BI118" s="43"/>
      <c r="BJ118" s="43"/>
      <c r="BK118" s="43"/>
      <c r="BL118" s="43"/>
      <c r="BM118" s="43"/>
      <c r="BN118" s="63"/>
      <c r="BP118" s="43"/>
      <c r="BQ118" s="43"/>
      <c r="BR118" s="43"/>
      <c r="BS118" s="43"/>
      <c r="BT118" s="43"/>
      <c r="BU118" s="43"/>
      <c r="BV118" s="63"/>
      <c r="BX118" s="43"/>
      <c r="BY118" s="43"/>
      <c r="BZ118" s="43"/>
      <c r="CA118" s="43"/>
      <c r="CB118" s="43"/>
      <c r="CC118" s="43"/>
      <c r="CD118" s="63"/>
      <c r="CF118" s="43"/>
      <c r="CG118" s="43"/>
      <c r="CH118" s="43"/>
      <c r="CI118" s="43"/>
      <c r="CJ118" s="43"/>
      <c r="CK118" s="43"/>
      <c r="CL118" s="63"/>
      <c r="CN118" s="43"/>
      <c r="CO118" s="43"/>
      <c r="CP118" s="43"/>
      <c r="CQ118" s="43"/>
      <c r="CR118" s="43"/>
      <c r="CS118" s="43"/>
      <c r="CT118" s="63"/>
      <c r="CV118" s="43"/>
      <c r="CW118" s="43"/>
      <c r="CX118" s="43"/>
      <c r="CY118" s="43"/>
      <c r="CZ118" s="43"/>
      <c r="DA118" s="43"/>
      <c r="DB118" s="63"/>
      <c r="DD118" s="43"/>
      <c r="DE118" s="43"/>
      <c r="DF118" s="43"/>
      <c r="DG118" s="43"/>
      <c r="DH118" s="43"/>
      <c r="DI118" s="43"/>
      <c r="DJ118" s="63"/>
    </row>
    <row r="119" spans="1:114" x14ac:dyDescent="0.25">
      <c r="A119" s="43"/>
      <c r="B119" s="63"/>
      <c r="D119" s="43"/>
      <c r="E119" s="43"/>
      <c r="F119" s="43"/>
      <c r="G119" s="43"/>
      <c r="H119" s="43"/>
      <c r="I119" s="43"/>
      <c r="J119" s="63"/>
      <c r="L119" s="43"/>
      <c r="M119" s="43"/>
      <c r="N119" s="43"/>
      <c r="O119" s="43"/>
      <c r="P119" s="43"/>
      <c r="Q119" s="43"/>
      <c r="R119" s="63"/>
      <c r="T119" s="43"/>
      <c r="U119" s="43"/>
      <c r="V119" s="43"/>
      <c r="W119" s="43"/>
      <c r="X119" s="43"/>
      <c r="Y119" s="43"/>
      <c r="Z119" s="63"/>
      <c r="AB119" s="43"/>
      <c r="AC119" s="43"/>
      <c r="AD119" s="43"/>
      <c r="AE119" s="43"/>
      <c r="AF119" s="43"/>
      <c r="AG119" s="43"/>
      <c r="AH119" s="63"/>
      <c r="AJ119" s="43"/>
      <c r="AK119" s="43"/>
      <c r="AL119" s="43"/>
      <c r="AM119" s="43"/>
      <c r="AN119" s="43"/>
      <c r="AO119" s="43"/>
      <c r="AP119" s="63"/>
      <c r="AR119" s="43"/>
      <c r="AS119" s="43"/>
      <c r="AT119" s="43"/>
      <c r="AU119" s="43"/>
      <c r="AV119" s="43"/>
      <c r="AW119" s="43"/>
      <c r="AX119" s="63"/>
      <c r="AZ119" s="43"/>
      <c r="BA119" s="43"/>
      <c r="BB119" s="43"/>
      <c r="BC119" s="43"/>
      <c r="BD119" s="43"/>
      <c r="BE119" s="43"/>
      <c r="BF119" s="63"/>
      <c r="BH119" s="43"/>
      <c r="BI119" s="43"/>
      <c r="BJ119" s="43"/>
      <c r="BK119" s="43"/>
      <c r="BL119" s="43"/>
      <c r="BM119" s="43"/>
      <c r="BN119" s="63"/>
      <c r="BP119" s="43"/>
      <c r="BQ119" s="43"/>
      <c r="BR119" s="43"/>
      <c r="BS119" s="43"/>
      <c r="BT119" s="43"/>
      <c r="BU119" s="43"/>
      <c r="BV119" s="63"/>
      <c r="BX119" s="43"/>
      <c r="BY119" s="43"/>
      <c r="BZ119" s="43"/>
      <c r="CA119" s="43"/>
      <c r="CB119" s="43"/>
      <c r="CC119" s="43"/>
      <c r="CD119" s="63"/>
      <c r="CF119" s="43"/>
      <c r="CG119" s="43"/>
      <c r="CH119" s="43"/>
      <c r="CI119" s="43"/>
      <c r="CJ119" s="43"/>
      <c r="CK119" s="43"/>
      <c r="CL119" s="63"/>
      <c r="CN119" s="43"/>
      <c r="CO119" s="43"/>
      <c r="CP119" s="43"/>
      <c r="CQ119" s="43"/>
      <c r="CR119" s="43"/>
      <c r="CS119" s="43"/>
      <c r="CT119" s="63"/>
      <c r="CV119" s="43"/>
      <c r="CW119" s="43"/>
      <c r="CX119" s="43"/>
      <c r="CY119" s="43"/>
      <c r="CZ119" s="43"/>
      <c r="DA119" s="43"/>
      <c r="DB119" s="63"/>
      <c r="DD119" s="43"/>
      <c r="DE119" s="43"/>
      <c r="DF119" s="43"/>
      <c r="DG119" s="43"/>
      <c r="DH119" s="43"/>
      <c r="DI119" s="43"/>
      <c r="DJ119" s="63"/>
    </row>
    <row r="120" spans="1:114" x14ac:dyDescent="0.25">
      <c r="A120" s="43"/>
      <c r="B120" s="63"/>
      <c r="D120" s="43"/>
      <c r="E120" s="43"/>
      <c r="F120" s="43"/>
      <c r="G120" s="43"/>
      <c r="H120" s="43"/>
      <c r="I120" s="43"/>
      <c r="J120" s="63"/>
      <c r="L120" s="43"/>
      <c r="M120" s="43"/>
      <c r="N120" s="43"/>
      <c r="O120" s="43"/>
      <c r="P120" s="43"/>
      <c r="Q120" s="43"/>
      <c r="R120" s="63"/>
      <c r="T120" s="43"/>
      <c r="U120" s="43"/>
      <c r="V120" s="43"/>
      <c r="W120" s="43"/>
      <c r="X120" s="43"/>
      <c r="Y120" s="43"/>
      <c r="Z120" s="63"/>
      <c r="AB120" s="43"/>
      <c r="AC120" s="43"/>
      <c r="AD120" s="43"/>
      <c r="AE120" s="43"/>
      <c r="AF120" s="43"/>
      <c r="AG120" s="43"/>
      <c r="AH120" s="63"/>
      <c r="AJ120" s="43"/>
      <c r="AK120" s="43"/>
      <c r="AL120" s="43"/>
      <c r="AM120" s="43"/>
      <c r="AN120" s="43"/>
      <c r="AO120" s="43"/>
      <c r="AP120" s="63"/>
      <c r="AR120" s="43"/>
      <c r="AS120" s="43"/>
      <c r="AT120" s="43"/>
      <c r="AU120" s="43"/>
      <c r="AV120" s="43"/>
      <c r="AW120" s="43"/>
      <c r="AX120" s="63"/>
      <c r="AZ120" s="43"/>
      <c r="BA120" s="43"/>
      <c r="BB120" s="43"/>
      <c r="BC120" s="43"/>
      <c r="BD120" s="43"/>
      <c r="BE120" s="43"/>
      <c r="BF120" s="63"/>
      <c r="BH120" s="43"/>
      <c r="BI120" s="43"/>
      <c r="BJ120" s="43"/>
      <c r="BK120" s="43"/>
      <c r="BL120" s="43"/>
      <c r="BM120" s="43"/>
      <c r="BN120" s="63"/>
      <c r="BP120" s="43"/>
      <c r="BQ120" s="43"/>
      <c r="BR120" s="43"/>
      <c r="BS120" s="43"/>
      <c r="BT120" s="43"/>
      <c r="BU120" s="43"/>
      <c r="BV120" s="63"/>
      <c r="BX120" s="43"/>
      <c r="BY120" s="43"/>
      <c r="BZ120" s="43"/>
      <c r="CA120" s="43"/>
      <c r="CB120" s="43"/>
      <c r="CC120" s="43"/>
      <c r="CD120" s="63"/>
      <c r="CF120" s="43"/>
      <c r="CG120" s="43"/>
      <c r="CH120" s="43"/>
      <c r="CI120" s="43"/>
      <c r="CJ120" s="43"/>
      <c r="CK120" s="43"/>
      <c r="CL120" s="63"/>
      <c r="CN120" s="43"/>
      <c r="CO120" s="43"/>
      <c r="CP120" s="43"/>
      <c r="CQ120" s="43"/>
      <c r="CR120" s="43"/>
      <c r="CS120" s="43"/>
      <c r="CT120" s="63"/>
      <c r="CV120" s="43"/>
      <c r="CW120" s="43"/>
      <c r="CX120" s="43"/>
      <c r="CY120" s="43"/>
      <c r="CZ120" s="43"/>
      <c r="DA120" s="43"/>
      <c r="DB120" s="63"/>
      <c r="DD120" s="43"/>
      <c r="DE120" s="43"/>
      <c r="DF120" s="43"/>
      <c r="DG120" s="43"/>
      <c r="DH120" s="43"/>
      <c r="DI120" s="43"/>
      <c r="DJ120" s="63"/>
    </row>
    <row r="121" spans="1:114" x14ac:dyDescent="0.25">
      <c r="A121" s="43"/>
      <c r="B121" s="63"/>
      <c r="D121" s="43"/>
      <c r="E121" s="43"/>
      <c r="F121" s="43"/>
      <c r="G121" s="43"/>
      <c r="H121" s="43"/>
      <c r="I121" s="43"/>
      <c r="J121" s="63"/>
      <c r="L121" s="43"/>
      <c r="M121" s="43"/>
      <c r="N121" s="43"/>
      <c r="O121" s="43"/>
      <c r="P121" s="43"/>
      <c r="Q121" s="43"/>
      <c r="R121" s="63"/>
      <c r="T121" s="43"/>
      <c r="U121" s="43"/>
      <c r="V121" s="43"/>
      <c r="W121" s="43"/>
      <c r="X121" s="43"/>
      <c r="Y121" s="43"/>
      <c r="Z121" s="63"/>
      <c r="AB121" s="43"/>
      <c r="AC121" s="43"/>
      <c r="AD121" s="43"/>
      <c r="AE121" s="43"/>
      <c r="AF121" s="43"/>
      <c r="AG121" s="43"/>
      <c r="AH121" s="63"/>
      <c r="AJ121" s="43"/>
      <c r="AK121" s="43"/>
      <c r="AL121" s="43"/>
      <c r="AM121" s="43"/>
      <c r="AN121" s="43"/>
      <c r="AO121" s="43"/>
      <c r="AP121" s="63"/>
      <c r="AR121" s="43"/>
      <c r="AS121" s="43"/>
      <c r="AT121" s="43"/>
      <c r="AU121" s="43"/>
      <c r="AV121" s="43"/>
      <c r="AW121" s="43"/>
      <c r="AX121" s="63"/>
      <c r="AZ121" s="43"/>
      <c r="BA121" s="43"/>
      <c r="BB121" s="43"/>
      <c r="BC121" s="43"/>
      <c r="BD121" s="43"/>
      <c r="BE121" s="43"/>
      <c r="BF121" s="63"/>
      <c r="BH121" s="43"/>
      <c r="BI121" s="43"/>
      <c r="BJ121" s="43"/>
      <c r="BK121" s="43"/>
      <c r="BL121" s="43"/>
      <c r="BM121" s="43"/>
      <c r="BN121" s="63"/>
      <c r="BP121" s="43"/>
      <c r="BQ121" s="43"/>
      <c r="BR121" s="43"/>
      <c r="BS121" s="43"/>
      <c r="BT121" s="43"/>
      <c r="BU121" s="43"/>
      <c r="BV121" s="63"/>
      <c r="BX121" s="43"/>
      <c r="BY121" s="43"/>
      <c r="BZ121" s="43"/>
      <c r="CA121" s="43"/>
      <c r="CB121" s="43"/>
      <c r="CC121" s="43"/>
      <c r="CD121" s="63"/>
      <c r="CF121" s="43"/>
      <c r="CG121" s="43"/>
      <c r="CH121" s="43"/>
      <c r="CI121" s="43"/>
      <c r="CJ121" s="43"/>
      <c r="CK121" s="43"/>
      <c r="CL121" s="63"/>
      <c r="CN121" s="43"/>
      <c r="CO121" s="43"/>
      <c r="CP121" s="43"/>
      <c r="CQ121" s="43"/>
      <c r="CR121" s="43"/>
      <c r="CS121" s="43"/>
      <c r="CT121" s="63"/>
      <c r="CV121" s="43"/>
      <c r="CW121" s="43"/>
      <c r="CX121" s="43"/>
      <c r="CY121" s="43"/>
      <c r="CZ121" s="43"/>
      <c r="DA121" s="43"/>
      <c r="DB121" s="63"/>
      <c r="DD121" s="43"/>
      <c r="DE121" s="43"/>
      <c r="DF121" s="43"/>
      <c r="DG121" s="43"/>
      <c r="DH121" s="43"/>
      <c r="DI121" s="43"/>
      <c r="DJ121" s="63"/>
    </row>
    <row r="122" spans="1:114" x14ac:dyDescent="0.25">
      <c r="A122" s="43"/>
      <c r="B122" s="63"/>
      <c r="D122" s="43"/>
      <c r="E122" s="43"/>
      <c r="F122" s="43"/>
      <c r="G122" s="43"/>
      <c r="H122" s="43"/>
      <c r="I122" s="43"/>
      <c r="J122" s="63"/>
      <c r="L122" s="43"/>
      <c r="M122" s="43"/>
      <c r="N122" s="43"/>
      <c r="O122" s="43"/>
      <c r="P122" s="43"/>
      <c r="Q122" s="43"/>
      <c r="R122" s="63"/>
      <c r="T122" s="43"/>
      <c r="U122" s="43"/>
      <c r="V122" s="43"/>
      <c r="W122" s="43"/>
      <c r="X122" s="43"/>
      <c r="Y122" s="43"/>
      <c r="Z122" s="63"/>
      <c r="AB122" s="43"/>
      <c r="AC122" s="43"/>
      <c r="AD122" s="43"/>
      <c r="AE122" s="43"/>
      <c r="AF122" s="43"/>
      <c r="AG122" s="43"/>
      <c r="AH122" s="63"/>
      <c r="AJ122" s="43"/>
      <c r="AK122" s="43"/>
      <c r="AL122" s="43"/>
      <c r="AM122" s="43"/>
      <c r="AN122" s="43"/>
      <c r="AO122" s="43"/>
      <c r="AP122" s="63"/>
      <c r="AR122" s="43"/>
      <c r="AS122" s="43"/>
      <c r="AT122" s="43"/>
      <c r="AU122" s="43"/>
      <c r="AV122" s="43"/>
      <c r="AW122" s="43"/>
      <c r="AX122" s="63"/>
      <c r="AZ122" s="43"/>
      <c r="BA122" s="43"/>
      <c r="BB122" s="43"/>
      <c r="BC122" s="43"/>
      <c r="BD122" s="43"/>
      <c r="BE122" s="43"/>
      <c r="BF122" s="63"/>
      <c r="BH122" s="43"/>
      <c r="BI122" s="43"/>
      <c r="BJ122" s="43"/>
      <c r="BK122" s="43"/>
      <c r="BL122" s="43"/>
      <c r="BM122" s="43"/>
      <c r="BN122" s="63"/>
      <c r="BP122" s="43"/>
      <c r="BQ122" s="43"/>
      <c r="BR122" s="43"/>
      <c r="BS122" s="43"/>
      <c r="BT122" s="43"/>
      <c r="BU122" s="43"/>
      <c r="BV122" s="63"/>
      <c r="BX122" s="43"/>
      <c r="BY122" s="43"/>
      <c r="BZ122" s="43"/>
      <c r="CA122" s="43"/>
      <c r="CB122" s="43"/>
      <c r="CC122" s="43"/>
      <c r="CD122" s="63"/>
      <c r="CF122" s="43"/>
      <c r="CG122" s="43"/>
      <c r="CH122" s="43"/>
      <c r="CI122" s="43"/>
      <c r="CJ122" s="43"/>
      <c r="CK122" s="43"/>
      <c r="CL122" s="63"/>
      <c r="CN122" s="43"/>
      <c r="CO122" s="43"/>
      <c r="CP122" s="43"/>
      <c r="CQ122" s="43"/>
      <c r="CR122" s="43"/>
      <c r="CS122" s="43"/>
      <c r="CT122" s="63"/>
      <c r="CV122" s="43"/>
      <c r="CW122" s="43"/>
      <c r="CX122" s="43"/>
      <c r="CY122" s="43"/>
      <c r="CZ122" s="43"/>
      <c r="DA122" s="43"/>
      <c r="DB122" s="63"/>
      <c r="DD122" s="43"/>
      <c r="DE122" s="43"/>
      <c r="DF122" s="43"/>
      <c r="DG122" s="43"/>
      <c r="DH122" s="43"/>
      <c r="DI122" s="43"/>
      <c r="DJ122" s="63"/>
    </row>
    <row r="123" spans="1:114" x14ac:dyDescent="0.25">
      <c r="A123" s="43"/>
      <c r="B123" s="63"/>
      <c r="D123" s="43"/>
      <c r="E123" s="43"/>
      <c r="F123" s="43"/>
      <c r="G123" s="43"/>
      <c r="H123" s="43"/>
      <c r="I123" s="43"/>
      <c r="J123" s="63"/>
      <c r="L123" s="43"/>
      <c r="M123" s="43"/>
      <c r="N123" s="43"/>
      <c r="O123" s="43"/>
      <c r="P123" s="43"/>
      <c r="Q123" s="43"/>
      <c r="R123" s="63"/>
      <c r="T123" s="43"/>
      <c r="U123" s="43"/>
      <c r="V123" s="43"/>
      <c r="W123" s="43"/>
      <c r="X123" s="43"/>
      <c r="Y123" s="43"/>
      <c r="Z123" s="63"/>
      <c r="AB123" s="43"/>
      <c r="AC123" s="43"/>
      <c r="AD123" s="43"/>
      <c r="AE123" s="43"/>
      <c r="AF123" s="43"/>
      <c r="AG123" s="43"/>
      <c r="AH123" s="63"/>
      <c r="AJ123" s="43"/>
      <c r="AK123" s="43"/>
      <c r="AL123" s="43"/>
      <c r="AM123" s="43"/>
      <c r="AN123" s="43"/>
      <c r="AO123" s="43"/>
      <c r="AP123" s="63"/>
      <c r="AR123" s="43"/>
      <c r="AS123" s="43"/>
      <c r="AT123" s="43"/>
      <c r="AU123" s="43"/>
      <c r="AV123" s="43"/>
      <c r="AW123" s="43"/>
      <c r="AX123" s="63"/>
      <c r="AZ123" s="43"/>
      <c r="BA123" s="43"/>
      <c r="BB123" s="43"/>
      <c r="BC123" s="43"/>
      <c r="BD123" s="43"/>
      <c r="BE123" s="43"/>
      <c r="BF123" s="63"/>
      <c r="BH123" s="43"/>
      <c r="BI123" s="43"/>
      <c r="BJ123" s="43"/>
      <c r="BK123" s="43"/>
      <c r="BL123" s="43"/>
      <c r="BM123" s="43"/>
      <c r="BN123" s="63"/>
      <c r="BP123" s="43"/>
      <c r="BQ123" s="43"/>
      <c r="BR123" s="43"/>
      <c r="BS123" s="43"/>
      <c r="BT123" s="43"/>
      <c r="BU123" s="43"/>
      <c r="BV123" s="63"/>
      <c r="BX123" s="43"/>
      <c r="BY123" s="43"/>
      <c r="BZ123" s="43"/>
      <c r="CA123" s="43"/>
      <c r="CB123" s="43"/>
      <c r="CC123" s="43"/>
      <c r="CD123" s="63"/>
      <c r="CF123" s="43"/>
      <c r="CG123" s="43"/>
      <c r="CH123" s="43"/>
      <c r="CI123" s="43"/>
      <c r="CJ123" s="43"/>
      <c r="CK123" s="43"/>
      <c r="CL123" s="63"/>
      <c r="CN123" s="43"/>
      <c r="CO123" s="43"/>
      <c r="CP123" s="43"/>
      <c r="CQ123" s="43"/>
      <c r="CR123" s="43"/>
      <c r="CS123" s="43"/>
      <c r="CT123" s="63"/>
      <c r="CV123" s="43"/>
      <c r="CW123" s="43"/>
      <c r="CX123" s="43"/>
      <c r="CY123" s="43"/>
      <c r="CZ123" s="43"/>
      <c r="DA123" s="43"/>
      <c r="DB123" s="63"/>
      <c r="DD123" s="43"/>
      <c r="DE123" s="43"/>
      <c r="DF123" s="43"/>
      <c r="DG123" s="43"/>
      <c r="DH123" s="43"/>
      <c r="DI123" s="43"/>
      <c r="DJ123" s="63"/>
    </row>
    <row r="124" spans="1:114" x14ac:dyDescent="0.25">
      <c r="A124" s="43"/>
      <c r="B124" s="63"/>
      <c r="D124" s="43"/>
      <c r="E124" s="43"/>
      <c r="F124" s="43"/>
      <c r="G124" s="43"/>
      <c r="H124" s="43"/>
      <c r="I124" s="43"/>
      <c r="J124" s="63"/>
      <c r="L124" s="43"/>
      <c r="M124" s="43"/>
      <c r="N124" s="43"/>
      <c r="O124" s="43"/>
      <c r="P124" s="43"/>
      <c r="Q124" s="43"/>
      <c r="R124" s="63"/>
      <c r="T124" s="43"/>
      <c r="U124" s="43"/>
      <c r="V124" s="43"/>
      <c r="W124" s="43"/>
      <c r="X124" s="43"/>
      <c r="Y124" s="43"/>
      <c r="Z124" s="63"/>
      <c r="AB124" s="43"/>
      <c r="AC124" s="43"/>
      <c r="AD124" s="43"/>
      <c r="AE124" s="43"/>
      <c r="AF124" s="43"/>
      <c r="AG124" s="43"/>
      <c r="AH124" s="63"/>
      <c r="AJ124" s="43"/>
      <c r="AK124" s="43"/>
      <c r="AL124" s="43"/>
      <c r="AM124" s="43"/>
      <c r="AN124" s="43"/>
      <c r="AO124" s="43"/>
      <c r="AP124" s="63"/>
      <c r="AR124" s="43"/>
      <c r="AS124" s="43"/>
      <c r="AT124" s="43"/>
      <c r="AU124" s="43"/>
      <c r="AV124" s="43"/>
      <c r="AW124" s="43"/>
      <c r="AX124" s="63"/>
      <c r="AZ124" s="43"/>
      <c r="BA124" s="43"/>
      <c r="BB124" s="43"/>
      <c r="BC124" s="43"/>
      <c r="BD124" s="43"/>
      <c r="BE124" s="43"/>
      <c r="BF124" s="63"/>
      <c r="BH124" s="43"/>
      <c r="BI124" s="43"/>
      <c r="BJ124" s="43"/>
      <c r="BK124" s="43"/>
      <c r="BL124" s="43"/>
      <c r="BM124" s="43"/>
      <c r="BN124" s="63"/>
      <c r="BP124" s="43"/>
      <c r="BQ124" s="43"/>
      <c r="BR124" s="43"/>
      <c r="BS124" s="43"/>
      <c r="BT124" s="43"/>
      <c r="BU124" s="43"/>
      <c r="BV124" s="63"/>
      <c r="BX124" s="43"/>
      <c r="BY124" s="43"/>
      <c r="BZ124" s="43"/>
      <c r="CA124" s="43"/>
      <c r="CB124" s="43"/>
      <c r="CC124" s="43"/>
      <c r="CD124" s="63"/>
      <c r="CF124" s="43"/>
      <c r="CG124" s="43"/>
      <c r="CH124" s="43"/>
      <c r="CI124" s="43"/>
      <c r="CJ124" s="43"/>
      <c r="CK124" s="43"/>
      <c r="CL124" s="63"/>
      <c r="CN124" s="43"/>
      <c r="CO124" s="43"/>
      <c r="CP124" s="43"/>
      <c r="CQ124" s="43"/>
      <c r="CR124" s="43"/>
      <c r="CS124" s="43"/>
      <c r="CT124" s="63"/>
      <c r="CV124" s="43"/>
      <c r="CW124" s="43"/>
      <c r="CX124" s="43"/>
      <c r="CY124" s="43"/>
      <c r="CZ124" s="43"/>
      <c r="DA124" s="43"/>
      <c r="DB124" s="63"/>
      <c r="DD124" s="43"/>
      <c r="DE124" s="43"/>
      <c r="DF124" s="43"/>
      <c r="DG124" s="43"/>
      <c r="DH124" s="43"/>
      <c r="DI124" s="43"/>
      <c r="DJ124" s="63"/>
    </row>
    <row r="125" spans="1:114" x14ac:dyDescent="0.25">
      <c r="A125" s="43"/>
      <c r="B125" s="63"/>
      <c r="D125" s="43"/>
      <c r="E125" s="43"/>
      <c r="F125" s="43"/>
      <c r="G125" s="43"/>
      <c r="H125" s="43"/>
      <c r="I125" s="43"/>
      <c r="J125" s="63"/>
      <c r="L125" s="43"/>
      <c r="M125" s="43"/>
      <c r="N125" s="43"/>
      <c r="O125" s="43"/>
      <c r="P125" s="43"/>
      <c r="Q125" s="43"/>
      <c r="R125" s="63"/>
      <c r="T125" s="43"/>
      <c r="U125" s="43"/>
      <c r="V125" s="43"/>
      <c r="W125" s="43"/>
      <c r="X125" s="43"/>
      <c r="Y125" s="43"/>
      <c r="Z125" s="63"/>
      <c r="AB125" s="43"/>
      <c r="AC125" s="43"/>
      <c r="AD125" s="43"/>
      <c r="AE125" s="43"/>
      <c r="AF125" s="43"/>
      <c r="AG125" s="43"/>
      <c r="AH125" s="63"/>
      <c r="AJ125" s="43"/>
      <c r="AK125" s="43"/>
      <c r="AL125" s="43"/>
      <c r="AM125" s="43"/>
      <c r="AN125" s="43"/>
      <c r="AO125" s="43"/>
      <c r="AP125" s="63"/>
      <c r="AR125" s="43"/>
      <c r="AS125" s="43"/>
      <c r="AT125" s="43"/>
      <c r="AU125" s="43"/>
      <c r="AV125" s="43"/>
      <c r="AW125" s="43"/>
      <c r="AX125" s="63"/>
      <c r="AZ125" s="43"/>
      <c r="BA125" s="43"/>
      <c r="BB125" s="43"/>
      <c r="BC125" s="43"/>
      <c r="BD125" s="43"/>
      <c r="BE125" s="43"/>
      <c r="BF125" s="63"/>
      <c r="BH125" s="43"/>
      <c r="BI125" s="43"/>
      <c r="BJ125" s="43"/>
      <c r="BK125" s="43"/>
      <c r="BL125" s="43"/>
      <c r="BM125" s="43"/>
      <c r="BN125" s="63"/>
      <c r="BP125" s="43"/>
      <c r="BQ125" s="43"/>
      <c r="BR125" s="43"/>
      <c r="BS125" s="43"/>
      <c r="BT125" s="43"/>
      <c r="BU125" s="43"/>
      <c r="BV125" s="63"/>
      <c r="BX125" s="43"/>
      <c r="BY125" s="43"/>
      <c r="BZ125" s="43"/>
      <c r="CA125" s="43"/>
      <c r="CB125" s="43"/>
      <c r="CC125" s="43"/>
      <c r="CD125" s="63"/>
      <c r="CF125" s="43"/>
      <c r="CG125" s="43"/>
      <c r="CH125" s="43"/>
      <c r="CI125" s="43"/>
      <c r="CJ125" s="43"/>
      <c r="CK125" s="43"/>
      <c r="CL125" s="63"/>
      <c r="CN125" s="43"/>
      <c r="CO125" s="43"/>
      <c r="CP125" s="43"/>
      <c r="CQ125" s="43"/>
      <c r="CR125" s="43"/>
      <c r="CS125" s="43"/>
      <c r="CT125" s="63"/>
      <c r="CV125" s="43"/>
      <c r="CW125" s="43"/>
      <c r="CX125" s="43"/>
      <c r="CY125" s="43"/>
      <c r="CZ125" s="43"/>
      <c r="DA125" s="43"/>
      <c r="DB125" s="63"/>
      <c r="DD125" s="43"/>
      <c r="DE125" s="43"/>
      <c r="DF125" s="43"/>
      <c r="DG125" s="43"/>
      <c r="DH125" s="43"/>
      <c r="DI125" s="43"/>
      <c r="DJ125" s="63"/>
    </row>
    <row r="126" spans="1:114" x14ac:dyDescent="0.25">
      <c r="A126" s="43"/>
      <c r="B126" s="63"/>
      <c r="D126" s="43"/>
      <c r="E126" s="43"/>
      <c r="F126" s="43"/>
      <c r="G126" s="43"/>
      <c r="H126" s="43"/>
      <c r="I126" s="43"/>
      <c r="J126" s="63"/>
      <c r="L126" s="43"/>
      <c r="M126" s="43"/>
      <c r="N126" s="43"/>
      <c r="O126" s="43"/>
      <c r="P126" s="43"/>
      <c r="Q126" s="43"/>
      <c r="R126" s="63"/>
      <c r="T126" s="43"/>
      <c r="U126" s="43"/>
      <c r="V126" s="43"/>
      <c r="W126" s="43"/>
      <c r="X126" s="43"/>
      <c r="Y126" s="43"/>
      <c r="Z126" s="63"/>
      <c r="AB126" s="43"/>
      <c r="AC126" s="43"/>
      <c r="AD126" s="43"/>
      <c r="AE126" s="43"/>
      <c r="AF126" s="43"/>
      <c r="AG126" s="43"/>
      <c r="AH126" s="63"/>
      <c r="AJ126" s="43"/>
      <c r="AK126" s="43"/>
      <c r="AL126" s="43"/>
      <c r="AM126" s="43"/>
      <c r="AN126" s="43"/>
      <c r="AO126" s="43"/>
      <c r="AP126" s="63"/>
      <c r="AR126" s="43"/>
      <c r="AS126" s="43"/>
      <c r="AT126" s="43"/>
      <c r="AU126" s="43"/>
      <c r="AV126" s="43"/>
      <c r="AW126" s="43"/>
      <c r="AX126" s="63"/>
      <c r="AZ126" s="43"/>
      <c r="BA126" s="43"/>
      <c r="BB126" s="43"/>
      <c r="BC126" s="43"/>
      <c r="BD126" s="43"/>
      <c r="BE126" s="43"/>
      <c r="BF126" s="63"/>
      <c r="BH126" s="43"/>
      <c r="BI126" s="43"/>
      <c r="BJ126" s="43"/>
      <c r="BK126" s="43"/>
      <c r="BL126" s="43"/>
      <c r="BM126" s="43"/>
      <c r="BN126" s="63"/>
      <c r="BP126" s="43"/>
      <c r="BQ126" s="43"/>
      <c r="BR126" s="43"/>
      <c r="BS126" s="43"/>
      <c r="BT126" s="43"/>
      <c r="BU126" s="43"/>
      <c r="BV126" s="63"/>
      <c r="BX126" s="43"/>
      <c r="BY126" s="43"/>
      <c r="BZ126" s="43"/>
      <c r="CA126" s="43"/>
      <c r="CB126" s="43"/>
      <c r="CC126" s="43"/>
      <c r="CD126" s="63"/>
      <c r="CF126" s="43"/>
      <c r="CG126" s="43"/>
      <c r="CH126" s="43"/>
      <c r="CI126" s="43"/>
      <c r="CJ126" s="43"/>
      <c r="CK126" s="43"/>
      <c r="CL126" s="63"/>
      <c r="CN126" s="43"/>
      <c r="CO126" s="43"/>
      <c r="CP126" s="43"/>
      <c r="CQ126" s="43"/>
      <c r="CR126" s="43"/>
      <c r="CS126" s="43"/>
      <c r="CT126" s="63"/>
      <c r="CV126" s="43"/>
      <c r="CW126" s="43"/>
      <c r="CX126" s="43"/>
      <c r="CY126" s="43"/>
      <c r="CZ126" s="43"/>
      <c r="DA126" s="43"/>
      <c r="DB126" s="63"/>
      <c r="DD126" s="43"/>
      <c r="DE126" s="43"/>
      <c r="DF126" s="43"/>
      <c r="DG126" s="43"/>
      <c r="DH126" s="43"/>
      <c r="DI126" s="43"/>
      <c r="DJ126" s="63"/>
    </row>
    <row r="127" spans="1:114" x14ac:dyDescent="0.25">
      <c r="A127" s="43"/>
      <c r="B127" s="63"/>
      <c r="D127" s="43"/>
      <c r="E127" s="43"/>
      <c r="F127" s="43"/>
      <c r="G127" s="43"/>
      <c r="H127" s="43"/>
      <c r="I127" s="43"/>
      <c r="J127" s="63"/>
      <c r="L127" s="43"/>
      <c r="M127" s="43"/>
      <c r="N127" s="43"/>
      <c r="O127" s="43"/>
      <c r="P127" s="43"/>
      <c r="Q127" s="43"/>
      <c r="R127" s="63"/>
      <c r="T127" s="43"/>
      <c r="U127" s="43"/>
      <c r="V127" s="43"/>
      <c r="W127" s="43"/>
      <c r="X127" s="43"/>
      <c r="Y127" s="43"/>
      <c r="Z127" s="63"/>
      <c r="AB127" s="43"/>
      <c r="AC127" s="43"/>
      <c r="AD127" s="43"/>
      <c r="AE127" s="43"/>
      <c r="AF127" s="43"/>
      <c r="AG127" s="43"/>
      <c r="AH127" s="63"/>
      <c r="AJ127" s="43"/>
      <c r="AK127" s="43"/>
      <c r="AL127" s="43"/>
      <c r="AM127" s="43"/>
      <c r="AN127" s="43"/>
      <c r="AO127" s="43"/>
      <c r="AP127" s="63"/>
      <c r="AR127" s="43"/>
      <c r="AS127" s="43"/>
      <c r="AT127" s="43"/>
      <c r="AU127" s="43"/>
      <c r="AV127" s="43"/>
      <c r="AW127" s="43"/>
      <c r="AX127" s="63"/>
      <c r="AZ127" s="43"/>
      <c r="BA127" s="43"/>
      <c r="BB127" s="43"/>
      <c r="BC127" s="43"/>
      <c r="BD127" s="43"/>
      <c r="BE127" s="43"/>
      <c r="BF127" s="63"/>
      <c r="BH127" s="43"/>
      <c r="BI127" s="43"/>
      <c r="BJ127" s="43"/>
      <c r="BK127" s="43"/>
      <c r="BL127" s="43"/>
      <c r="BM127" s="43"/>
      <c r="BN127" s="63"/>
      <c r="BP127" s="43"/>
      <c r="BQ127" s="43"/>
      <c r="BR127" s="43"/>
      <c r="BS127" s="43"/>
      <c r="BT127" s="43"/>
      <c r="BU127" s="43"/>
      <c r="BV127" s="63"/>
      <c r="BX127" s="43"/>
      <c r="BY127" s="43"/>
      <c r="BZ127" s="43"/>
      <c r="CA127" s="43"/>
      <c r="CB127" s="43"/>
      <c r="CC127" s="43"/>
      <c r="CD127" s="63"/>
      <c r="CF127" s="43"/>
      <c r="CG127" s="43"/>
      <c r="CH127" s="43"/>
      <c r="CI127" s="43"/>
      <c r="CJ127" s="43"/>
      <c r="CK127" s="43"/>
      <c r="CL127" s="63"/>
      <c r="CN127" s="43"/>
      <c r="CO127" s="43"/>
      <c r="CP127" s="43"/>
      <c r="CQ127" s="43"/>
      <c r="CR127" s="43"/>
      <c r="CS127" s="43"/>
      <c r="CT127" s="63"/>
      <c r="CV127" s="43"/>
      <c r="CW127" s="43"/>
      <c r="CX127" s="43"/>
      <c r="CY127" s="43"/>
      <c r="CZ127" s="43"/>
      <c r="DA127" s="43"/>
      <c r="DB127" s="63"/>
      <c r="DD127" s="43"/>
      <c r="DE127" s="43"/>
      <c r="DF127" s="43"/>
      <c r="DG127" s="43"/>
      <c r="DH127" s="43"/>
      <c r="DI127" s="43"/>
      <c r="DJ127" s="63"/>
    </row>
    <row r="128" spans="1:114" x14ac:dyDescent="0.25">
      <c r="A128" s="43"/>
      <c r="B128" s="63"/>
      <c r="D128" s="43"/>
      <c r="E128" s="43"/>
      <c r="F128" s="43"/>
      <c r="G128" s="43"/>
      <c r="H128" s="43"/>
      <c r="I128" s="43"/>
      <c r="J128" s="63"/>
      <c r="L128" s="43"/>
      <c r="M128" s="43"/>
      <c r="N128" s="43"/>
      <c r="O128" s="43"/>
      <c r="P128" s="43"/>
      <c r="Q128" s="43"/>
      <c r="R128" s="63"/>
      <c r="T128" s="43"/>
      <c r="U128" s="43"/>
      <c r="V128" s="43"/>
      <c r="W128" s="43"/>
      <c r="X128" s="43"/>
      <c r="Y128" s="43"/>
      <c r="Z128" s="63"/>
      <c r="AB128" s="43"/>
      <c r="AC128" s="43"/>
      <c r="AD128" s="43"/>
      <c r="AE128" s="43"/>
      <c r="AF128" s="43"/>
      <c r="AG128" s="43"/>
      <c r="AH128" s="63"/>
      <c r="AJ128" s="43"/>
      <c r="AK128" s="43"/>
      <c r="AL128" s="43"/>
      <c r="AM128" s="43"/>
      <c r="AN128" s="43"/>
      <c r="AO128" s="43"/>
      <c r="AP128" s="63"/>
      <c r="AR128" s="43"/>
      <c r="AS128" s="43"/>
      <c r="AT128" s="43"/>
      <c r="AU128" s="43"/>
      <c r="AV128" s="43"/>
      <c r="AW128" s="43"/>
      <c r="AX128" s="63"/>
      <c r="AZ128" s="43"/>
      <c r="BA128" s="43"/>
      <c r="BB128" s="43"/>
      <c r="BC128" s="43"/>
      <c r="BD128" s="43"/>
      <c r="BE128" s="43"/>
      <c r="BF128" s="63"/>
      <c r="BH128" s="43"/>
      <c r="BI128" s="43"/>
      <c r="BJ128" s="43"/>
      <c r="BK128" s="43"/>
      <c r="BL128" s="43"/>
      <c r="BM128" s="43"/>
      <c r="BN128" s="63"/>
      <c r="BP128" s="43"/>
      <c r="BQ128" s="43"/>
      <c r="BR128" s="43"/>
      <c r="BS128" s="43"/>
      <c r="BT128" s="43"/>
      <c r="BU128" s="43"/>
      <c r="BV128" s="63"/>
      <c r="BX128" s="43"/>
      <c r="BY128" s="43"/>
      <c r="BZ128" s="43"/>
      <c r="CA128" s="43"/>
      <c r="CB128" s="43"/>
      <c r="CC128" s="43"/>
      <c r="CD128" s="63"/>
      <c r="CF128" s="43"/>
      <c r="CG128" s="43"/>
      <c r="CH128" s="43"/>
      <c r="CI128" s="43"/>
      <c r="CJ128" s="43"/>
      <c r="CK128" s="43"/>
      <c r="CL128" s="63"/>
      <c r="CN128" s="43"/>
      <c r="CO128" s="43"/>
      <c r="CP128" s="43"/>
      <c r="CQ128" s="43"/>
      <c r="CR128" s="43"/>
      <c r="CS128" s="43"/>
      <c r="CT128" s="63"/>
      <c r="CV128" s="43"/>
      <c r="CW128" s="43"/>
      <c r="CX128" s="43"/>
      <c r="CY128" s="43"/>
      <c r="CZ128" s="43"/>
      <c r="DA128" s="43"/>
      <c r="DB128" s="63"/>
      <c r="DD128" s="43"/>
      <c r="DE128" s="43"/>
      <c r="DF128" s="43"/>
      <c r="DG128" s="43"/>
      <c r="DH128" s="43"/>
      <c r="DI128" s="43"/>
      <c r="DJ128" s="63"/>
    </row>
    <row r="129" spans="1:114" x14ac:dyDescent="0.25">
      <c r="A129" s="43"/>
      <c r="B129" s="63"/>
      <c r="D129" s="43"/>
      <c r="E129" s="43"/>
      <c r="F129" s="43"/>
      <c r="G129" s="43"/>
      <c r="H129" s="43"/>
      <c r="I129" s="43"/>
      <c r="J129" s="63"/>
      <c r="L129" s="43"/>
      <c r="M129" s="43"/>
      <c r="N129" s="43"/>
      <c r="O129" s="43"/>
      <c r="P129" s="43"/>
      <c r="Q129" s="43"/>
      <c r="R129" s="63"/>
      <c r="T129" s="43"/>
      <c r="U129" s="43"/>
      <c r="V129" s="43"/>
      <c r="W129" s="43"/>
      <c r="X129" s="43"/>
      <c r="Y129" s="43"/>
      <c r="Z129" s="63"/>
      <c r="AB129" s="43"/>
      <c r="AC129" s="43"/>
      <c r="AD129" s="43"/>
      <c r="AE129" s="43"/>
      <c r="AF129" s="43"/>
      <c r="AG129" s="43"/>
      <c r="AH129" s="63"/>
      <c r="AJ129" s="43"/>
      <c r="AK129" s="43"/>
      <c r="AL129" s="43"/>
      <c r="AM129" s="43"/>
      <c r="AN129" s="43"/>
      <c r="AO129" s="43"/>
      <c r="AP129" s="63"/>
      <c r="AR129" s="43"/>
      <c r="AS129" s="43"/>
      <c r="AT129" s="43"/>
      <c r="AU129" s="43"/>
      <c r="AV129" s="43"/>
      <c r="AW129" s="43"/>
      <c r="AX129" s="63"/>
      <c r="AZ129" s="43"/>
      <c r="BA129" s="43"/>
      <c r="BB129" s="43"/>
      <c r="BC129" s="43"/>
      <c r="BD129" s="43"/>
      <c r="BE129" s="43"/>
      <c r="BF129" s="63"/>
      <c r="BH129" s="43"/>
      <c r="BI129" s="43"/>
      <c r="BJ129" s="43"/>
      <c r="BK129" s="43"/>
      <c r="BL129" s="43"/>
      <c r="BM129" s="43"/>
      <c r="BN129" s="63"/>
      <c r="BP129" s="43"/>
      <c r="BQ129" s="43"/>
      <c r="BR129" s="43"/>
      <c r="BS129" s="43"/>
      <c r="BT129" s="43"/>
      <c r="BU129" s="43"/>
      <c r="BV129" s="63"/>
      <c r="BX129" s="43"/>
      <c r="BY129" s="43"/>
      <c r="BZ129" s="43"/>
      <c r="CA129" s="43"/>
      <c r="CB129" s="43"/>
      <c r="CC129" s="43"/>
      <c r="CD129" s="63"/>
      <c r="CF129" s="43"/>
      <c r="CG129" s="43"/>
      <c r="CH129" s="43"/>
      <c r="CI129" s="43"/>
      <c r="CJ129" s="43"/>
      <c r="CK129" s="43"/>
      <c r="CL129" s="63"/>
      <c r="CN129" s="43"/>
      <c r="CO129" s="43"/>
      <c r="CP129" s="43"/>
      <c r="CQ129" s="43"/>
      <c r="CR129" s="43"/>
      <c r="CS129" s="43"/>
      <c r="CT129" s="63"/>
      <c r="CV129" s="43"/>
      <c r="CW129" s="43"/>
      <c r="CX129" s="43"/>
      <c r="CY129" s="43"/>
      <c r="CZ129" s="43"/>
      <c r="DA129" s="43"/>
      <c r="DB129" s="63"/>
      <c r="DD129" s="43"/>
      <c r="DE129" s="43"/>
      <c r="DF129" s="43"/>
      <c r="DG129" s="43"/>
      <c r="DH129" s="43"/>
      <c r="DI129" s="43"/>
      <c r="DJ129" s="63"/>
    </row>
    <row r="130" spans="1:114" x14ac:dyDescent="0.25">
      <c r="A130" s="43"/>
      <c r="B130" s="63"/>
      <c r="D130" s="43"/>
      <c r="E130" s="43"/>
      <c r="F130" s="43"/>
      <c r="G130" s="43"/>
      <c r="H130" s="43"/>
      <c r="I130" s="43"/>
      <c r="J130" s="63"/>
      <c r="L130" s="43"/>
      <c r="M130" s="43"/>
      <c r="N130" s="43"/>
      <c r="O130" s="43"/>
      <c r="P130" s="43"/>
      <c r="Q130" s="43"/>
      <c r="R130" s="63"/>
      <c r="T130" s="43"/>
      <c r="U130" s="43"/>
      <c r="V130" s="43"/>
      <c r="W130" s="43"/>
      <c r="X130" s="43"/>
      <c r="Y130" s="43"/>
      <c r="Z130" s="63"/>
      <c r="AB130" s="43"/>
      <c r="AC130" s="43"/>
      <c r="AD130" s="43"/>
      <c r="AE130" s="43"/>
      <c r="AF130" s="43"/>
      <c r="AG130" s="43"/>
      <c r="AH130" s="63"/>
      <c r="AJ130" s="43"/>
      <c r="AK130" s="43"/>
      <c r="AL130" s="43"/>
      <c r="AM130" s="43"/>
      <c r="AN130" s="43"/>
      <c r="AO130" s="43"/>
      <c r="AP130" s="63"/>
      <c r="AR130" s="43"/>
      <c r="AS130" s="43"/>
      <c r="AT130" s="43"/>
      <c r="AU130" s="43"/>
      <c r="AV130" s="43"/>
      <c r="AW130" s="43"/>
      <c r="AX130" s="63"/>
      <c r="AZ130" s="43"/>
      <c r="BA130" s="43"/>
      <c r="BB130" s="43"/>
      <c r="BC130" s="43"/>
      <c r="BD130" s="43"/>
      <c r="BE130" s="43"/>
      <c r="BF130" s="63"/>
      <c r="BH130" s="43"/>
      <c r="BI130" s="43"/>
      <c r="BJ130" s="43"/>
      <c r="BK130" s="43"/>
      <c r="BL130" s="43"/>
      <c r="BM130" s="43"/>
      <c r="BN130" s="63"/>
      <c r="BP130" s="43"/>
      <c r="BQ130" s="43"/>
      <c r="BR130" s="43"/>
      <c r="BS130" s="43"/>
      <c r="BT130" s="43"/>
      <c r="BU130" s="43"/>
      <c r="BV130" s="63"/>
      <c r="BX130" s="43"/>
      <c r="BY130" s="43"/>
      <c r="BZ130" s="43"/>
      <c r="CA130" s="43"/>
      <c r="CB130" s="43"/>
      <c r="CC130" s="43"/>
      <c r="CD130" s="63"/>
      <c r="CF130" s="43"/>
      <c r="CG130" s="43"/>
      <c r="CH130" s="43"/>
      <c r="CI130" s="43"/>
      <c r="CJ130" s="43"/>
      <c r="CK130" s="43"/>
      <c r="CL130" s="63"/>
      <c r="CN130" s="43"/>
      <c r="CO130" s="43"/>
      <c r="CP130" s="43"/>
      <c r="CQ130" s="43"/>
      <c r="CR130" s="43"/>
      <c r="CS130" s="43"/>
      <c r="CT130" s="63"/>
      <c r="CV130" s="43"/>
      <c r="CW130" s="43"/>
      <c r="CX130" s="43"/>
      <c r="CY130" s="43"/>
      <c r="CZ130" s="43"/>
      <c r="DA130" s="43"/>
      <c r="DB130" s="63"/>
      <c r="DD130" s="43"/>
      <c r="DE130" s="43"/>
      <c r="DF130" s="43"/>
      <c r="DG130" s="43"/>
      <c r="DH130" s="43"/>
      <c r="DI130" s="43"/>
      <c r="DJ130" s="63"/>
    </row>
    <row r="131" spans="1:114" x14ac:dyDescent="0.25">
      <c r="A131" s="43"/>
      <c r="B131" s="63"/>
      <c r="D131" s="43"/>
      <c r="E131" s="43"/>
      <c r="F131" s="43"/>
      <c r="G131" s="43"/>
      <c r="H131" s="43"/>
      <c r="I131" s="43"/>
      <c r="J131" s="63"/>
      <c r="L131" s="43"/>
      <c r="M131" s="43"/>
      <c r="N131" s="43"/>
      <c r="O131" s="43"/>
      <c r="P131" s="43"/>
      <c r="Q131" s="43"/>
      <c r="R131" s="63"/>
      <c r="T131" s="43"/>
      <c r="U131" s="43"/>
      <c r="V131" s="43"/>
      <c r="W131" s="43"/>
      <c r="X131" s="43"/>
      <c r="Y131" s="43"/>
      <c r="Z131" s="63"/>
      <c r="AB131" s="43"/>
      <c r="AC131" s="43"/>
      <c r="AD131" s="43"/>
      <c r="AE131" s="43"/>
      <c r="AF131" s="43"/>
      <c r="AG131" s="43"/>
      <c r="AH131" s="63"/>
      <c r="AJ131" s="43"/>
      <c r="AK131" s="43"/>
      <c r="AL131" s="43"/>
      <c r="AM131" s="43"/>
      <c r="AN131" s="43"/>
      <c r="AO131" s="43"/>
      <c r="AP131" s="63"/>
      <c r="AR131" s="43"/>
      <c r="AS131" s="43"/>
      <c r="AT131" s="43"/>
      <c r="AU131" s="43"/>
      <c r="AV131" s="43"/>
      <c r="AW131" s="43"/>
      <c r="AX131" s="63"/>
      <c r="AZ131" s="43"/>
      <c r="BA131" s="43"/>
      <c r="BB131" s="43"/>
      <c r="BC131" s="43"/>
      <c r="BD131" s="43"/>
      <c r="BE131" s="43"/>
      <c r="BF131" s="63"/>
      <c r="BH131" s="43"/>
      <c r="BI131" s="43"/>
      <c r="BJ131" s="43"/>
      <c r="BK131" s="43"/>
      <c r="BL131" s="43"/>
      <c r="BM131" s="43"/>
      <c r="BN131" s="63"/>
      <c r="BP131" s="43"/>
      <c r="BQ131" s="43"/>
      <c r="BR131" s="43"/>
      <c r="BS131" s="43"/>
      <c r="BT131" s="43"/>
      <c r="BU131" s="43"/>
      <c r="BV131" s="63"/>
      <c r="BX131" s="43"/>
      <c r="BY131" s="43"/>
      <c r="BZ131" s="43"/>
      <c r="CA131" s="43"/>
      <c r="CB131" s="43"/>
      <c r="CC131" s="43"/>
      <c r="CD131" s="63"/>
      <c r="CF131" s="43"/>
      <c r="CG131" s="43"/>
      <c r="CH131" s="43"/>
      <c r="CI131" s="43"/>
      <c r="CJ131" s="43"/>
      <c r="CK131" s="43"/>
      <c r="CL131" s="63"/>
      <c r="CN131" s="43"/>
      <c r="CO131" s="43"/>
      <c r="CP131" s="43"/>
      <c r="CQ131" s="43"/>
      <c r="CR131" s="43"/>
      <c r="CS131" s="43"/>
      <c r="CT131" s="63"/>
      <c r="CV131" s="43"/>
      <c r="CW131" s="43"/>
      <c r="CX131" s="43"/>
      <c r="CY131" s="43"/>
      <c r="CZ131" s="43"/>
      <c r="DA131" s="43"/>
      <c r="DB131" s="63"/>
      <c r="DD131" s="43"/>
      <c r="DE131" s="43"/>
      <c r="DF131" s="43"/>
      <c r="DG131" s="43"/>
      <c r="DH131" s="43"/>
      <c r="DI131" s="43"/>
      <c r="DJ131" s="63"/>
    </row>
    <row r="132" spans="1:114" x14ac:dyDescent="0.25">
      <c r="A132" s="43"/>
      <c r="B132" s="63"/>
      <c r="D132" s="43"/>
      <c r="E132" s="43"/>
      <c r="F132" s="43"/>
      <c r="G132" s="43"/>
      <c r="H132" s="43"/>
      <c r="I132" s="43"/>
      <c r="J132" s="63"/>
      <c r="L132" s="43"/>
      <c r="M132" s="43"/>
      <c r="N132" s="43"/>
      <c r="O132" s="43"/>
      <c r="P132" s="43"/>
      <c r="Q132" s="43"/>
      <c r="R132" s="63"/>
      <c r="T132" s="43"/>
      <c r="U132" s="43"/>
      <c r="V132" s="43"/>
      <c r="W132" s="43"/>
      <c r="X132" s="43"/>
      <c r="Y132" s="43"/>
      <c r="Z132" s="63"/>
      <c r="AB132" s="43"/>
      <c r="AC132" s="43"/>
      <c r="AD132" s="43"/>
      <c r="AE132" s="43"/>
      <c r="AF132" s="43"/>
      <c r="AG132" s="43"/>
      <c r="AH132" s="63"/>
      <c r="AJ132" s="43"/>
      <c r="AK132" s="43"/>
      <c r="AL132" s="43"/>
      <c r="AM132" s="43"/>
      <c r="AN132" s="43"/>
      <c r="AO132" s="43"/>
      <c r="AP132" s="63"/>
      <c r="AR132" s="43"/>
      <c r="AS132" s="43"/>
      <c r="AT132" s="43"/>
      <c r="AU132" s="43"/>
      <c r="AV132" s="43"/>
      <c r="AW132" s="43"/>
      <c r="AX132" s="63"/>
      <c r="AZ132" s="43"/>
      <c r="BA132" s="43"/>
      <c r="BB132" s="43"/>
      <c r="BC132" s="43"/>
      <c r="BD132" s="43"/>
      <c r="BE132" s="43"/>
      <c r="BF132" s="63"/>
      <c r="BH132" s="43"/>
      <c r="BI132" s="43"/>
      <c r="BJ132" s="43"/>
      <c r="BK132" s="43"/>
      <c r="BL132" s="43"/>
      <c r="BM132" s="43"/>
      <c r="BN132" s="63"/>
      <c r="BP132" s="43"/>
      <c r="BQ132" s="43"/>
      <c r="BR132" s="43"/>
      <c r="BS132" s="43"/>
      <c r="BT132" s="43"/>
      <c r="BU132" s="43"/>
      <c r="BV132" s="63"/>
      <c r="BX132" s="43"/>
      <c r="BY132" s="43"/>
      <c r="BZ132" s="43"/>
      <c r="CA132" s="43"/>
      <c r="CB132" s="43"/>
      <c r="CC132" s="43"/>
      <c r="CD132" s="63"/>
      <c r="CF132" s="43"/>
      <c r="CG132" s="43"/>
      <c r="CH132" s="43"/>
      <c r="CI132" s="43"/>
      <c r="CJ132" s="43"/>
      <c r="CK132" s="43"/>
      <c r="CL132" s="63"/>
      <c r="CN132" s="43"/>
      <c r="CO132" s="43"/>
      <c r="CP132" s="43"/>
      <c r="CQ132" s="43"/>
      <c r="CR132" s="43"/>
      <c r="CS132" s="43"/>
      <c r="CT132" s="63"/>
      <c r="CV132" s="43"/>
      <c r="CW132" s="43"/>
      <c r="CX132" s="43"/>
      <c r="CY132" s="43"/>
      <c r="CZ132" s="43"/>
      <c r="DA132" s="43"/>
      <c r="DB132" s="63"/>
      <c r="DD132" s="43"/>
      <c r="DE132" s="43"/>
      <c r="DF132" s="43"/>
      <c r="DG132" s="43"/>
      <c r="DH132" s="43"/>
      <c r="DI132" s="43"/>
      <c r="DJ132" s="63"/>
    </row>
    <row r="133" spans="1:114" x14ac:dyDescent="0.25">
      <c r="A133" s="43"/>
      <c r="B133" s="63"/>
      <c r="D133" s="43"/>
      <c r="E133" s="43"/>
      <c r="F133" s="43"/>
      <c r="G133" s="43"/>
      <c r="H133" s="43"/>
      <c r="I133" s="43"/>
      <c r="J133" s="63"/>
      <c r="L133" s="43"/>
      <c r="M133" s="43"/>
      <c r="N133" s="43"/>
      <c r="O133" s="43"/>
      <c r="P133" s="43"/>
      <c r="Q133" s="43"/>
      <c r="R133" s="63"/>
      <c r="T133" s="43"/>
      <c r="U133" s="43"/>
      <c r="V133" s="43"/>
      <c r="W133" s="43"/>
      <c r="X133" s="43"/>
      <c r="Y133" s="43"/>
      <c r="Z133" s="63"/>
      <c r="AB133" s="43"/>
      <c r="AC133" s="43"/>
      <c r="AD133" s="43"/>
      <c r="AE133" s="43"/>
      <c r="AF133" s="43"/>
      <c r="AG133" s="43"/>
      <c r="AH133" s="63"/>
      <c r="AJ133" s="43"/>
      <c r="AK133" s="43"/>
      <c r="AL133" s="43"/>
      <c r="AM133" s="43"/>
      <c r="AN133" s="43"/>
      <c r="AO133" s="43"/>
      <c r="AP133" s="63"/>
      <c r="AR133" s="43"/>
      <c r="AS133" s="43"/>
      <c r="AT133" s="43"/>
      <c r="AU133" s="43"/>
      <c r="AV133" s="43"/>
      <c r="AW133" s="43"/>
      <c r="AX133" s="63"/>
      <c r="AZ133" s="43"/>
      <c r="BA133" s="43"/>
      <c r="BB133" s="43"/>
      <c r="BC133" s="43"/>
      <c r="BD133" s="43"/>
      <c r="BE133" s="43"/>
      <c r="BF133" s="63"/>
      <c r="BH133" s="43"/>
      <c r="BI133" s="43"/>
      <c r="BJ133" s="43"/>
      <c r="BK133" s="43"/>
      <c r="BL133" s="43"/>
      <c r="BM133" s="43"/>
      <c r="BN133" s="63"/>
      <c r="BP133" s="43"/>
      <c r="BQ133" s="43"/>
      <c r="BR133" s="43"/>
      <c r="BS133" s="43"/>
      <c r="BT133" s="43"/>
      <c r="BU133" s="43"/>
      <c r="BV133" s="63"/>
      <c r="BX133" s="43"/>
      <c r="BY133" s="43"/>
      <c r="BZ133" s="43"/>
      <c r="CA133" s="43"/>
      <c r="CB133" s="43"/>
      <c r="CC133" s="43"/>
      <c r="CD133" s="63"/>
      <c r="CF133" s="43"/>
      <c r="CG133" s="43"/>
      <c r="CH133" s="43"/>
      <c r="CI133" s="43"/>
      <c r="CJ133" s="43"/>
      <c r="CK133" s="43"/>
      <c r="CL133" s="63"/>
      <c r="CN133" s="43"/>
      <c r="CO133" s="43"/>
      <c r="CP133" s="43"/>
      <c r="CQ133" s="43"/>
      <c r="CR133" s="43"/>
      <c r="CS133" s="43"/>
      <c r="CT133" s="63"/>
      <c r="CV133" s="43"/>
      <c r="CW133" s="43"/>
      <c r="CX133" s="43"/>
      <c r="CY133" s="43"/>
      <c r="CZ133" s="43"/>
      <c r="DA133" s="43"/>
      <c r="DB133" s="63"/>
      <c r="DD133" s="43"/>
      <c r="DE133" s="43"/>
      <c r="DF133" s="43"/>
      <c r="DG133" s="43"/>
      <c r="DH133" s="43"/>
      <c r="DI133" s="43"/>
      <c r="DJ133" s="63"/>
    </row>
    <row r="134" spans="1:114" x14ac:dyDescent="0.25">
      <c r="A134" s="43"/>
      <c r="B134" s="63"/>
      <c r="D134" s="43"/>
      <c r="E134" s="43"/>
      <c r="F134" s="43"/>
      <c r="G134" s="43"/>
      <c r="H134" s="43"/>
      <c r="I134" s="43"/>
      <c r="J134" s="63"/>
      <c r="L134" s="43"/>
      <c r="M134" s="43"/>
      <c r="N134" s="43"/>
      <c r="O134" s="43"/>
      <c r="P134" s="43"/>
      <c r="Q134" s="43"/>
      <c r="R134" s="63"/>
      <c r="T134" s="43"/>
      <c r="U134" s="43"/>
      <c r="V134" s="43"/>
      <c r="W134" s="43"/>
      <c r="X134" s="43"/>
      <c r="Y134" s="43"/>
      <c r="Z134" s="63"/>
      <c r="AB134" s="43"/>
      <c r="AC134" s="43"/>
      <c r="AD134" s="43"/>
      <c r="AE134" s="43"/>
      <c r="AF134" s="43"/>
      <c r="AG134" s="43"/>
      <c r="AH134" s="63"/>
      <c r="AJ134" s="43"/>
      <c r="AK134" s="43"/>
      <c r="AL134" s="43"/>
      <c r="AM134" s="43"/>
      <c r="AN134" s="43"/>
      <c r="AO134" s="43"/>
      <c r="AP134" s="63"/>
      <c r="AR134" s="43"/>
      <c r="AS134" s="43"/>
      <c r="AT134" s="43"/>
      <c r="AU134" s="43"/>
      <c r="AV134" s="43"/>
      <c r="AW134" s="43"/>
      <c r="AX134" s="63"/>
      <c r="AZ134" s="43"/>
      <c r="BA134" s="43"/>
      <c r="BB134" s="43"/>
      <c r="BC134" s="43"/>
      <c r="BD134" s="43"/>
      <c r="BE134" s="43"/>
      <c r="BF134" s="63"/>
      <c r="BH134" s="43"/>
      <c r="BI134" s="43"/>
      <c r="BJ134" s="43"/>
      <c r="BK134" s="43"/>
      <c r="BL134" s="43"/>
      <c r="BM134" s="43"/>
      <c r="BN134" s="63"/>
      <c r="BP134" s="43"/>
      <c r="BQ134" s="43"/>
      <c r="BR134" s="43"/>
      <c r="BS134" s="43"/>
      <c r="BT134" s="43"/>
      <c r="BU134" s="43"/>
      <c r="BV134" s="63"/>
      <c r="BX134" s="43"/>
      <c r="BY134" s="43"/>
      <c r="BZ134" s="43"/>
      <c r="CA134" s="43"/>
      <c r="CB134" s="43"/>
      <c r="CC134" s="43"/>
      <c r="CD134" s="63"/>
      <c r="CF134" s="43"/>
      <c r="CG134" s="43"/>
      <c r="CH134" s="43"/>
      <c r="CI134" s="43"/>
      <c r="CJ134" s="43"/>
      <c r="CK134" s="43"/>
      <c r="CL134" s="63"/>
      <c r="CN134" s="43"/>
      <c r="CO134" s="43"/>
      <c r="CP134" s="43"/>
      <c r="CQ134" s="43"/>
      <c r="CR134" s="43"/>
      <c r="CS134" s="43"/>
      <c r="CT134" s="63"/>
      <c r="CV134" s="43"/>
      <c r="CW134" s="43"/>
      <c r="CX134" s="43"/>
      <c r="CY134" s="43"/>
      <c r="CZ134" s="43"/>
      <c r="DA134" s="43"/>
      <c r="DB134" s="63"/>
      <c r="DD134" s="43"/>
      <c r="DE134" s="43"/>
      <c r="DF134" s="43"/>
      <c r="DG134" s="43"/>
      <c r="DH134" s="43"/>
      <c r="DI134" s="43"/>
      <c r="DJ134" s="63"/>
    </row>
    <row r="135" spans="1:114" x14ac:dyDescent="0.25">
      <c r="A135" s="43"/>
      <c r="B135" s="63"/>
      <c r="D135" s="43"/>
      <c r="E135" s="43"/>
      <c r="F135" s="43"/>
      <c r="G135" s="43"/>
      <c r="H135" s="43"/>
      <c r="I135" s="43"/>
      <c r="J135" s="63"/>
      <c r="L135" s="43"/>
      <c r="M135" s="43"/>
      <c r="N135" s="43"/>
      <c r="O135" s="43"/>
      <c r="P135" s="43"/>
      <c r="Q135" s="43"/>
      <c r="R135" s="63"/>
      <c r="T135" s="43"/>
      <c r="U135" s="43"/>
      <c r="V135" s="43"/>
      <c r="W135" s="43"/>
      <c r="X135" s="43"/>
      <c r="Y135" s="43"/>
      <c r="Z135" s="63"/>
      <c r="AB135" s="43"/>
      <c r="AC135" s="43"/>
      <c r="AD135" s="43"/>
      <c r="AE135" s="43"/>
      <c r="AF135" s="43"/>
      <c r="AG135" s="43"/>
      <c r="AH135" s="63"/>
      <c r="AJ135" s="43"/>
      <c r="AK135" s="43"/>
      <c r="AL135" s="43"/>
      <c r="AM135" s="43"/>
      <c r="AN135" s="43"/>
      <c r="AO135" s="43"/>
      <c r="AP135" s="63"/>
      <c r="AR135" s="43"/>
      <c r="AS135" s="43"/>
      <c r="AT135" s="43"/>
      <c r="AU135" s="43"/>
      <c r="AV135" s="43"/>
      <c r="AW135" s="43"/>
      <c r="AX135" s="63"/>
      <c r="AZ135" s="43"/>
      <c r="BA135" s="43"/>
      <c r="BB135" s="43"/>
      <c r="BC135" s="43"/>
      <c r="BD135" s="43"/>
      <c r="BE135" s="43"/>
      <c r="BF135" s="63"/>
      <c r="BH135" s="43"/>
      <c r="BI135" s="43"/>
      <c r="BJ135" s="43"/>
      <c r="BK135" s="43"/>
      <c r="BL135" s="43"/>
      <c r="BM135" s="43"/>
      <c r="BN135" s="63"/>
      <c r="BP135" s="43"/>
      <c r="BQ135" s="43"/>
      <c r="BR135" s="43"/>
      <c r="BS135" s="43"/>
      <c r="BT135" s="43"/>
      <c r="BU135" s="43"/>
      <c r="BV135" s="63"/>
      <c r="BX135" s="43"/>
      <c r="BY135" s="43"/>
      <c r="BZ135" s="43"/>
      <c r="CA135" s="43"/>
      <c r="CB135" s="43"/>
      <c r="CC135" s="43"/>
      <c r="CD135" s="63"/>
      <c r="CF135" s="43"/>
      <c r="CG135" s="43"/>
      <c r="CH135" s="43"/>
      <c r="CI135" s="43"/>
      <c r="CJ135" s="43"/>
      <c r="CK135" s="43"/>
      <c r="CL135" s="63"/>
      <c r="CN135" s="43"/>
      <c r="CO135" s="43"/>
      <c r="CP135" s="43"/>
      <c r="CQ135" s="43"/>
      <c r="CR135" s="43"/>
      <c r="CS135" s="43"/>
      <c r="CT135" s="63"/>
      <c r="CV135" s="43"/>
      <c r="CW135" s="43"/>
      <c r="CX135" s="43"/>
      <c r="CY135" s="43"/>
      <c r="CZ135" s="43"/>
      <c r="DA135" s="43"/>
      <c r="DB135" s="63"/>
      <c r="DD135" s="43"/>
      <c r="DE135" s="43"/>
      <c r="DF135" s="43"/>
      <c r="DG135" s="43"/>
      <c r="DH135" s="43"/>
      <c r="DI135" s="43"/>
      <c r="DJ135" s="63"/>
    </row>
    <row r="136" spans="1:114" x14ac:dyDescent="0.25">
      <c r="A136" s="43"/>
      <c r="B136" s="63"/>
      <c r="D136" s="43"/>
      <c r="E136" s="43"/>
      <c r="F136" s="43"/>
      <c r="G136" s="43"/>
      <c r="H136" s="43"/>
      <c r="I136" s="43"/>
      <c r="J136" s="63"/>
      <c r="L136" s="43"/>
      <c r="M136" s="43"/>
      <c r="N136" s="43"/>
      <c r="O136" s="43"/>
      <c r="P136" s="43"/>
      <c r="Q136" s="43"/>
      <c r="R136" s="63"/>
      <c r="T136" s="43"/>
      <c r="U136" s="43"/>
      <c r="V136" s="43"/>
      <c r="W136" s="43"/>
      <c r="X136" s="43"/>
      <c r="Y136" s="43"/>
      <c r="Z136" s="63"/>
      <c r="AB136" s="43"/>
      <c r="AC136" s="43"/>
      <c r="AD136" s="43"/>
      <c r="AE136" s="43"/>
      <c r="AF136" s="43"/>
      <c r="AG136" s="43"/>
      <c r="AH136" s="63"/>
      <c r="AJ136" s="43"/>
      <c r="AK136" s="43"/>
      <c r="AL136" s="43"/>
      <c r="AM136" s="43"/>
      <c r="AN136" s="43"/>
      <c r="AO136" s="43"/>
      <c r="AP136" s="63"/>
      <c r="AR136" s="43"/>
      <c r="AS136" s="43"/>
      <c r="AT136" s="43"/>
      <c r="AU136" s="43"/>
      <c r="AV136" s="43"/>
      <c r="AW136" s="43"/>
      <c r="AX136" s="63"/>
      <c r="AZ136" s="43"/>
      <c r="BA136" s="43"/>
      <c r="BB136" s="43"/>
      <c r="BC136" s="43"/>
      <c r="BD136" s="43"/>
      <c r="BE136" s="43"/>
      <c r="BF136" s="63"/>
      <c r="BH136" s="43"/>
      <c r="BI136" s="43"/>
      <c r="BJ136" s="43"/>
      <c r="BK136" s="43"/>
      <c r="BL136" s="43"/>
      <c r="BM136" s="43"/>
      <c r="BN136" s="63"/>
      <c r="BP136" s="43"/>
      <c r="BQ136" s="43"/>
      <c r="BR136" s="43"/>
      <c r="BS136" s="43"/>
      <c r="BT136" s="43"/>
      <c r="BU136" s="43"/>
      <c r="BV136" s="63"/>
      <c r="BX136" s="43"/>
      <c r="BY136" s="43"/>
      <c r="BZ136" s="43"/>
      <c r="CA136" s="43"/>
      <c r="CB136" s="43"/>
      <c r="CC136" s="43"/>
      <c r="CD136" s="63"/>
      <c r="CF136" s="43"/>
      <c r="CG136" s="43"/>
      <c r="CH136" s="43"/>
      <c r="CI136" s="43"/>
      <c r="CJ136" s="43"/>
      <c r="CK136" s="43"/>
      <c r="CL136" s="63"/>
      <c r="CN136" s="43"/>
      <c r="CO136" s="43"/>
      <c r="CP136" s="43"/>
      <c r="CQ136" s="43"/>
      <c r="CR136" s="43"/>
      <c r="CS136" s="43"/>
      <c r="CT136" s="63"/>
      <c r="CV136" s="43"/>
      <c r="CW136" s="43"/>
      <c r="CX136" s="43"/>
      <c r="CY136" s="43"/>
      <c r="CZ136" s="43"/>
      <c r="DA136" s="43"/>
      <c r="DB136" s="63"/>
      <c r="DD136" s="43"/>
      <c r="DE136" s="43"/>
      <c r="DF136" s="43"/>
      <c r="DG136" s="43"/>
      <c r="DH136" s="43"/>
      <c r="DI136" s="43"/>
      <c r="DJ136" s="63"/>
    </row>
    <row r="137" spans="1:114" x14ac:dyDescent="0.25">
      <c r="A137" s="43"/>
      <c r="B137" s="63"/>
      <c r="D137" s="43"/>
      <c r="E137" s="43"/>
      <c r="F137" s="43"/>
      <c r="G137" s="43"/>
      <c r="H137" s="43"/>
      <c r="I137" s="43"/>
      <c r="J137" s="63"/>
      <c r="L137" s="43"/>
      <c r="M137" s="43"/>
      <c r="N137" s="43"/>
      <c r="O137" s="43"/>
      <c r="P137" s="43"/>
      <c r="Q137" s="43"/>
      <c r="R137" s="63"/>
      <c r="T137" s="43"/>
      <c r="U137" s="43"/>
      <c r="V137" s="43"/>
      <c r="W137" s="43"/>
      <c r="X137" s="43"/>
      <c r="Y137" s="43"/>
      <c r="Z137" s="63"/>
      <c r="AB137" s="43"/>
      <c r="AC137" s="43"/>
      <c r="AD137" s="43"/>
      <c r="AE137" s="43"/>
      <c r="AF137" s="43"/>
      <c r="AG137" s="43"/>
      <c r="AH137" s="63"/>
      <c r="AJ137" s="43"/>
      <c r="AK137" s="43"/>
      <c r="AL137" s="43"/>
      <c r="AM137" s="43"/>
      <c r="AN137" s="43"/>
      <c r="AO137" s="43"/>
      <c r="AP137" s="63"/>
      <c r="AR137" s="43"/>
      <c r="AS137" s="43"/>
      <c r="AT137" s="43"/>
      <c r="AU137" s="43"/>
      <c r="AV137" s="43"/>
      <c r="AW137" s="43"/>
      <c r="AX137" s="63"/>
      <c r="AZ137" s="43"/>
      <c r="BA137" s="43"/>
      <c r="BB137" s="43"/>
      <c r="BC137" s="43"/>
      <c r="BD137" s="43"/>
      <c r="BE137" s="43"/>
      <c r="BF137" s="63"/>
      <c r="BH137" s="43"/>
      <c r="BI137" s="43"/>
      <c r="BJ137" s="43"/>
      <c r="BK137" s="43"/>
      <c r="BL137" s="43"/>
      <c r="BM137" s="43"/>
      <c r="BN137" s="63"/>
      <c r="BP137" s="43"/>
      <c r="BQ137" s="43"/>
      <c r="BR137" s="43"/>
      <c r="BS137" s="43"/>
      <c r="BT137" s="43"/>
      <c r="BU137" s="43"/>
      <c r="BV137" s="63"/>
      <c r="BX137" s="43"/>
      <c r="BY137" s="43"/>
      <c r="BZ137" s="43"/>
      <c r="CA137" s="43"/>
      <c r="CB137" s="43"/>
      <c r="CC137" s="43"/>
      <c r="CD137" s="63"/>
      <c r="CF137" s="43"/>
      <c r="CG137" s="43"/>
      <c r="CH137" s="43"/>
      <c r="CI137" s="43"/>
      <c r="CJ137" s="43"/>
      <c r="CK137" s="43"/>
      <c r="CL137" s="63"/>
      <c r="CN137" s="43"/>
      <c r="CO137" s="43"/>
      <c r="CP137" s="43"/>
      <c r="CQ137" s="43"/>
      <c r="CR137" s="43"/>
      <c r="CS137" s="43"/>
      <c r="CT137" s="63"/>
      <c r="CV137" s="43"/>
      <c r="CW137" s="43"/>
      <c r="CX137" s="43"/>
      <c r="CY137" s="43"/>
      <c r="CZ137" s="43"/>
      <c r="DA137" s="43"/>
      <c r="DB137" s="63"/>
      <c r="DD137" s="43"/>
      <c r="DE137" s="43"/>
      <c r="DF137" s="43"/>
      <c r="DG137" s="43"/>
      <c r="DH137" s="43"/>
      <c r="DI137" s="43"/>
      <c r="DJ137" s="63"/>
    </row>
    <row r="138" spans="1:114" x14ac:dyDescent="0.25">
      <c r="A138" s="43"/>
      <c r="B138" s="63"/>
      <c r="D138" s="43"/>
      <c r="E138" s="43"/>
      <c r="F138" s="43"/>
      <c r="G138" s="43"/>
      <c r="H138" s="43"/>
      <c r="I138" s="43"/>
      <c r="J138" s="63"/>
      <c r="L138" s="43"/>
      <c r="M138" s="43"/>
      <c r="N138" s="43"/>
      <c r="O138" s="43"/>
      <c r="P138" s="43"/>
      <c r="Q138" s="43"/>
      <c r="R138" s="63"/>
      <c r="T138" s="43"/>
      <c r="U138" s="43"/>
      <c r="V138" s="43"/>
      <c r="W138" s="43"/>
      <c r="X138" s="43"/>
      <c r="Y138" s="43"/>
      <c r="Z138" s="63"/>
      <c r="AB138" s="43"/>
      <c r="AC138" s="43"/>
      <c r="AD138" s="43"/>
      <c r="AE138" s="43"/>
      <c r="AF138" s="43"/>
      <c r="AG138" s="43"/>
      <c r="AH138" s="63"/>
      <c r="AJ138" s="43"/>
      <c r="AK138" s="43"/>
      <c r="AL138" s="43"/>
      <c r="AM138" s="43"/>
      <c r="AN138" s="43"/>
      <c r="AO138" s="43"/>
      <c r="AP138" s="63"/>
      <c r="AR138" s="43"/>
      <c r="AS138" s="43"/>
      <c r="AT138" s="43"/>
      <c r="AU138" s="43"/>
      <c r="AV138" s="43"/>
      <c r="AW138" s="43"/>
      <c r="AX138" s="63"/>
      <c r="AZ138" s="43"/>
      <c r="BA138" s="43"/>
      <c r="BB138" s="43"/>
      <c r="BC138" s="43"/>
      <c r="BD138" s="43"/>
      <c r="BE138" s="43"/>
      <c r="BF138" s="63"/>
      <c r="BH138" s="43"/>
      <c r="BI138" s="43"/>
      <c r="BJ138" s="43"/>
      <c r="BK138" s="43"/>
      <c r="BL138" s="43"/>
      <c r="BM138" s="43"/>
      <c r="BN138" s="63"/>
      <c r="BP138" s="43"/>
      <c r="BQ138" s="43"/>
      <c r="BR138" s="43"/>
      <c r="BS138" s="43"/>
      <c r="BT138" s="43"/>
      <c r="BU138" s="43"/>
      <c r="BV138" s="63"/>
      <c r="BX138" s="43"/>
      <c r="BY138" s="43"/>
      <c r="BZ138" s="43"/>
      <c r="CA138" s="43"/>
      <c r="CB138" s="43"/>
      <c r="CC138" s="43"/>
      <c r="CD138" s="63"/>
      <c r="CF138" s="43"/>
      <c r="CG138" s="43"/>
      <c r="CH138" s="43"/>
      <c r="CI138" s="43"/>
      <c r="CJ138" s="43"/>
      <c r="CK138" s="43"/>
      <c r="CL138" s="63"/>
      <c r="CN138" s="43"/>
      <c r="CO138" s="43"/>
      <c r="CP138" s="43"/>
      <c r="CQ138" s="43"/>
      <c r="CR138" s="43"/>
      <c r="CS138" s="43"/>
      <c r="CT138" s="63"/>
      <c r="CV138" s="43"/>
      <c r="CW138" s="43"/>
      <c r="CX138" s="43"/>
      <c r="CY138" s="43"/>
      <c r="CZ138" s="43"/>
      <c r="DA138" s="43"/>
      <c r="DB138" s="63"/>
      <c r="DD138" s="43"/>
      <c r="DE138" s="43"/>
      <c r="DF138" s="43"/>
      <c r="DG138" s="43"/>
      <c r="DH138" s="43"/>
      <c r="DI138" s="43"/>
      <c r="DJ138" s="63"/>
    </row>
    <row r="139" spans="1:114" x14ac:dyDescent="0.25">
      <c r="A139" s="43"/>
      <c r="B139" s="63"/>
      <c r="D139" s="43"/>
      <c r="E139" s="43"/>
      <c r="F139" s="43"/>
      <c r="G139" s="43"/>
      <c r="H139" s="43"/>
      <c r="I139" s="43"/>
      <c r="J139" s="63"/>
      <c r="L139" s="43"/>
      <c r="M139" s="43"/>
      <c r="N139" s="43"/>
      <c r="O139" s="43"/>
      <c r="P139" s="43"/>
      <c r="Q139" s="43"/>
      <c r="R139" s="63"/>
      <c r="T139" s="43"/>
      <c r="U139" s="43"/>
      <c r="V139" s="43"/>
      <c r="W139" s="43"/>
      <c r="X139" s="43"/>
      <c r="Y139" s="43"/>
      <c r="Z139" s="63"/>
      <c r="AB139" s="43"/>
      <c r="AC139" s="43"/>
      <c r="AD139" s="43"/>
      <c r="AE139" s="43"/>
      <c r="AF139" s="43"/>
      <c r="AG139" s="43"/>
      <c r="AH139" s="63"/>
      <c r="AJ139" s="43"/>
      <c r="AK139" s="43"/>
      <c r="AL139" s="43"/>
      <c r="AM139" s="43"/>
      <c r="AN139" s="43"/>
      <c r="AO139" s="43"/>
      <c r="AP139" s="63"/>
      <c r="AR139" s="43"/>
      <c r="AS139" s="43"/>
      <c r="AT139" s="43"/>
      <c r="AU139" s="43"/>
      <c r="AV139" s="43"/>
      <c r="AW139" s="43"/>
      <c r="AX139" s="63"/>
      <c r="AZ139" s="43"/>
      <c r="BA139" s="43"/>
      <c r="BB139" s="43"/>
      <c r="BC139" s="43"/>
      <c r="BD139" s="43"/>
      <c r="BE139" s="43"/>
      <c r="BF139" s="63"/>
      <c r="BH139" s="43"/>
      <c r="BI139" s="43"/>
      <c r="BJ139" s="43"/>
      <c r="BK139" s="43"/>
      <c r="BL139" s="43"/>
      <c r="BM139" s="43"/>
      <c r="BN139" s="63"/>
      <c r="BP139" s="43"/>
      <c r="BQ139" s="43"/>
      <c r="BR139" s="43"/>
      <c r="BS139" s="43"/>
      <c r="BT139" s="43"/>
      <c r="BU139" s="43"/>
      <c r="BV139" s="63"/>
      <c r="BX139" s="43"/>
      <c r="BY139" s="43"/>
      <c r="BZ139" s="43"/>
      <c r="CA139" s="43"/>
      <c r="CB139" s="43"/>
      <c r="CC139" s="43"/>
      <c r="CD139" s="63"/>
      <c r="CF139" s="43"/>
      <c r="CG139" s="43"/>
      <c r="CH139" s="43"/>
      <c r="CI139" s="43"/>
      <c r="CJ139" s="43"/>
      <c r="CK139" s="43"/>
      <c r="CL139" s="63"/>
      <c r="CN139" s="43"/>
      <c r="CO139" s="43"/>
      <c r="CP139" s="43"/>
      <c r="CQ139" s="43"/>
      <c r="CR139" s="43"/>
      <c r="CS139" s="43"/>
      <c r="CT139" s="63"/>
      <c r="CV139" s="43"/>
      <c r="CW139" s="43"/>
      <c r="CX139" s="43"/>
      <c r="CY139" s="43"/>
      <c r="CZ139" s="43"/>
      <c r="DA139" s="43"/>
      <c r="DB139" s="63"/>
      <c r="DD139" s="43"/>
      <c r="DE139" s="43"/>
      <c r="DF139" s="43"/>
      <c r="DG139" s="43"/>
      <c r="DH139" s="43"/>
      <c r="DI139" s="43"/>
      <c r="DJ139" s="63"/>
    </row>
    <row r="140" spans="1:114" x14ac:dyDescent="0.25">
      <c r="A140" s="43"/>
      <c r="B140" s="63"/>
      <c r="D140" s="43"/>
      <c r="E140" s="43"/>
      <c r="F140" s="43"/>
      <c r="G140" s="43"/>
      <c r="H140" s="43"/>
      <c r="I140" s="43"/>
      <c r="J140" s="63"/>
      <c r="L140" s="43"/>
      <c r="M140" s="43"/>
      <c r="N140" s="43"/>
      <c r="O140" s="43"/>
      <c r="P140" s="43"/>
      <c r="Q140" s="43"/>
      <c r="R140" s="63"/>
      <c r="T140" s="43"/>
      <c r="U140" s="43"/>
      <c r="V140" s="43"/>
      <c r="W140" s="43"/>
      <c r="X140" s="43"/>
      <c r="Y140" s="43"/>
      <c r="Z140" s="63"/>
      <c r="AB140" s="43"/>
      <c r="AC140" s="43"/>
      <c r="AD140" s="43"/>
      <c r="AE140" s="43"/>
      <c r="AF140" s="43"/>
      <c r="AG140" s="43"/>
      <c r="AH140" s="63"/>
      <c r="AJ140" s="43"/>
      <c r="AK140" s="43"/>
      <c r="AL140" s="43"/>
      <c r="AM140" s="43"/>
      <c r="AN140" s="43"/>
      <c r="AO140" s="43"/>
      <c r="AP140" s="63"/>
      <c r="AR140" s="43"/>
      <c r="AS140" s="43"/>
      <c r="AT140" s="43"/>
      <c r="AU140" s="43"/>
      <c r="AV140" s="43"/>
      <c r="AW140" s="43"/>
      <c r="AX140" s="63"/>
      <c r="AZ140" s="43"/>
      <c r="BA140" s="43"/>
      <c r="BB140" s="43"/>
      <c r="BC140" s="43"/>
      <c r="BD140" s="43"/>
      <c r="BE140" s="43"/>
      <c r="BF140" s="63"/>
      <c r="BH140" s="43"/>
      <c r="BI140" s="43"/>
      <c r="BJ140" s="43"/>
      <c r="BK140" s="43"/>
      <c r="BL140" s="43"/>
      <c r="BM140" s="43"/>
      <c r="BN140" s="63"/>
      <c r="BP140" s="43"/>
      <c r="BQ140" s="43"/>
      <c r="BR140" s="43"/>
      <c r="BS140" s="43"/>
      <c r="BT140" s="43"/>
      <c r="BU140" s="43"/>
      <c r="BV140" s="63"/>
      <c r="BX140" s="43"/>
      <c r="BY140" s="43"/>
      <c r="BZ140" s="43"/>
      <c r="CA140" s="43"/>
      <c r="CB140" s="43"/>
      <c r="CC140" s="43"/>
      <c r="CD140" s="63"/>
      <c r="CF140" s="43"/>
      <c r="CG140" s="43"/>
      <c r="CH140" s="43"/>
      <c r="CI140" s="43"/>
      <c r="CJ140" s="43"/>
      <c r="CK140" s="43"/>
      <c r="CL140" s="63"/>
      <c r="CN140" s="43"/>
      <c r="CO140" s="43"/>
      <c r="CP140" s="43"/>
      <c r="CQ140" s="43"/>
      <c r="CR140" s="43"/>
      <c r="CS140" s="43"/>
      <c r="CT140" s="63"/>
      <c r="CV140" s="43"/>
      <c r="CW140" s="43"/>
      <c r="CX140" s="43"/>
      <c r="CY140" s="43"/>
      <c r="CZ140" s="43"/>
      <c r="DA140" s="43"/>
      <c r="DB140" s="63"/>
      <c r="DD140" s="43"/>
      <c r="DE140" s="43"/>
      <c r="DF140" s="43"/>
      <c r="DG140" s="43"/>
      <c r="DH140" s="43"/>
      <c r="DI140" s="43"/>
      <c r="DJ140" s="63"/>
    </row>
    <row r="141" spans="1:114" x14ac:dyDescent="0.25">
      <c r="A141" s="43"/>
      <c r="B141" s="63"/>
      <c r="D141" s="43"/>
      <c r="E141" s="43"/>
      <c r="F141" s="43"/>
      <c r="G141" s="43"/>
      <c r="H141" s="43"/>
      <c r="I141" s="43"/>
      <c r="J141" s="63"/>
      <c r="L141" s="43"/>
      <c r="M141" s="43"/>
      <c r="N141" s="43"/>
      <c r="O141" s="43"/>
      <c r="P141" s="43"/>
      <c r="Q141" s="43"/>
      <c r="R141" s="63"/>
      <c r="T141" s="43"/>
      <c r="U141" s="43"/>
      <c r="V141" s="43"/>
      <c r="W141" s="43"/>
      <c r="X141" s="43"/>
      <c r="Y141" s="43"/>
      <c r="Z141" s="63"/>
      <c r="AB141" s="43"/>
      <c r="AC141" s="43"/>
      <c r="AD141" s="43"/>
      <c r="AE141" s="43"/>
      <c r="AF141" s="43"/>
      <c r="AG141" s="43"/>
      <c r="AH141" s="63"/>
      <c r="AJ141" s="43"/>
      <c r="AK141" s="43"/>
      <c r="AL141" s="43"/>
      <c r="AM141" s="43"/>
      <c r="AN141" s="43"/>
      <c r="AO141" s="43"/>
      <c r="AP141" s="63"/>
      <c r="AR141" s="43"/>
      <c r="AS141" s="43"/>
      <c r="AT141" s="43"/>
      <c r="AU141" s="43"/>
      <c r="AV141" s="43"/>
      <c r="AW141" s="43"/>
      <c r="AX141" s="63"/>
      <c r="AZ141" s="43"/>
      <c r="BA141" s="43"/>
      <c r="BB141" s="43"/>
      <c r="BC141" s="43"/>
      <c r="BD141" s="43"/>
      <c r="BE141" s="43"/>
      <c r="BF141" s="63"/>
      <c r="BH141" s="43"/>
      <c r="BI141" s="43"/>
      <c r="BJ141" s="43"/>
      <c r="BK141" s="43"/>
      <c r="BL141" s="43"/>
      <c r="BM141" s="43"/>
      <c r="BN141" s="63"/>
      <c r="BP141" s="43"/>
      <c r="BQ141" s="43"/>
      <c r="BR141" s="43"/>
      <c r="BS141" s="43"/>
      <c r="BT141" s="43"/>
      <c r="BU141" s="43"/>
      <c r="BV141" s="63"/>
      <c r="BX141" s="43"/>
      <c r="BY141" s="43"/>
      <c r="BZ141" s="43"/>
      <c r="CA141" s="43"/>
      <c r="CB141" s="43"/>
      <c r="CC141" s="43"/>
      <c r="CD141" s="63"/>
      <c r="CF141" s="43"/>
      <c r="CG141" s="43"/>
      <c r="CH141" s="43"/>
      <c r="CI141" s="43"/>
      <c r="CJ141" s="43"/>
      <c r="CK141" s="43"/>
      <c r="CL141" s="63"/>
      <c r="CN141" s="43"/>
      <c r="CO141" s="43"/>
      <c r="CP141" s="43"/>
      <c r="CQ141" s="43"/>
      <c r="CR141" s="43"/>
      <c r="CS141" s="43"/>
      <c r="CT141" s="63"/>
      <c r="CV141" s="43"/>
      <c r="CW141" s="43"/>
      <c r="CX141" s="43"/>
      <c r="CY141" s="43"/>
      <c r="CZ141" s="43"/>
      <c r="DA141" s="43"/>
      <c r="DB141" s="63"/>
      <c r="DD141" s="43"/>
      <c r="DE141" s="43"/>
      <c r="DF141" s="43"/>
      <c r="DG141" s="43"/>
      <c r="DH141" s="43"/>
      <c r="DI141" s="43"/>
      <c r="DJ141" s="63"/>
    </row>
    <row r="142" spans="1:114" x14ac:dyDescent="0.25">
      <c r="A142" s="43"/>
      <c r="B142" s="63"/>
      <c r="D142" s="43"/>
      <c r="E142" s="43"/>
      <c r="F142" s="43"/>
      <c r="G142" s="43"/>
      <c r="H142" s="43"/>
      <c r="I142" s="43"/>
      <c r="J142" s="63"/>
      <c r="L142" s="43"/>
      <c r="M142" s="43"/>
      <c r="N142" s="43"/>
      <c r="O142" s="43"/>
      <c r="P142" s="43"/>
      <c r="Q142" s="43"/>
      <c r="R142" s="63"/>
      <c r="T142" s="43"/>
      <c r="U142" s="43"/>
      <c r="V142" s="43"/>
      <c r="W142" s="43"/>
      <c r="X142" s="43"/>
      <c r="Y142" s="43"/>
      <c r="Z142" s="63"/>
      <c r="AB142" s="43"/>
      <c r="AC142" s="43"/>
      <c r="AD142" s="43"/>
      <c r="AE142" s="43"/>
      <c r="AF142" s="43"/>
      <c r="AG142" s="43"/>
      <c r="AH142" s="63"/>
      <c r="AJ142" s="43"/>
      <c r="AK142" s="43"/>
      <c r="AL142" s="43"/>
      <c r="AM142" s="43"/>
      <c r="AN142" s="43"/>
      <c r="AO142" s="43"/>
      <c r="AP142" s="63"/>
      <c r="AR142" s="43"/>
      <c r="AS142" s="43"/>
      <c r="AT142" s="43"/>
      <c r="AU142" s="43"/>
      <c r="AV142" s="43"/>
      <c r="AW142" s="43"/>
      <c r="AX142" s="63"/>
      <c r="AZ142" s="43"/>
      <c r="BA142" s="43"/>
      <c r="BB142" s="43"/>
      <c r="BC142" s="43"/>
      <c r="BD142" s="43"/>
      <c r="BE142" s="43"/>
      <c r="BF142" s="63"/>
      <c r="BH142" s="43"/>
      <c r="BI142" s="43"/>
      <c r="BJ142" s="43"/>
      <c r="BK142" s="43"/>
      <c r="BL142" s="43"/>
      <c r="BM142" s="43"/>
      <c r="BN142" s="63"/>
      <c r="BP142" s="43"/>
      <c r="BQ142" s="43"/>
      <c r="BR142" s="43"/>
      <c r="BS142" s="43"/>
      <c r="BT142" s="43"/>
      <c r="BU142" s="43"/>
      <c r="BV142" s="63"/>
      <c r="BX142" s="43"/>
      <c r="BY142" s="43"/>
      <c r="BZ142" s="43"/>
      <c r="CA142" s="43"/>
      <c r="CB142" s="43"/>
      <c r="CC142" s="43"/>
      <c r="CD142" s="63"/>
      <c r="CF142" s="43"/>
      <c r="CG142" s="43"/>
      <c r="CH142" s="43"/>
      <c r="CI142" s="43"/>
      <c r="CJ142" s="43"/>
      <c r="CK142" s="43"/>
      <c r="CL142" s="63"/>
      <c r="CN142" s="43"/>
      <c r="CO142" s="43"/>
      <c r="CP142" s="43"/>
      <c r="CQ142" s="43"/>
      <c r="CR142" s="43"/>
      <c r="CS142" s="43"/>
      <c r="CT142" s="63"/>
      <c r="CV142" s="43"/>
      <c r="CW142" s="43"/>
      <c r="CX142" s="43"/>
      <c r="CY142" s="43"/>
      <c r="CZ142" s="43"/>
      <c r="DA142" s="43"/>
      <c r="DB142" s="63"/>
      <c r="DD142" s="43"/>
      <c r="DE142" s="43"/>
      <c r="DF142" s="43"/>
      <c r="DG142" s="43"/>
      <c r="DH142" s="43"/>
      <c r="DI142" s="43"/>
      <c r="DJ142" s="63"/>
    </row>
    <row r="143" spans="1:114" x14ac:dyDescent="0.25">
      <c r="A143" s="43"/>
      <c r="B143" s="63"/>
      <c r="D143" s="43"/>
      <c r="E143" s="43"/>
      <c r="F143" s="43"/>
      <c r="G143" s="43"/>
      <c r="H143" s="43"/>
      <c r="I143" s="43"/>
      <c r="J143" s="63"/>
      <c r="L143" s="43"/>
      <c r="M143" s="43"/>
      <c r="N143" s="43"/>
      <c r="O143" s="43"/>
      <c r="P143" s="43"/>
      <c r="Q143" s="43"/>
      <c r="R143" s="63"/>
      <c r="T143" s="43"/>
      <c r="U143" s="43"/>
      <c r="V143" s="43"/>
      <c r="W143" s="43"/>
      <c r="X143" s="43"/>
      <c r="Y143" s="43"/>
      <c r="Z143" s="63"/>
      <c r="AB143" s="43"/>
      <c r="AC143" s="43"/>
      <c r="AD143" s="43"/>
      <c r="AE143" s="43"/>
      <c r="AF143" s="43"/>
      <c r="AG143" s="43"/>
      <c r="AH143" s="63"/>
      <c r="AJ143" s="43"/>
      <c r="AK143" s="43"/>
      <c r="AL143" s="43"/>
      <c r="AM143" s="43"/>
      <c r="AN143" s="43"/>
      <c r="AO143" s="43"/>
      <c r="AP143" s="63"/>
      <c r="AR143" s="43"/>
      <c r="AS143" s="43"/>
      <c r="AT143" s="43"/>
      <c r="AU143" s="43"/>
      <c r="AV143" s="43"/>
      <c r="AW143" s="43"/>
      <c r="AX143" s="63"/>
      <c r="AZ143" s="43"/>
      <c r="BA143" s="43"/>
      <c r="BB143" s="43"/>
      <c r="BC143" s="43"/>
      <c r="BD143" s="43"/>
      <c r="BE143" s="43"/>
      <c r="BF143" s="63"/>
      <c r="BH143" s="43"/>
      <c r="BI143" s="43"/>
      <c r="BJ143" s="43"/>
      <c r="BK143" s="43"/>
      <c r="BL143" s="43"/>
      <c r="BM143" s="43"/>
      <c r="BN143" s="63"/>
      <c r="BP143" s="43"/>
      <c r="BQ143" s="43"/>
      <c r="BR143" s="43"/>
      <c r="BS143" s="43"/>
      <c r="BT143" s="43"/>
      <c r="BU143" s="43"/>
      <c r="BV143" s="63"/>
      <c r="BX143" s="43"/>
      <c r="BY143" s="43"/>
      <c r="BZ143" s="43"/>
      <c r="CA143" s="43"/>
      <c r="CB143" s="43"/>
      <c r="CC143" s="43"/>
      <c r="CD143" s="63"/>
      <c r="CF143" s="43"/>
      <c r="CG143" s="43"/>
      <c r="CH143" s="43"/>
      <c r="CI143" s="43"/>
      <c r="CJ143" s="43"/>
      <c r="CK143" s="43"/>
      <c r="CL143" s="63"/>
      <c r="CN143" s="43"/>
      <c r="CO143" s="43"/>
      <c r="CP143" s="43"/>
      <c r="CQ143" s="43"/>
      <c r="CR143" s="43"/>
      <c r="CS143" s="43"/>
      <c r="CT143" s="63"/>
      <c r="CV143" s="43"/>
      <c r="CW143" s="43"/>
      <c r="CX143" s="43"/>
      <c r="CY143" s="43"/>
      <c r="CZ143" s="43"/>
      <c r="DA143" s="43"/>
      <c r="DB143" s="63"/>
      <c r="DD143" s="43"/>
      <c r="DE143" s="43"/>
      <c r="DF143" s="43"/>
      <c r="DG143" s="43"/>
      <c r="DH143" s="43"/>
      <c r="DI143" s="43"/>
      <c r="DJ143" s="63"/>
    </row>
    <row r="144" spans="1:114" x14ac:dyDescent="0.25">
      <c r="A144" s="43"/>
      <c r="B144" s="63"/>
      <c r="D144" s="43"/>
      <c r="E144" s="43"/>
      <c r="F144" s="43"/>
      <c r="G144" s="43"/>
      <c r="H144" s="43"/>
      <c r="I144" s="43"/>
      <c r="J144" s="63"/>
      <c r="L144" s="43"/>
      <c r="M144" s="43"/>
      <c r="N144" s="43"/>
      <c r="O144" s="43"/>
      <c r="P144" s="43"/>
      <c r="Q144" s="43"/>
      <c r="R144" s="63"/>
      <c r="T144" s="43"/>
      <c r="U144" s="43"/>
      <c r="V144" s="43"/>
      <c r="W144" s="43"/>
      <c r="X144" s="43"/>
      <c r="Y144" s="43"/>
      <c r="Z144" s="63"/>
      <c r="AB144" s="43"/>
      <c r="AC144" s="43"/>
      <c r="AD144" s="43"/>
      <c r="AE144" s="43"/>
      <c r="AF144" s="43"/>
      <c r="AG144" s="43"/>
      <c r="AH144" s="63"/>
      <c r="AJ144" s="43"/>
      <c r="AK144" s="43"/>
      <c r="AL144" s="43"/>
      <c r="AM144" s="43"/>
      <c r="AN144" s="43"/>
      <c r="AO144" s="43"/>
      <c r="AP144" s="63"/>
      <c r="AR144" s="43"/>
      <c r="AS144" s="43"/>
      <c r="AT144" s="43"/>
      <c r="AU144" s="43"/>
      <c r="AV144" s="43"/>
      <c r="AW144" s="43"/>
      <c r="AX144" s="63"/>
      <c r="AZ144" s="43"/>
      <c r="BA144" s="43"/>
      <c r="BB144" s="43"/>
      <c r="BC144" s="43"/>
      <c r="BD144" s="43"/>
      <c r="BE144" s="43"/>
      <c r="BF144" s="63"/>
      <c r="BH144" s="43"/>
      <c r="BI144" s="43"/>
      <c r="BJ144" s="43"/>
      <c r="BK144" s="43"/>
      <c r="BL144" s="43"/>
      <c r="BM144" s="43"/>
      <c r="BN144" s="63"/>
      <c r="BP144" s="43"/>
      <c r="BQ144" s="43"/>
      <c r="BR144" s="43"/>
      <c r="BS144" s="43"/>
      <c r="BT144" s="43"/>
      <c r="BU144" s="43"/>
      <c r="BV144" s="63"/>
      <c r="BX144" s="43"/>
      <c r="BY144" s="43"/>
      <c r="BZ144" s="43"/>
      <c r="CA144" s="43"/>
      <c r="CB144" s="43"/>
      <c r="CC144" s="43"/>
      <c r="CD144" s="63"/>
      <c r="CF144" s="43"/>
      <c r="CG144" s="43"/>
      <c r="CH144" s="43"/>
      <c r="CI144" s="43"/>
      <c r="CJ144" s="43"/>
      <c r="CK144" s="43"/>
      <c r="CL144" s="63"/>
      <c r="CN144" s="43"/>
      <c r="CO144" s="43"/>
      <c r="CP144" s="43"/>
      <c r="CQ144" s="43"/>
      <c r="CR144" s="43"/>
      <c r="CS144" s="43"/>
      <c r="CT144" s="63"/>
      <c r="CV144" s="43"/>
      <c r="CW144" s="43"/>
      <c r="CX144" s="43"/>
      <c r="CY144" s="43"/>
      <c r="CZ144" s="43"/>
      <c r="DA144" s="43"/>
      <c r="DB144" s="63"/>
      <c r="DD144" s="43"/>
      <c r="DE144" s="43"/>
      <c r="DF144" s="43"/>
      <c r="DG144" s="43"/>
      <c r="DH144" s="43"/>
      <c r="DI144" s="43"/>
      <c r="DJ144" s="63"/>
    </row>
    <row r="145" spans="1:114" x14ac:dyDescent="0.25">
      <c r="A145" s="43"/>
      <c r="B145" s="63"/>
      <c r="D145" s="43"/>
      <c r="E145" s="43"/>
      <c r="F145" s="43"/>
      <c r="G145" s="43"/>
      <c r="H145" s="43"/>
      <c r="I145" s="43"/>
      <c r="J145" s="63"/>
      <c r="L145" s="43"/>
      <c r="M145" s="43"/>
      <c r="N145" s="43"/>
      <c r="O145" s="43"/>
      <c r="P145" s="43"/>
      <c r="Q145" s="43"/>
      <c r="R145" s="63"/>
      <c r="T145" s="43"/>
      <c r="U145" s="43"/>
      <c r="V145" s="43"/>
      <c r="W145" s="43"/>
      <c r="X145" s="43"/>
      <c r="Y145" s="43"/>
      <c r="Z145" s="63"/>
      <c r="AB145" s="43"/>
      <c r="AC145" s="43"/>
      <c r="AD145" s="43"/>
      <c r="AE145" s="43"/>
      <c r="AF145" s="43"/>
      <c r="AG145" s="43"/>
      <c r="AH145" s="63"/>
      <c r="AJ145" s="43"/>
      <c r="AK145" s="43"/>
      <c r="AL145" s="43"/>
      <c r="AM145" s="43"/>
      <c r="AN145" s="43"/>
      <c r="AO145" s="43"/>
      <c r="AP145" s="63"/>
      <c r="AR145" s="43"/>
      <c r="AS145" s="43"/>
      <c r="AT145" s="43"/>
      <c r="AU145" s="43"/>
      <c r="AV145" s="43"/>
      <c r="AW145" s="43"/>
      <c r="AX145" s="63"/>
      <c r="AZ145" s="43"/>
      <c r="BA145" s="43"/>
      <c r="BB145" s="43"/>
      <c r="BC145" s="43"/>
      <c r="BD145" s="43"/>
      <c r="BE145" s="43"/>
      <c r="BF145" s="63"/>
      <c r="BH145" s="43"/>
      <c r="BI145" s="43"/>
      <c r="BJ145" s="43"/>
      <c r="BK145" s="43"/>
      <c r="BL145" s="43"/>
      <c r="BM145" s="43"/>
      <c r="BN145" s="63"/>
      <c r="BP145" s="43"/>
      <c r="BQ145" s="43"/>
      <c r="BR145" s="43"/>
      <c r="BS145" s="43"/>
      <c r="BT145" s="43"/>
      <c r="BU145" s="43"/>
      <c r="BV145" s="63"/>
      <c r="BX145" s="43"/>
      <c r="BY145" s="43"/>
      <c r="BZ145" s="43"/>
      <c r="CA145" s="43"/>
      <c r="CB145" s="43"/>
      <c r="CC145" s="43"/>
      <c r="CD145" s="63"/>
      <c r="CF145" s="43"/>
      <c r="CG145" s="43"/>
      <c r="CH145" s="43"/>
      <c r="CI145" s="43"/>
      <c r="CJ145" s="43"/>
      <c r="CK145" s="43"/>
      <c r="CL145" s="63"/>
      <c r="CN145" s="43"/>
      <c r="CO145" s="43"/>
      <c r="CP145" s="43"/>
      <c r="CQ145" s="43"/>
      <c r="CR145" s="43"/>
      <c r="CS145" s="43"/>
      <c r="CT145" s="63"/>
      <c r="CV145" s="43"/>
      <c r="CW145" s="43"/>
      <c r="CX145" s="43"/>
      <c r="CY145" s="43"/>
      <c r="CZ145" s="43"/>
      <c r="DA145" s="43"/>
      <c r="DB145" s="63"/>
      <c r="DD145" s="43"/>
      <c r="DE145" s="43"/>
      <c r="DF145" s="43"/>
      <c r="DG145" s="43"/>
      <c r="DH145" s="43"/>
      <c r="DI145" s="43"/>
      <c r="DJ145" s="63"/>
    </row>
    <row r="146" spans="1:114" x14ac:dyDescent="0.25">
      <c r="A146" s="43"/>
      <c r="B146" s="63"/>
      <c r="D146" s="43"/>
      <c r="E146" s="43"/>
      <c r="F146" s="43"/>
      <c r="G146" s="43"/>
      <c r="H146" s="43"/>
      <c r="I146" s="43"/>
      <c r="J146" s="63"/>
      <c r="L146" s="43"/>
      <c r="M146" s="43"/>
      <c r="N146" s="43"/>
      <c r="O146" s="43"/>
      <c r="P146" s="43"/>
      <c r="Q146" s="43"/>
      <c r="R146" s="63"/>
      <c r="T146" s="43"/>
      <c r="U146" s="43"/>
      <c r="V146" s="43"/>
      <c r="W146" s="43"/>
      <c r="X146" s="43"/>
      <c r="Y146" s="43"/>
      <c r="Z146" s="63"/>
      <c r="AB146" s="43"/>
      <c r="AC146" s="43"/>
      <c r="AD146" s="43"/>
      <c r="AE146" s="43"/>
      <c r="AF146" s="43"/>
      <c r="AG146" s="43"/>
      <c r="AH146" s="63"/>
      <c r="AJ146" s="43"/>
      <c r="AK146" s="43"/>
      <c r="AL146" s="43"/>
      <c r="AM146" s="43"/>
      <c r="AN146" s="43"/>
      <c r="AO146" s="43"/>
      <c r="AP146" s="63"/>
      <c r="AR146" s="43"/>
      <c r="AS146" s="43"/>
      <c r="AT146" s="43"/>
      <c r="AU146" s="43"/>
      <c r="AV146" s="43"/>
      <c r="AW146" s="43"/>
      <c r="AX146" s="63"/>
      <c r="AZ146" s="43"/>
      <c r="BA146" s="43"/>
      <c r="BB146" s="43"/>
      <c r="BC146" s="43"/>
      <c r="BD146" s="43"/>
      <c r="BE146" s="43"/>
      <c r="BF146" s="63"/>
      <c r="BH146" s="43"/>
      <c r="BI146" s="43"/>
      <c r="BJ146" s="43"/>
      <c r="BK146" s="43"/>
      <c r="BL146" s="43"/>
      <c r="BM146" s="43"/>
      <c r="BN146" s="63"/>
      <c r="BP146" s="43"/>
      <c r="BQ146" s="43"/>
      <c r="BR146" s="43"/>
      <c r="BS146" s="43"/>
      <c r="BT146" s="43"/>
      <c r="BU146" s="43"/>
      <c r="BV146" s="63"/>
      <c r="BX146" s="43"/>
      <c r="BY146" s="43"/>
      <c r="BZ146" s="43"/>
      <c r="CA146" s="43"/>
      <c r="CB146" s="43"/>
      <c r="CC146" s="43"/>
      <c r="CD146" s="63"/>
      <c r="CF146" s="43"/>
      <c r="CG146" s="43"/>
      <c r="CH146" s="43"/>
      <c r="CI146" s="43"/>
      <c r="CJ146" s="43"/>
      <c r="CK146" s="43"/>
      <c r="CL146" s="63"/>
      <c r="CN146" s="43"/>
      <c r="CO146" s="43"/>
      <c r="CP146" s="43"/>
      <c r="CQ146" s="43"/>
      <c r="CR146" s="43"/>
      <c r="CS146" s="43"/>
      <c r="CT146" s="63"/>
      <c r="CV146" s="43"/>
      <c r="CW146" s="43"/>
      <c r="CX146" s="43"/>
      <c r="CY146" s="43"/>
      <c r="CZ146" s="43"/>
      <c r="DA146" s="43"/>
      <c r="DB146" s="63"/>
      <c r="DD146" s="43"/>
      <c r="DE146" s="43"/>
      <c r="DF146" s="43"/>
      <c r="DG146" s="43"/>
      <c r="DH146" s="43"/>
      <c r="DI146" s="43"/>
      <c r="DJ146" s="63"/>
    </row>
    <row r="147" spans="1:114" x14ac:dyDescent="0.25">
      <c r="A147" s="43"/>
      <c r="B147" s="63"/>
      <c r="D147" s="43"/>
      <c r="E147" s="43"/>
      <c r="F147" s="43"/>
      <c r="G147" s="43"/>
      <c r="H147" s="43"/>
      <c r="I147" s="43"/>
      <c r="J147" s="63"/>
      <c r="L147" s="43"/>
      <c r="M147" s="43"/>
      <c r="N147" s="43"/>
      <c r="O147" s="43"/>
      <c r="P147" s="43"/>
      <c r="Q147" s="43"/>
      <c r="R147" s="63"/>
      <c r="T147" s="43"/>
      <c r="U147" s="43"/>
      <c r="V147" s="43"/>
      <c r="W147" s="43"/>
      <c r="X147" s="43"/>
      <c r="Y147" s="43"/>
      <c r="Z147" s="63"/>
      <c r="AB147" s="43"/>
      <c r="AC147" s="43"/>
      <c r="AD147" s="43"/>
      <c r="AE147" s="43"/>
      <c r="AF147" s="43"/>
      <c r="AG147" s="43"/>
      <c r="AH147" s="63"/>
      <c r="AJ147" s="43"/>
      <c r="AK147" s="43"/>
      <c r="AL147" s="43"/>
      <c r="AM147" s="43"/>
      <c r="AN147" s="43"/>
      <c r="AO147" s="43"/>
      <c r="AP147" s="63"/>
      <c r="AR147" s="43"/>
      <c r="AS147" s="43"/>
      <c r="AT147" s="43"/>
      <c r="AU147" s="43"/>
      <c r="AV147" s="43"/>
      <c r="AW147" s="43"/>
      <c r="AX147" s="63"/>
      <c r="AZ147" s="43"/>
      <c r="BA147" s="43"/>
      <c r="BB147" s="43"/>
      <c r="BC147" s="43"/>
      <c r="BD147" s="43"/>
      <c r="BE147" s="43"/>
      <c r="BF147" s="63"/>
      <c r="BH147" s="43"/>
      <c r="BI147" s="43"/>
      <c r="BJ147" s="43"/>
      <c r="BK147" s="43"/>
      <c r="BL147" s="43"/>
      <c r="BM147" s="43"/>
      <c r="BN147" s="63"/>
      <c r="BP147" s="43"/>
      <c r="BQ147" s="43"/>
      <c r="BR147" s="43"/>
      <c r="BS147" s="43"/>
      <c r="BT147" s="43"/>
      <c r="BU147" s="43"/>
      <c r="BV147" s="63"/>
      <c r="BX147" s="43"/>
      <c r="BY147" s="43"/>
      <c r="BZ147" s="43"/>
      <c r="CA147" s="43"/>
      <c r="CB147" s="43"/>
      <c r="CC147" s="43"/>
      <c r="CD147" s="63"/>
      <c r="CF147" s="43"/>
      <c r="CG147" s="43"/>
      <c r="CH147" s="43"/>
      <c r="CI147" s="43"/>
      <c r="CJ147" s="43"/>
      <c r="CK147" s="43"/>
      <c r="CL147" s="63"/>
      <c r="CN147" s="43"/>
      <c r="CO147" s="43"/>
      <c r="CP147" s="43"/>
      <c r="CQ147" s="43"/>
      <c r="CR147" s="43"/>
      <c r="CS147" s="43"/>
      <c r="CT147" s="63"/>
      <c r="CV147" s="43"/>
      <c r="CW147" s="43"/>
      <c r="CX147" s="43"/>
      <c r="CY147" s="43"/>
      <c r="CZ147" s="43"/>
      <c r="DA147" s="43"/>
      <c r="DB147" s="63"/>
      <c r="DD147" s="43"/>
      <c r="DE147" s="43"/>
      <c r="DF147" s="43"/>
      <c r="DG147" s="43"/>
      <c r="DH147" s="43"/>
      <c r="DI147" s="43"/>
      <c r="DJ147" s="63"/>
    </row>
    <row r="148" spans="1:114" x14ac:dyDescent="0.25">
      <c r="A148" s="43"/>
      <c r="B148" s="63"/>
      <c r="D148" s="43"/>
      <c r="E148" s="43"/>
      <c r="F148" s="43"/>
      <c r="G148" s="43"/>
      <c r="H148" s="43"/>
      <c r="I148" s="43"/>
      <c r="J148" s="63"/>
      <c r="L148" s="43"/>
      <c r="M148" s="43"/>
      <c r="N148" s="43"/>
      <c r="O148" s="43"/>
      <c r="P148" s="43"/>
      <c r="Q148" s="43"/>
      <c r="R148" s="63"/>
      <c r="T148" s="43"/>
      <c r="U148" s="43"/>
      <c r="V148" s="43"/>
      <c r="W148" s="43"/>
      <c r="X148" s="43"/>
      <c r="Y148" s="43"/>
      <c r="Z148" s="63"/>
      <c r="AB148" s="43"/>
      <c r="AC148" s="43"/>
      <c r="AD148" s="43"/>
      <c r="AE148" s="43"/>
      <c r="AF148" s="43"/>
      <c r="AG148" s="43"/>
      <c r="AH148" s="63"/>
      <c r="AJ148" s="43"/>
      <c r="AK148" s="43"/>
      <c r="AL148" s="43"/>
      <c r="AM148" s="43"/>
      <c r="AN148" s="43"/>
      <c r="AO148" s="43"/>
      <c r="AP148" s="63"/>
      <c r="AR148" s="43"/>
      <c r="AS148" s="43"/>
      <c r="AT148" s="43"/>
      <c r="AU148" s="43"/>
      <c r="AV148" s="43"/>
      <c r="AW148" s="43"/>
      <c r="AX148" s="63"/>
      <c r="AZ148" s="43"/>
      <c r="BA148" s="43"/>
      <c r="BB148" s="43"/>
      <c r="BC148" s="43"/>
      <c r="BD148" s="43"/>
      <c r="BE148" s="43"/>
      <c r="BF148" s="63"/>
      <c r="BH148" s="43"/>
      <c r="BI148" s="43"/>
      <c r="BJ148" s="43"/>
      <c r="BK148" s="43"/>
      <c r="BL148" s="43"/>
      <c r="BM148" s="43"/>
      <c r="BN148" s="63"/>
      <c r="BP148" s="43"/>
      <c r="BQ148" s="43"/>
      <c r="BR148" s="43"/>
      <c r="BS148" s="43"/>
      <c r="BT148" s="43"/>
      <c r="BU148" s="43"/>
      <c r="BV148" s="63"/>
      <c r="BX148" s="43"/>
      <c r="BY148" s="43"/>
      <c r="BZ148" s="43"/>
      <c r="CA148" s="43"/>
      <c r="CB148" s="43"/>
      <c r="CC148" s="43"/>
      <c r="CD148" s="63"/>
      <c r="CF148" s="43"/>
      <c r="CG148" s="43"/>
      <c r="CH148" s="43"/>
      <c r="CI148" s="43"/>
      <c r="CJ148" s="43"/>
      <c r="CK148" s="43"/>
      <c r="CL148" s="63"/>
      <c r="CN148" s="43"/>
      <c r="CO148" s="43"/>
      <c r="CP148" s="43"/>
      <c r="CQ148" s="43"/>
      <c r="CR148" s="43"/>
      <c r="CS148" s="43"/>
      <c r="CT148" s="63"/>
      <c r="CV148" s="43"/>
      <c r="CW148" s="43"/>
      <c r="CX148" s="43"/>
      <c r="CY148" s="43"/>
      <c r="CZ148" s="43"/>
      <c r="DA148" s="43"/>
      <c r="DB148" s="63"/>
      <c r="DD148" s="43"/>
      <c r="DE148" s="43"/>
      <c r="DF148" s="43"/>
      <c r="DG148" s="43"/>
      <c r="DH148" s="43"/>
      <c r="DI148" s="43"/>
      <c r="DJ148" s="63"/>
    </row>
    <row r="149" spans="1:114" x14ac:dyDescent="0.25">
      <c r="A149" s="43"/>
      <c r="B149" s="63"/>
      <c r="D149" s="43"/>
      <c r="E149" s="43"/>
      <c r="F149" s="43"/>
      <c r="G149" s="43"/>
      <c r="H149" s="43"/>
      <c r="I149" s="43"/>
      <c r="J149" s="63"/>
      <c r="L149" s="43"/>
      <c r="M149" s="43"/>
      <c r="N149" s="43"/>
      <c r="O149" s="43"/>
      <c r="P149" s="43"/>
      <c r="Q149" s="43"/>
      <c r="R149" s="63"/>
      <c r="T149" s="43"/>
      <c r="U149" s="43"/>
      <c r="V149" s="43"/>
      <c r="W149" s="43"/>
      <c r="X149" s="43"/>
      <c r="Y149" s="43"/>
      <c r="Z149" s="63"/>
      <c r="AB149" s="43"/>
      <c r="AC149" s="43"/>
      <c r="AD149" s="43"/>
      <c r="AE149" s="43"/>
      <c r="AF149" s="43"/>
      <c r="AG149" s="43"/>
      <c r="AH149" s="63"/>
      <c r="AJ149" s="43"/>
      <c r="AK149" s="43"/>
      <c r="AL149" s="43"/>
      <c r="AM149" s="43"/>
      <c r="AN149" s="43"/>
      <c r="AO149" s="43"/>
      <c r="AP149" s="63"/>
      <c r="AR149" s="43"/>
      <c r="AS149" s="43"/>
      <c r="AT149" s="43"/>
      <c r="AU149" s="43"/>
      <c r="AV149" s="43"/>
      <c r="AW149" s="43"/>
      <c r="AX149" s="63"/>
      <c r="AZ149" s="43"/>
      <c r="BA149" s="43"/>
      <c r="BB149" s="43"/>
      <c r="BC149" s="43"/>
      <c r="BD149" s="43"/>
      <c r="BE149" s="43"/>
      <c r="BF149" s="63"/>
      <c r="BH149" s="43"/>
      <c r="BI149" s="43"/>
      <c r="BJ149" s="43"/>
      <c r="BK149" s="43"/>
      <c r="BL149" s="43"/>
      <c r="BM149" s="43"/>
      <c r="BN149" s="63"/>
      <c r="BP149" s="43"/>
      <c r="BQ149" s="43"/>
      <c r="BR149" s="43"/>
      <c r="BS149" s="43"/>
      <c r="BT149" s="43"/>
      <c r="BU149" s="43"/>
      <c r="BV149" s="63"/>
      <c r="BX149" s="43"/>
      <c r="BY149" s="43"/>
      <c r="BZ149" s="43"/>
      <c r="CA149" s="43"/>
      <c r="CB149" s="43"/>
      <c r="CC149" s="43"/>
      <c r="CD149" s="63"/>
      <c r="CF149" s="43"/>
      <c r="CG149" s="43"/>
      <c r="CH149" s="43"/>
      <c r="CI149" s="43"/>
      <c r="CJ149" s="43"/>
      <c r="CK149" s="43"/>
      <c r="CL149" s="63"/>
      <c r="CN149" s="43"/>
      <c r="CO149" s="43"/>
      <c r="CP149" s="43"/>
      <c r="CQ149" s="43"/>
      <c r="CR149" s="43"/>
      <c r="CS149" s="43"/>
      <c r="CT149" s="63"/>
      <c r="CV149" s="43"/>
      <c r="CW149" s="43"/>
      <c r="CX149" s="43"/>
      <c r="CY149" s="43"/>
      <c r="CZ149" s="43"/>
      <c r="DA149" s="43"/>
      <c r="DB149" s="63"/>
      <c r="DD149" s="43"/>
      <c r="DE149" s="43"/>
      <c r="DF149" s="43"/>
      <c r="DG149" s="43"/>
      <c r="DH149" s="43"/>
      <c r="DI149" s="43"/>
      <c r="DJ149" s="63"/>
    </row>
    <row r="150" spans="1:114" x14ac:dyDescent="0.25">
      <c r="A150" s="43"/>
      <c r="B150" s="63"/>
      <c r="D150" s="43"/>
      <c r="E150" s="43"/>
      <c r="F150" s="43"/>
      <c r="G150" s="43"/>
      <c r="H150" s="43"/>
      <c r="I150" s="43"/>
      <c r="J150" s="63"/>
      <c r="L150" s="43"/>
      <c r="M150" s="43"/>
      <c r="N150" s="43"/>
      <c r="O150" s="43"/>
      <c r="P150" s="43"/>
      <c r="Q150" s="43"/>
      <c r="R150" s="63"/>
      <c r="T150" s="43"/>
      <c r="U150" s="43"/>
      <c r="V150" s="43"/>
      <c r="W150" s="43"/>
      <c r="X150" s="43"/>
      <c r="Y150" s="43"/>
      <c r="Z150" s="63"/>
      <c r="AB150" s="43"/>
      <c r="AC150" s="43"/>
      <c r="AD150" s="43"/>
      <c r="AE150" s="43"/>
      <c r="AF150" s="43"/>
      <c r="AG150" s="43"/>
      <c r="AH150" s="63"/>
      <c r="AJ150" s="43"/>
      <c r="AK150" s="43"/>
      <c r="AL150" s="43"/>
      <c r="AM150" s="43"/>
      <c r="AN150" s="43"/>
      <c r="AO150" s="43"/>
      <c r="AP150" s="63"/>
      <c r="AR150" s="43"/>
      <c r="AS150" s="43"/>
      <c r="AT150" s="43"/>
      <c r="AU150" s="43"/>
      <c r="AV150" s="43"/>
      <c r="AW150" s="43"/>
      <c r="AX150" s="63"/>
      <c r="AZ150" s="43"/>
      <c r="BA150" s="43"/>
      <c r="BB150" s="43"/>
      <c r="BC150" s="43"/>
      <c r="BD150" s="43"/>
      <c r="BE150" s="43"/>
      <c r="BF150" s="63"/>
      <c r="BH150" s="43"/>
      <c r="BI150" s="43"/>
      <c r="BJ150" s="43"/>
      <c r="BK150" s="43"/>
      <c r="BL150" s="43"/>
      <c r="BM150" s="43"/>
      <c r="BN150" s="63"/>
      <c r="BP150" s="43"/>
      <c r="BQ150" s="43"/>
      <c r="BR150" s="43"/>
      <c r="BS150" s="43"/>
      <c r="BT150" s="43"/>
      <c r="BU150" s="43"/>
      <c r="BV150" s="63"/>
      <c r="BX150" s="43"/>
      <c r="BY150" s="43"/>
      <c r="BZ150" s="43"/>
      <c r="CA150" s="43"/>
      <c r="CB150" s="43"/>
      <c r="CC150" s="43"/>
      <c r="CD150" s="63"/>
      <c r="CF150" s="43"/>
      <c r="CG150" s="43"/>
      <c r="CH150" s="43"/>
      <c r="CI150" s="43"/>
      <c r="CJ150" s="43"/>
      <c r="CK150" s="43"/>
      <c r="CL150" s="63"/>
      <c r="CN150" s="43"/>
      <c r="CO150" s="43"/>
      <c r="CP150" s="43"/>
      <c r="CQ150" s="43"/>
      <c r="CR150" s="43"/>
      <c r="CS150" s="43"/>
      <c r="CT150" s="63"/>
      <c r="CV150" s="43"/>
      <c r="CW150" s="43"/>
      <c r="CX150" s="43"/>
      <c r="CY150" s="43"/>
      <c r="CZ150" s="43"/>
      <c r="DA150" s="43"/>
      <c r="DB150" s="63"/>
      <c r="DD150" s="43"/>
      <c r="DE150" s="43"/>
      <c r="DF150" s="43"/>
      <c r="DG150" s="43"/>
      <c r="DH150" s="43"/>
      <c r="DI150" s="43"/>
      <c r="DJ150" s="63"/>
    </row>
    <row r="151" spans="1:114" x14ac:dyDescent="0.25">
      <c r="D151" s="43"/>
      <c r="E151" s="43"/>
      <c r="F151" s="43"/>
      <c r="G151" s="43"/>
      <c r="H151" s="43"/>
      <c r="I151" s="43"/>
      <c r="J151" s="63"/>
    </row>
    <row r="152" spans="1:114" x14ac:dyDescent="0.25">
      <c r="D152" s="43"/>
      <c r="E152" s="43"/>
      <c r="F152" s="43"/>
      <c r="G152" s="43"/>
      <c r="H152" s="43"/>
      <c r="I152" s="43"/>
      <c r="J152" s="63"/>
    </row>
    <row r="153" spans="1:114" x14ac:dyDescent="0.25">
      <c r="D153" s="43"/>
      <c r="E153" s="43"/>
      <c r="F153" s="43"/>
      <c r="G153" s="43"/>
      <c r="H153" s="43"/>
      <c r="I153" s="43"/>
      <c r="J153" s="63"/>
    </row>
    <row r="154" spans="1:114" x14ac:dyDescent="0.25">
      <c r="D154" s="43"/>
      <c r="E154" s="43"/>
      <c r="F154" s="43"/>
      <c r="G154" s="43"/>
      <c r="H154" s="43"/>
      <c r="I154" s="43"/>
      <c r="J154" s="63"/>
    </row>
    <row r="155" spans="1:114" x14ac:dyDescent="0.25">
      <c r="D155" s="43"/>
      <c r="E155" s="43"/>
      <c r="F155" s="43"/>
      <c r="G155" s="43"/>
      <c r="H155" s="43"/>
      <c r="I155" s="43"/>
      <c r="J155" s="63"/>
    </row>
    <row r="156" spans="1:114" x14ac:dyDescent="0.25">
      <c r="D156" s="43"/>
      <c r="E156" s="43"/>
      <c r="F156" s="43"/>
      <c r="G156" s="43"/>
      <c r="H156" s="43"/>
      <c r="I156" s="43"/>
      <c r="J156" s="63"/>
    </row>
    <row r="157" spans="1:114" x14ac:dyDescent="0.25">
      <c r="D157" s="43"/>
      <c r="E157" s="43"/>
      <c r="F157" s="43"/>
      <c r="G157" s="43"/>
      <c r="H157" s="43"/>
      <c r="I157" s="43"/>
      <c r="J157" s="63"/>
    </row>
    <row r="158" spans="1:114" x14ac:dyDescent="0.25">
      <c r="D158" s="43"/>
      <c r="E158" s="43"/>
      <c r="F158" s="43"/>
      <c r="G158" s="43"/>
      <c r="H158" s="43"/>
      <c r="I158" s="43"/>
      <c r="J158" s="63"/>
    </row>
    <row r="159" spans="1:114" x14ac:dyDescent="0.25">
      <c r="D159" s="43"/>
      <c r="E159" s="43"/>
      <c r="F159" s="43"/>
      <c r="G159" s="43"/>
      <c r="H159" s="43"/>
      <c r="I159" s="43"/>
      <c r="J159" s="63"/>
    </row>
    <row r="160" spans="1:114" x14ac:dyDescent="0.25">
      <c r="D160" s="43"/>
      <c r="E160" s="43"/>
      <c r="F160" s="43"/>
      <c r="G160" s="43"/>
      <c r="H160" s="43"/>
      <c r="I160" s="43"/>
      <c r="J160" s="63"/>
    </row>
    <row r="161" spans="4:10" x14ac:dyDescent="0.25">
      <c r="D161" s="43"/>
      <c r="E161" s="43"/>
      <c r="F161" s="43"/>
      <c r="G161" s="43"/>
      <c r="H161" s="43"/>
      <c r="I161" s="43"/>
      <c r="J161" s="63"/>
    </row>
    <row r="162" spans="4:10" x14ac:dyDescent="0.25">
      <c r="D162" s="43"/>
      <c r="E162" s="43"/>
      <c r="F162" s="43"/>
      <c r="G162" s="43"/>
      <c r="H162" s="43"/>
      <c r="I162" s="43"/>
      <c r="J162" s="63"/>
    </row>
    <row r="163" spans="4:10" x14ac:dyDescent="0.25">
      <c r="D163" s="43"/>
      <c r="E163" s="43"/>
      <c r="F163" s="43"/>
      <c r="G163" s="43"/>
      <c r="H163" s="43"/>
      <c r="I163" s="43"/>
      <c r="J163" s="63"/>
    </row>
    <row r="164" spans="4:10" x14ac:dyDescent="0.25">
      <c r="D164" s="43"/>
      <c r="E164" s="43"/>
      <c r="F164" s="43"/>
      <c r="G164" s="43"/>
      <c r="H164" s="43"/>
      <c r="I164" s="43"/>
      <c r="J164" s="63"/>
    </row>
    <row r="165" spans="4:10" x14ac:dyDescent="0.25">
      <c r="D165" s="43"/>
      <c r="E165" s="43"/>
      <c r="F165" s="43"/>
      <c r="G165" s="43"/>
      <c r="H165" s="43"/>
      <c r="I165" s="43"/>
      <c r="J165" s="63"/>
    </row>
    <row r="166" spans="4:10" x14ac:dyDescent="0.25">
      <c r="D166" s="43"/>
      <c r="E166" s="43"/>
      <c r="F166" s="43"/>
      <c r="G166" s="43"/>
      <c r="H166" s="43"/>
      <c r="I166" s="43"/>
      <c r="J166" s="63"/>
    </row>
    <row r="167" spans="4:10" x14ac:dyDescent="0.25">
      <c r="D167" s="43"/>
      <c r="E167" s="43"/>
      <c r="F167" s="43"/>
      <c r="G167" s="43"/>
      <c r="H167" s="43"/>
      <c r="I167" s="43"/>
      <c r="J167" s="63"/>
    </row>
  </sheetData>
  <sheetProtection algorithmName="SHA-512" hashValue="RBTXSPUcdLa7nfuARUV1Vj1LOe7R2VN5VXI5U4sAqFCFZSp4htM5EbBgoeZNJJhrUZKpTnmC0NxOPgJaZILs/Q==" saltValue="SXozoV2OmK0CV31WHAtZMA==" spinCount="100000" sheet="1" objects="1" scenarios="1"/>
  <hyperlinks>
    <hyperlink ref="A1" location="Acceuil!A1" display="Retour a la page d'acceuil"/>
    <hyperlink ref="A2" location="Compt.!A1" display="Aller a la page Compt."/>
    <hyperlink ref="B1" location="Listes!A1" display="Aller à la liste"/>
  </hyperlinks>
  <pageMargins left="0.7" right="0.7" top="0.75" bottom="0.75" header="0.3" footer="0.3"/>
  <tableParts count="1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Stockage!$B$2:$B$15</xm:f>
          </x14:formula1>
          <xm:sqref>B3</xm:sqref>
        </x14:dataValidation>
        <x14:dataValidation type="list" allowBlank="1" showInputMessage="1" showErrorMessage="1" errorTitle="Erreur!!!" error="Désolé, la rubrique que vous saisissez ne se trouve pas dans la liste! Déroulez la liste et essayez a nouneau." promptTitle="Information" prompt="Veuillez dérouler la liste pour choisir une rubrique.">
          <x14:formula1>
            <xm:f>Listes!$A$7:$A$63</xm:f>
          </x14:formula1>
          <xm:sqref>DD5:DD70 CV5:CV70 CF5:CF70 BP5:BP70 BH5:BH70 AZ5:AZ70 AJ5:AJ70 AR5:AR70 AB5:AB70 T5:T70 L5:L70</xm:sqref>
        </x14:dataValidation>
        <x14:dataValidation type="list" allowBlank="1" showInputMessage="1" showErrorMessage="1" errorTitle="Erreur!!!" error="Désolé, la rubrique que vous saisissez ne se trouve pas dans la liste! Déroulez la liste et essayez a nouneau." promptTitle="Information" prompt="Veuillez dérouler la liste pour choisir une information.">
          <x14:formula1>
            <xm:f>Listes!$A$7:$A$63</xm:f>
          </x14:formula1>
          <xm:sqref>BX5:BX70</xm:sqref>
        </x14:dataValidation>
        <x14:dataValidation type="list" allowBlank="1" showInputMessage="1" showErrorMessage="1" errorTitle="Erreur!!!" error="Désolé, la rubrique que vous saisissez ne se trouve pas dans la liste! Déroulez la liste et essayez a nouneau." promptTitle="Information" prompt="Veuillez dérouler la liste pour choisir uine rubrique.">
          <x14:formula1>
            <xm:f>Listes!$A$7:$A$63</xm:f>
          </x14:formula1>
          <xm:sqref>CN5:CN70</xm:sqref>
        </x14:dataValidation>
        <x14:dataValidation type="list" allowBlank="1" showInputMessage="1" showErrorMessage="1" errorTitle="Erreur!!!" error="Désolé, la rubrique que vous saisissez ne se trouve pas dans la liste! Déroulez la liste et essayez a nouneau." promptTitle="Information" prompt="Veuillez dérouler la liste pour choisir une rubrique.">
          <x14:formula1>
            <xm:f>Listes!$A$7:$A$81</xm:f>
          </x14:formula1>
          <xm:sqref>D5:D70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J122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4" sqref="B4"/>
    </sheetView>
  </sheetViews>
  <sheetFormatPr baseColWidth="10" defaultColWidth="9.140625" defaultRowHeight="15" x14ac:dyDescent="0.25"/>
  <cols>
    <col min="1" max="1" width="20" style="10" customWidth="1"/>
    <col min="2" max="2" width="18.5703125" style="10" customWidth="1"/>
    <col min="3" max="3" width="2.42578125" style="10" customWidth="1"/>
    <col min="4" max="4" width="15.42578125" style="10" customWidth="1"/>
    <col min="5" max="5" width="15" style="10" customWidth="1"/>
    <col min="6" max="6" width="13.42578125" style="10" customWidth="1"/>
    <col min="7" max="7" width="56.85546875" style="10" customWidth="1"/>
    <col min="8" max="8" width="17.85546875" style="10" customWidth="1"/>
    <col min="9" max="10" width="14" style="10" customWidth="1"/>
    <col min="11" max="11" width="9.140625" style="10" customWidth="1"/>
    <col min="12" max="12" width="15.28515625" style="10" customWidth="1"/>
    <col min="13" max="13" width="13.7109375" style="10" customWidth="1"/>
    <col min="14" max="14" width="14.28515625" style="10" customWidth="1"/>
    <col min="15" max="15" width="55.42578125" style="10" customWidth="1"/>
    <col min="16" max="16" width="17.7109375" style="10" customWidth="1"/>
    <col min="17" max="17" width="16.140625" style="10" customWidth="1"/>
    <col min="18" max="18" width="14.140625" style="10" customWidth="1"/>
    <col min="19" max="19" width="10.7109375" style="10" customWidth="1"/>
    <col min="20" max="20" width="15.5703125" style="10" customWidth="1"/>
    <col min="21" max="21" width="12.42578125" style="10" customWidth="1"/>
    <col min="22" max="22" width="14" style="10" customWidth="1"/>
    <col min="23" max="23" width="55.5703125" style="10" customWidth="1"/>
    <col min="24" max="24" width="19" style="10" customWidth="1"/>
    <col min="25" max="25" width="15.85546875" style="10" customWidth="1"/>
    <col min="26" max="26" width="14.140625" style="10" customWidth="1"/>
    <col min="27" max="27" width="10.140625" style="10" customWidth="1"/>
    <col min="28" max="29" width="13.7109375" style="10" customWidth="1"/>
    <col min="30" max="30" width="12.7109375" style="10" customWidth="1"/>
    <col min="31" max="31" width="59.85546875" style="10" customWidth="1"/>
    <col min="32" max="32" width="19" style="10" customWidth="1"/>
    <col min="33" max="33" width="13.85546875" style="10" customWidth="1"/>
    <col min="34" max="34" width="13.7109375" style="10" customWidth="1"/>
    <col min="35" max="35" width="9.140625" style="10"/>
    <col min="36" max="36" width="15.5703125" style="10" customWidth="1"/>
    <col min="37" max="37" width="13.7109375" style="10" customWidth="1"/>
    <col min="38" max="38" width="13" style="10" customWidth="1"/>
    <col min="39" max="39" width="56.7109375" style="10" customWidth="1"/>
    <col min="40" max="40" width="18.5703125" style="10" customWidth="1"/>
    <col min="41" max="41" width="14.7109375" style="10" customWidth="1"/>
    <col min="42" max="42" width="14.5703125" style="10" customWidth="1"/>
    <col min="43" max="43" width="9.42578125" style="10" customWidth="1"/>
    <col min="44" max="44" width="15.5703125" style="10" customWidth="1"/>
    <col min="45" max="45" width="14.5703125" style="10" customWidth="1"/>
    <col min="46" max="46" width="13.7109375" style="10" customWidth="1"/>
    <col min="47" max="47" width="55" style="10" customWidth="1"/>
    <col min="48" max="48" width="18" style="10" customWidth="1"/>
    <col min="49" max="49" width="16.28515625" style="10" customWidth="1"/>
    <col min="50" max="50" width="13.7109375" style="10" customWidth="1"/>
    <col min="51" max="51" width="11.140625" style="10" customWidth="1"/>
    <col min="52" max="52" width="15" style="10" customWidth="1"/>
    <col min="53" max="53" width="13" style="10" customWidth="1"/>
    <col min="54" max="54" width="16" style="10" customWidth="1"/>
    <col min="55" max="55" width="56.7109375" style="10" customWidth="1"/>
    <col min="56" max="56" width="18.28515625" style="10" customWidth="1"/>
    <col min="57" max="57" width="13.7109375" style="10" customWidth="1"/>
    <col min="58" max="58" width="13.140625" style="10" customWidth="1"/>
    <col min="59" max="59" width="9.140625" style="10"/>
    <col min="60" max="60" width="15" style="10" customWidth="1"/>
    <col min="61" max="61" width="15.7109375" style="10" customWidth="1"/>
    <col min="62" max="62" width="13.5703125" style="10" customWidth="1"/>
    <col min="63" max="63" width="56.28515625" style="10" customWidth="1"/>
    <col min="64" max="64" width="17.85546875" style="10" bestFit="1" customWidth="1"/>
    <col min="65" max="65" width="14.7109375" style="10" customWidth="1"/>
    <col min="66" max="66" width="13.85546875" style="10" customWidth="1"/>
    <col min="67" max="67" width="13" style="10" customWidth="1"/>
    <col min="68" max="68" width="13.7109375" style="10" customWidth="1"/>
    <col min="69" max="69" width="14.140625" style="10" customWidth="1"/>
    <col min="70" max="70" width="13.85546875" style="10" customWidth="1"/>
    <col min="71" max="71" width="54.85546875" style="10" customWidth="1"/>
    <col min="72" max="72" width="19.28515625" style="10" customWidth="1"/>
    <col min="73" max="73" width="15.85546875" style="10" customWidth="1"/>
    <col min="74" max="74" width="14.5703125" style="10" customWidth="1"/>
    <col min="75" max="75" width="13.28515625" style="10" customWidth="1"/>
    <col min="76" max="76" width="13.140625" style="10" customWidth="1"/>
    <col min="77" max="77" width="13.7109375" style="10" customWidth="1"/>
    <col min="78" max="78" width="14" style="10" customWidth="1"/>
    <col min="79" max="79" width="58.42578125" style="10" customWidth="1"/>
    <col min="80" max="80" width="17.85546875" style="10" bestFit="1" customWidth="1"/>
    <col min="81" max="81" width="15.7109375" style="10" customWidth="1"/>
    <col min="82" max="82" width="14.140625" style="10" customWidth="1"/>
    <col min="83" max="83" width="9.140625" style="10"/>
    <col min="84" max="84" width="14.42578125" style="10" customWidth="1"/>
    <col min="85" max="85" width="13.42578125" style="10" customWidth="1"/>
    <col min="86" max="86" width="13.140625" style="10" customWidth="1"/>
    <col min="87" max="87" width="54.42578125" style="10" customWidth="1"/>
    <col min="88" max="88" width="17.85546875" style="10" bestFit="1" customWidth="1"/>
    <col min="89" max="89" width="17.5703125" style="10" customWidth="1"/>
    <col min="90" max="90" width="15.85546875" style="10" customWidth="1"/>
    <col min="91" max="91" width="9.140625" style="10"/>
    <col min="92" max="92" width="16" style="10" customWidth="1"/>
    <col min="93" max="93" width="12.42578125" style="10" customWidth="1"/>
    <col min="94" max="94" width="13.28515625" style="10" customWidth="1"/>
    <col min="95" max="95" width="54.28515625" style="10" customWidth="1"/>
    <col min="96" max="96" width="17.85546875" style="10" bestFit="1" customWidth="1"/>
    <col min="97" max="97" width="17.140625" style="10" customWidth="1"/>
    <col min="98" max="98" width="15.42578125" style="10" customWidth="1"/>
    <col min="99" max="99" width="9.140625" style="10"/>
    <col min="100" max="100" width="14.28515625" style="10" bestFit="1" customWidth="1"/>
    <col min="101" max="101" width="13" style="10" customWidth="1"/>
    <col min="102" max="102" width="12.42578125" style="10" customWidth="1"/>
    <col min="103" max="103" width="58.140625" style="10" customWidth="1"/>
    <col min="104" max="104" width="17.85546875" style="10" bestFit="1" customWidth="1"/>
    <col min="105" max="105" width="17" style="10" customWidth="1"/>
    <col min="106" max="106" width="14.28515625" style="10" customWidth="1"/>
    <col min="107" max="107" width="9.140625" style="10"/>
    <col min="108" max="108" width="14.28515625" style="10" bestFit="1" customWidth="1"/>
    <col min="109" max="109" width="14.140625" style="10" customWidth="1"/>
    <col min="110" max="110" width="13.140625" style="10" customWidth="1"/>
    <col min="111" max="111" width="55.5703125" style="10" customWidth="1"/>
    <col min="112" max="112" width="17.85546875" style="10" bestFit="1" customWidth="1"/>
    <col min="113" max="113" width="17" style="10" customWidth="1"/>
    <col min="114" max="114" width="14.85546875" style="10" customWidth="1"/>
    <col min="115" max="16384" width="9.140625" style="10"/>
  </cols>
  <sheetData>
    <row r="1" spans="1:114" s="18" customFormat="1" x14ac:dyDescent="0.25">
      <c r="A1" s="39" t="s">
        <v>32</v>
      </c>
      <c r="B1" s="39" t="s">
        <v>166</v>
      </c>
      <c r="D1" s="130">
        <v>2017</v>
      </c>
      <c r="E1" s="130"/>
      <c r="F1" s="130"/>
      <c r="G1" s="110" t="s">
        <v>147</v>
      </c>
      <c r="H1" s="39"/>
      <c r="L1" s="131">
        <v>2018</v>
      </c>
      <c r="N1" s="39"/>
      <c r="O1" s="110" t="s">
        <v>67</v>
      </c>
      <c r="R1" s="131">
        <v>2019</v>
      </c>
      <c r="T1" s="155">
        <v>2019</v>
      </c>
      <c r="W1" s="110" t="s">
        <v>67</v>
      </c>
      <c r="X1" s="131">
        <v>2020</v>
      </c>
      <c r="Z1" s="39"/>
      <c r="AB1" s="156">
        <v>2020</v>
      </c>
      <c r="AD1" s="131"/>
      <c r="AE1" s="110" t="s">
        <v>67</v>
      </c>
      <c r="AF1" s="39"/>
      <c r="AJ1" s="131">
        <v>2021</v>
      </c>
      <c r="AL1" s="39"/>
      <c r="AM1" s="110" t="s">
        <v>67</v>
      </c>
      <c r="AP1" s="131">
        <v>2023</v>
      </c>
      <c r="AR1" s="155">
        <v>2022</v>
      </c>
      <c r="AU1" s="110" t="s">
        <v>67</v>
      </c>
      <c r="AV1" s="131">
        <v>2024</v>
      </c>
      <c r="AW1" s="110"/>
      <c r="AX1" s="39"/>
      <c r="AZ1" s="131">
        <v>2023</v>
      </c>
      <c r="BB1" s="131">
        <v>2025</v>
      </c>
      <c r="BC1" s="110" t="s">
        <v>67</v>
      </c>
      <c r="BD1" s="39"/>
      <c r="BH1" s="131">
        <v>2024</v>
      </c>
      <c r="BJ1" s="39"/>
      <c r="BK1" s="110" t="s">
        <v>67</v>
      </c>
      <c r="BN1" s="131">
        <v>2027</v>
      </c>
      <c r="BP1" s="155">
        <v>2025</v>
      </c>
      <c r="BS1" s="110" t="s">
        <v>67</v>
      </c>
      <c r="BT1" s="131">
        <v>2028</v>
      </c>
      <c r="BU1" s="110"/>
      <c r="BV1" s="39"/>
      <c r="BX1" s="131">
        <v>2026</v>
      </c>
      <c r="BZ1" s="131">
        <v>2029</v>
      </c>
      <c r="CA1" s="110" t="s">
        <v>67</v>
      </c>
      <c r="CB1" s="39"/>
      <c r="CF1" s="131">
        <v>2027</v>
      </c>
      <c r="CH1" s="39"/>
      <c r="CI1" s="110" t="s">
        <v>67</v>
      </c>
      <c r="CN1" s="131">
        <v>2028</v>
      </c>
      <c r="CQ1" s="110" t="s">
        <v>67</v>
      </c>
      <c r="CV1" s="131">
        <v>2029</v>
      </c>
      <c r="CY1" s="110" t="s">
        <v>67</v>
      </c>
      <c r="DD1" s="131">
        <v>2030</v>
      </c>
      <c r="DG1" s="110" t="s">
        <v>67</v>
      </c>
    </row>
    <row r="2" spans="1:114" s="18" customFormat="1" ht="16.5" thickBot="1" x14ac:dyDescent="0.3">
      <c r="A2" s="39" t="s">
        <v>119</v>
      </c>
      <c r="G2" s="109" t="s">
        <v>104</v>
      </c>
      <c r="H2" s="61" t="s">
        <v>130</v>
      </c>
      <c r="I2" s="108" t="s">
        <v>91</v>
      </c>
      <c r="J2" s="80"/>
      <c r="O2" s="109" t="s">
        <v>105</v>
      </c>
      <c r="P2" s="61" t="s">
        <v>130</v>
      </c>
      <c r="Q2" s="108" t="s">
        <v>91</v>
      </c>
      <c r="V2" s="80"/>
      <c r="W2" s="109" t="s">
        <v>106</v>
      </c>
      <c r="X2" s="61" t="s">
        <v>90</v>
      </c>
      <c r="Y2" s="108" t="s">
        <v>91</v>
      </c>
      <c r="AB2" s="109"/>
      <c r="AC2" s="61"/>
      <c r="AD2" s="108"/>
      <c r="AE2" s="109" t="s">
        <v>107</v>
      </c>
      <c r="AF2" s="61" t="s">
        <v>90</v>
      </c>
      <c r="AG2" s="108" t="s">
        <v>91</v>
      </c>
      <c r="AH2" s="80"/>
      <c r="AM2" s="109" t="s">
        <v>108</v>
      </c>
      <c r="AN2" s="61" t="s">
        <v>90</v>
      </c>
      <c r="AO2" s="108" t="s">
        <v>91</v>
      </c>
      <c r="AR2" s="131"/>
      <c r="AT2" s="80"/>
      <c r="AU2" s="109" t="s">
        <v>109</v>
      </c>
      <c r="AV2" s="61" t="s">
        <v>90</v>
      </c>
      <c r="AW2" s="108" t="s">
        <v>91</v>
      </c>
      <c r="AX2" s="61"/>
      <c r="AY2" s="108"/>
      <c r="AZ2" s="80"/>
      <c r="BC2" s="109" t="s">
        <v>110</v>
      </c>
      <c r="BD2" s="61" t="s">
        <v>90</v>
      </c>
      <c r="BE2" s="108" t="s">
        <v>91</v>
      </c>
      <c r="BF2" s="80"/>
      <c r="BK2" s="109" t="s">
        <v>111</v>
      </c>
      <c r="BL2" s="61" t="s">
        <v>90</v>
      </c>
      <c r="BM2" s="108" t="s">
        <v>91</v>
      </c>
      <c r="BR2" s="80"/>
      <c r="BS2" s="109" t="s">
        <v>112</v>
      </c>
      <c r="BT2" s="61" t="s">
        <v>90</v>
      </c>
      <c r="BU2" s="108" t="s">
        <v>91</v>
      </c>
      <c r="BV2" s="61"/>
      <c r="BW2" s="108"/>
      <c r="BX2" s="80"/>
      <c r="CA2" s="109" t="s">
        <v>113</v>
      </c>
      <c r="CB2" s="61" t="s">
        <v>90</v>
      </c>
      <c r="CC2" s="108" t="s">
        <v>91</v>
      </c>
      <c r="CD2" s="80"/>
      <c r="CI2" s="109" t="s">
        <v>114</v>
      </c>
      <c r="CJ2" s="61" t="s">
        <v>90</v>
      </c>
      <c r="CK2" s="108" t="s">
        <v>91</v>
      </c>
      <c r="CQ2" s="109" t="s">
        <v>115</v>
      </c>
      <c r="CR2" s="61" t="s">
        <v>90</v>
      </c>
      <c r="CS2" s="108" t="s">
        <v>91</v>
      </c>
      <c r="CY2" s="109" t="s">
        <v>116</v>
      </c>
      <c r="CZ2" s="61" t="s">
        <v>90</v>
      </c>
      <c r="DA2" s="108" t="s">
        <v>91</v>
      </c>
      <c r="DG2" s="109" t="s">
        <v>117</v>
      </c>
      <c r="DH2" s="61" t="s">
        <v>90</v>
      </c>
      <c r="DI2" s="108" t="s">
        <v>91</v>
      </c>
    </row>
    <row r="3" spans="1:114" s="18" customFormat="1" ht="16.5" thickBot="1" x14ac:dyDescent="0.3">
      <c r="A3" s="105" t="s">
        <v>100</v>
      </c>
      <c r="B3" s="106">
        <v>2017</v>
      </c>
      <c r="D3" s="16" t="s">
        <v>152</v>
      </c>
      <c r="E3" s="16"/>
      <c r="F3" s="16"/>
      <c r="H3" s="16"/>
      <c r="L3" s="16"/>
      <c r="M3" s="16"/>
      <c r="N3" s="16"/>
      <c r="R3" s="16"/>
      <c r="S3" s="16"/>
      <c r="T3" s="16"/>
      <c r="X3" s="16"/>
      <c r="Y3" s="16"/>
      <c r="Z3" s="16"/>
      <c r="AD3" s="16"/>
      <c r="AE3" s="16"/>
      <c r="AF3" s="16"/>
      <c r="AJ3" s="16"/>
      <c r="AK3" s="16"/>
      <c r="AL3" s="16"/>
      <c r="AP3" s="16"/>
      <c r="AQ3" s="16"/>
      <c r="AR3" s="16"/>
      <c r="AV3" s="16"/>
      <c r="AW3" s="16"/>
      <c r="AX3" s="16"/>
      <c r="BB3" s="16"/>
      <c r="BC3" s="16"/>
      <c r="BD3" s="16"/>
      <c r="BH3" s="16"/>
      <c r="BI3" s="16"/>
      <c r="BJ3" s="16"/>
      <c r="BN3" s="16"/>
      <c r="BO3" s="16"/>
      <c r="BP3" s="16"/>
      <c r="BU3" s="16"/>
      <c r="BV3" s="16"/>
      <c r="BZ3" s="16"/>
      <c r="CA3" s="16"/>
      <c r="CB3" s="16"/>
      <c r="CF3" s="16"/>
      <c r="CG3" s="16"/>
      <c r="CH3" s="16"/>
    </row>
    <row r="4" spans="1:114" ht="16.5" thickBot="1" x14ac:dyDescent="0.3">
      <c r="A4" s="163" t="s">
        <v>137</v>
      </c>
      <c r="B4" s="161" t="s">
        <v>2009</v>
      </c>
      <c r="C4" s="18"/>
      <c r="D4" s="112" t="s">
        <v>89</v>
      </c>
      <c r="E4" s="112" t="s">
        <v>136</v>
      </c>
      <c r="F4" s="112" t="s">
        <v>131</v>
      </c>
      <c r="G4" s="112" t="s">
        <v>56</v>
      </c>
      <c r="H4" s="113" t="s">
        <v>72</v>
      </c>
      <c r="I4" s="114" t="s">
        <v>102</v>
      </c>
      <c r="J4" s="114" t="s">
        <v>103</v>
      </c>
      <c r="L4" s="112" t="s">
        <v>89</v>
      </c>
      <c r="M4" s="112" t="s">
        <v>136</v>
      </c>
      <c r="N4" s="112" t="s">
        <v>131</v>
      </c>
      <c r="O4" s="112" t="s">
        <v>56</v>
      </c>
      <c r="P4" s="113" t="s">
        <v>72</v>
      </c>
      <c r="Q4" s="114" t="s">
        <v>102</v>
      </c>
      <c r="R4" s="114" t="s">
        <v>103</v>
      </c>
      <c r="S4"/>
      <c r="T4" s="112" t="s">
        <v>89</v>
      </c>
      <c r="U4" s="112" t="s">
        <v>136</v>
      </c>
      <c r="V4" s="112" t="s">
        <v>131</v>
      </c>
      <c r="W4" s="112" t="s">
        <v>56</v>
      </c>
      <c r="X4" s="113" t="s">
        <v>72</v>
      </c>
      <c r="Y4" s="114" t="s">
        <v>102</v>
      </c>
      <c r="Z4" s="114" t="s">
        <v>103</v>
      </c>
      <c r="AA4"/>
      <c r="AB4" s="112" t="s">
        <v>89</v>
      </c>
      <c r="AC4" s="112" t="s">
        <v>136</v>
      </c>
      <c r="AD4" s="112" t="s">
        <v>131</v>
      </c>
      <c r="AE4" s="112" t="s">
        <v>56</v>
      </c>
      <c r="AF4" s="113" t="s">
        <v>72</v>
      </c>
      <c r="AG4" s="114" t="s">
        <v>102</v>
      </c>
      <c r="AH4" s="114" t="s">
        <v>103</v>
      </c>
      <c r="AI4"/>
      <c r="AJ4" s="112" t="s">
        <v>89</v>
      </c>
      <c r="AK4" s="112" t="s">
        <v>136</v>
      </c>
      <c r="AL4" s="112" t="s">
        <v>131</v>
      </c>
      <c r="AM4" s="112" t="s">
        <v>56</v>
      </c>
      <c r="AN4" s="113" t="s">
        <v>72</v>
      </c>
      <c r="AO4" s="114" t="s">
        <v>102</v>
      </c>
      <c r="AP4" s="114" t="s">
        <v>103</v>
      </c>
      <c r="AQ4"/>
      <c r="AR4" s="112" t="s">
        <v>89</v>
      </c>
      <c r="AS4" s="112" t="s">
        <v>136</v>
      </c>
      <c r="AT4" s="112" t="s">
        <v>131</v>
      </c>
      <c r="AU4" s="112" t="s">
        <v>56</v>
      </c>
      <c r="AV4" s="113" t="s">
        <v>72</v>
      </c>
      <c r="AW4" s="114" t="s">
        <v>102</v>
      </c>
      <c r="AX4" s="114" t="s">
        <v>103</v>
      </c>
      <c r="AY4"/>
      <c r="AZ4" s="112" t="s">
        <v>89</v>
      </c>
      <c r="BA4" s="112" t="s">
        <v>136</v>
      </c>
      <c r="BB4" s="112" t="s">
        <v>131</v>
      </c>
      <c r="BC4" s="112" t="s">
        <v>56</v>
      </c>
      <c r="BD4" s="113" t="s">
        <v>72</v>
      </c>
      <c r="BE4" s="114" t="s">
        <v>102</v>
      </c>
      <c r="BF4" s="114" t="s">
        <v>103</v>
      </c>
      <c r="BG4"/>
      <c r="BH4" s="112" t="s">
        <v>89</v>
      </c>
      <c r="BI4" s="112" t="s">
        <v>136</v>
      </c>
      <c r="BJ4" s="112" t="s">
        <v>131</v>
      </c>
      <c r="BK4" s="112" t="s">
        <v>56</v>
      </c>
      <c r="BL4" s="113" t="s">
        <v>72</v>
      </c>
      <c r="BM4" s="114" t="s">
        <v>102</v>
      </c>
      <c r="BN4" s="114" t="s">
        <v>103</v>
      </c>
      <c r="BO4"/>
      <c r="BP4" s="112" t="s">
        <v>89</v>
      </c>
      <c r="BQ4" s="112" t="s">
        <v>136</v>
      </c>
      <c r="BR4" s="112" t="s">
        <v>131</v>
      </c>
      <c r="BS4" s="112" t="s">
        <v>56</v>
      </c>
      <c r="BT4" s="113" t="s">
        <v>72</v>
      </c>
      <c r="BU4" s="114" t="s">
        <v>102</v>
      </c>
      <c r="BV4" s="114" t="s">
        <v>103</v>
      </c>
      <c r="BW4"/>
      <c r="BX4" s="112" t="s">
        <v>89</v>
      </c>
      <c r="BY4" s="112" t="s">
        <v>136</v>
      </c>
      <c r="BZ4" s="112" t="s">
        <v>131</v>
      </c>
      <c r="CA4" s="112" t="s">
        <v>56</v>
      </c>
      <c r="CB4" s="113" t="s">
        <v>72</v>
      </c>
      <c r="CC4" s="114" t="s">
        <v>102</v>
      </c>
      <c r="CD4" s="114" t="s">
        <v>103</v>
      </c>
      <c r="CE4"/>
      <c r="CF4" s="112" t="s">
        <v>89</v>
      </c>
      <c r="CG4" s="112" t="s">
        <v>136</v>
      </c>
      <c r="CH4" s="112" t="s">
        <v>131</v>
      </c>
      <c r="CI4" s="112" t="s">
        <v>56</v>
      </c>
      <c r="CJ4" s="113" t="s">
        <v>72</v>
      </c>
      <c r="CK4" s="114" t="s">
        <v>102</v>
      </c>
      <c r="CL4" s="114" t="s">
        <v>103</v>
      </c>
      <c r="CN4" s="112" t="s">
        <v>89</v>
      </c>
      <c r="CO4" s="112" t="s">
        <v>136</v>
      </c>
      <c r="CP4" s="112" t="s">
        <v>131</v>
      </c>
      <c r="CQ4" s="112" t="s">
        <v>56</v>
      </c>
      <c r="CR4" s="113" t="s">
        <v>72</v>
      </c>
      <c r="CS4" s="114" t="s">
        <v>102</v>
      </c>
      <c r="CT4" s="114" t="s">
        <v>103</v>
      </c>
      <c r="CV4" s="112" t="s">
        <v>89</v>
      </c>
      <c r="CW4" s="112" t="s">
        <v>136</v>
      </c>
      <c r="CX4" s="112" t="s">
        <v>131</v>
      </c>
      <c r="CY4" s="112" t="s">
        <v>56</v>
      </c>
      <c r="CZ4" s="113" t="s">
        <v>72</v>
      </c>
      <c r="DA4" s="114" t="s">
        <v>102</v>
      </c>
      <c r="DB4" s="114" t="s">
        <v>103</v>
      </c>
      <c r="DD4" s="112" t="s">
        <v>89</v>
      </c>
      <c r="DE4" s="112" t="s">
        <v>136</v>
      </c>
      <c r="DF4" s="112" t="s">
        <v>131</v>
      </c>
      <c r="DG4" s="112" t="s">
        <v>56</v>
      </c>
      <c r="DH4" s="113" t="s">
        <v>72</v>
      </c>
      <c r="DI4" s="114" t="s">
        <v>102</v>
      </c>
      <c r="DJ4" s="114" t="s">
        <v>103</v>
      </c>
    </row>
    <row r="5" spans="1:114" ht="15.75" thickBot="1" x14ac:dyDescent="0.3">
      <c r="A5" s="162" t="s">
        <v>151</v>
      </c>
      <c r="B5" s="137">
        <f>IF($B$3=Stockage!$B$2,SUMIF(Listes!C7:C12,Compt.!$B$4,Listes!D7:D12),IF(Compt.!$B$3=Stockage!$B$3,SUMIF(Listes!C7:C12,Compt.!$B$4,Listes!G7:G12),IF(Compt.!$B$3=Stockage!$B$4,SUMIF(Listes!C7:C12,Compt.!$B$4,Listes!J7:J12),IF(Compt.!$B$3=Stockage!$B$5,SUMIF(Listes!C7:C12,Compt.!$B$4,Listes!M7:M12),IF(Compt.!$B$3=Stockage!$B$6,SUMIF(Listes!C7:C12,Compt.!$B$4,Listes!P7:P12),IF(Compt.!$B$3=Stockage!$B$7,SUMIF(Listes!C7:C12,Compt.!$B$4,Listes!S7:S12),IF(Compt.!$B$3=Stockage!$B$8,SUMIF(Listes!C7:C12,Compt.!$B$4,Listes!V7:V12),IF(Compt.!$B$3=Stockage!$B$9,SUMIF(Listes!C7:C12,Compt.!$B$4,Listes!Y7:Y12),IF(Compt.!$B$3=Stockage!$B$10,SUMIF(Listes!C7:C12,Compt.!$B$4,Listes!AB7:AB12),IF(Compt.!$B$3=Stockage!$B$11,SUMIF(Listes!C7:C12,Compt.!$B$4,Listes!AE7:AE12),IF(Compt.!$B$3=Stockage!$B$12,SUMIF(Listes!C7:C12,Compt.!$B$4,Listes!AH7:AH12),IF(Compt.!$B$3=Stockage!$B$13,SUMIF(Listes!C7:C12,Compt.!$B$4,Listes!AK7:AK12),IF(Compt.!$B$3=Stockage!$B$14,SUMIF(Listes!C7:C12,Compt.!$B$4,Listes!AN7:AN12),IF(Compt.!$B$3=Stockage!$B$15,SUMIF(Listes!C7:C12,Compt.!$B$4,Listes!AQ7:AQ12),""))))))))))))))</f>
        <v>0</v>
      </c>
      <c r="D5" s="192" t="s">
        <v>227</v>
      </c>
      <c r="E5" s="146" t="s">
        <v>31</v>
      </c>
      <c r="F5" s="189"/>
      <c r="G5" s="146" t="s">
        <v>120</v>
      </c>
      <c r="H5" s="147" t="s">
        <v>95</v>
      </c>
      <c r="I5" s="148">
        <f>SUMIF(Redevance!F6:F1039996,D1,Redevance!G6:G1039996)</f>
        <v>0</v>
      </c>
      <c r="J5" s="149"/>
      <c r="L5" s="146"/>
      <c r="M5" s="146" t="s">
        <v>31</v>
      </c>
      <c r="N5" s="189"/>
      <c r="O5" s="146" t="s">
        <v>121</v>
      </c>
      <c r="P5" s="147" t="s">
        <v>95</v>
      </c>
      <c r="Q5" s="148">
        <f>SUMIF(Redevance!F6:F1039996,L1,Redevance!G6:G1039996)</f>
        <v>0</v>
      </c>
      <c r="R5" s="149"/>
      <c r="S5"/>
      <c r="T5" s="146"/>
      <c r="U5" s="146" t="s">
        <v>31</v>
      </c>
      <c r="V5" s="189"/>
      <c r="W5" s="146" t="s">
        <v>122</v>
      </c>
      <c r="X5" s="147" t="s">
        <v>95</v>
      </c>
      <c r="Y5" s="148">
        <f>SUMIF(Redevance!F6:F1039996,T1,Redevance!G6:G1039996)</f>
        <v>0</v>
      </c>
      <c r="Z5" s="149"/>
      <c r="AA5"/>
      <c r="AB5" s="146"/>
      <c r="AC5" s="146" t="s">
        <v>31</v>
      </c>
      <c r="AD5" s="189"/>
      <c r="AE5" s="146" t="s">
        <v>144</v>
      </c>
      <c r="AF5" s="147" t="s">
        <v>95</v>
      </c>
      <c r="AG5" s="148">
        <f>SUMIF(Redevance!F6:F1039996,AB1,Redevance!G6:G1039996)</f>
        <v>0</v>
      </c>
      <c r="AH5" s="149"/>
      <c r="AI5"/>
      <c r="AJ5" s="146"/>
      <c r="AK5" s="146" t="s">
        <v>31</v>
      </c>
      <c r="AL5" s="189"/>
      <c r="AM5" s="146" t="s">
        <v>123</v>
      </c>
      <c r="AN5" s="147" t="s">
        <v>95</v>
      </c>
      <c r="AO5" s="148">
        <f>SUMIF(Redevance!F6:F1039996,AJ1,Redevance!G6:G1039996)</f>
        <v>0</v>
      </c>
      <c r="AP5" s="149"/>
      <c r="AQ5"/>
      <c r="AR5" s="146"/>
      <c r="AS5" s="146" t="s">
        <v>31</v>
      </c>
      <c r="AT5" s="189"/>
      <c r="AU5" s="146" t="s">
        <v>145</v>
      </c>
      <c r="AV5" s="147" t="s">
        <v>95</v>
      </c>
      <c r="AW5" s="148">
        <f>SUMIF(Redevance!F6:F1039996,AR1,Redevance!G6:G1039996)</f>
        <v>0</v>
      </c>
      <c r="AX5" s="149"/>
      <c r="AY5"/>
      <c r="AZ5" s="146"/>
      <c r="BA5" s="146" t="s">
        <v>31</v>
      </c>
      <c r="BB5" s="189"/>
      <c r="BC5" s="146" t="s">
        <v>124</v>
      </c>
      <c r="BD5" s="147" t="s">
        <v>95</v>
      </c>
      <c r="BE5" s="148">
        <f ca="1">SUMIF(Redevance!F6:BF1039996,AZ1,Redevance!G6:G1039996)</f>
        <v>0</v>
      </c>
      <c r="BF5" s="149"/>
      <c r="BG5"/>
      <c r="BH5" s="146"/>
      <c r="BI5" s="146" t="s">
        <v>31</v>
      </c>
      <c r="BJ5" s="189"/>
      <c r="BK5" s="146" t="s">
        <v>125</v>
      </c>
      <c r="BL5" s="147" t="s">
        <v>95</v>
      </c>
      <c r="BM5" s="148">
        <f>SUMIF(Redevance!F6:F1039996,BH1,Redevance!G6:G1039996)</f>
        <v>0</v>
      </c>
      <c r="BN5" s="149"/>
      <c r="BO5"/>
      <c r="BP5" s="146"/>
      <c r="BQ5" s="146" t="s">
        <v>31</v>
      </c>
      <c r="BR5" s="189"/>
      <c r="BS5" s="146" t="s">
        <v>126</v>
      </c>
      <c r="BT5" s="147" t="s">
        <v>95</v>
      </c>
      <c r="BU5" s="148">
        <f>SUMIF(Redevance!F6:F1039996,BP1,Redevance!G6:G1039996)</f>
        <v>0</v>
      </c>
      <c r="BV5" s="149"/>
      <c r="BW5"/>
      <c r="BX5" s="146"/>
      <c r="BY5" s="146" t="s">
        <v>31</v>
      </c>
      <c r="BZ5" s="189"/>
      <c r="CA5" s="146" t="s">
        <v>127</v>
      </c>
      <c r="CB5" s="147" t="s">
        <v>95</v>
      </c>
      <c r="CC5" s="148">
        <f>SUMIF(Redevance!F6:F1039996,BX1,Redevance!G6:G1039996)</f>
        <v>0</v>
      </c>
      <c r="CD5" s="149"/>
      <c r="CE5"/>
      <c r="CF5" s="146"/>
      <c r="CG5" s="146" t="s">
        <v>31</v>
      </c>
      <c r="CH5" s="189"/>
      <c r="CI5" s="146" t="s">
        <v>143</v>
      </c>
      <c r="CJ5" s="147" t="s">
        <v>95</v>
      </c>
      <c r="CK5" s="148">
        <f>SUMIF(Redevance!F6:F1039996,CF1,Redevance!G6:G1039996)</f>
        <v>0</v>
      </c>
      <c r="CL5" s="149"/>
      <c r="CM5" s="118"/>
      <c r="CN5" s="146"/>
      <c r="CO5" s="146" t="s">
        <v>31</v>
      </c>
      <c r="CP5" s="189"/>
      <c r="CQ5" s="146" t="s">
        <v>128</v>
      </c>
      <c r="CR5" s="147" t="s">
        <v>95</v>
      </c>
      <c r="CS5" s="148">
        <f>SUMIF(Redevance!F6:F1039996,CN1,Redevance!G6:G1039996)</f>
        <v>0</v>
      </c>
      <c r="CT5" s="149"/>
      <c r="CV5" s="146"/>
      <c r="CW5" s="146" t="s">
        <v>31</v>
      </c>
      <c r="CX5" s="189"/>
      <c r="CY5" s="146" t="s">
        <v>129</v>
      </c>
      <c r="CZ5" s="147" t="s">
        <v>95</v>
      </c>
      <c r="DA5" s="148">
        <f>SUMIF(Redevance!F6:F1039996,CV1,Redevance!G6:G1039996)</f>
        <v>0</v>
      </c>
      <c r="DB5" s="149"/>
      <c r="DD5" s="146"/>
      <c r="DE5" s="146" t="s">
        <v>31</v>
      </c>
      <c r="DF5" s="189"/>
      <c r="DG5" s="146" t="s">
        <v>120</v>
      </c>
      <c r="DH5" s="147" t="s">
        <v>95</v>
      </c>
      <c r="DI5" s="148">
        <f>SUMIF(Redevance!F6:F1039996,DD1,Redevance!G6:G1039996)</f>
        <v>0</v>
      </c>
      <c r="DJ5" s="149"/>
    </row>
    <row r="6" spans="1:114" ht="15.75" thickBot="1" x14ac:dyDescent="0.3">
      <c r="A6" s="115" t="s">
        <v>148</v>
      </c>
      <c r="B6" s="137">
        <f>SUM(Tableau912[Dépenses])</f>
        <v>0</v>
      </c>
      <c r="D6" s="193" t="s">
        <v>227</v>
      </c>
      <c r="E6" s="151" t="str">
        <f>IF(Listes!C7="","",Listes!C7)</f>
        <v>CAEPA</v>
      </c>
      <c r="F6" s="190">
        <v>43346</v>
      </c>
      <c r="G6" s="150" t="str">
        <f>"Solde  de fermeture de l'année précédente pour le projet  "&amp;TEXT(Table7[[#This Row],[Projet]],"")</f>
        <v>Solde  de fermeture de l'année précédente pour le projet  CAEPA</v>
      </c>
      <c r="H6" s="151" t="s">
        <v>95</v>
      </c>
      <c r="I6" s="126">
        <v>45270</v>
      </c>
      <c r="J6" s="149"/>
      <c r="L6" s="150"/>
      <c r="M6" s="151" t="str">
        <f>IF(Listes!C7="","",Listes!C7)</f>
        <v>CAEPA</v>
      </c>
      <c r="N6" s="190"/>
      <c r="O6" s="150" t="str">
        <f>"Solde  de fermeture de l'année précédente pour le projet  "&amp;TEXT(Table741[[#This Row],[Projet]],"")</f>
        <v>Solde  de fermeture de l'année précédente pour le projet  CAEPA</v>
      </c>
      <c r="P6" s="151" t="s">
        <v>95</v>
      </c>
      <c r="Q6" s="126"/>
      <c r="R6" s="149"/>
      <c r="S6"/>
      <c r="T6" s="150"/>
      <c r="U6" s="151" t="str">
        <f>IF(Listes!C7="","",Listes!C7)</f>
        <v>CAEPA</v>
      </c>
      <c r="V6" s="190"/>
      <c r="W6" s="150" t="str">
        <f>"Solde  de fermeture de l'année précédente pour le projet  "&amp;TEXT(Table743[[#This Row],[Projet]],"")</f>
        <v>Solde  de fermeture de l'année précédente pour le projet  CAEPA</v>
      </c>
      <c r="X6" s="151" t="s">
        <v>95</v>
      </c>
      <c r="Y6" s="126"/>
      <c r="Z6" s="149"/>
      <c r="AA6"/>
      <c r="AB6" s="150"/>
      <c r="AC6" s="151" t="str">
        <f>IF(Listes!C7="","",Listes!C7)</f>
        <v>CAEPA</v>
      </c>
      <c r="AD6" s="190"/>
      <c r="AE6" s="150" t="str">
        <f>"Solde  de fermeture de l'année précédente pour le projet  "&amp;TEXT(Table745[[#This Row],[Projet]],"")</f>
        <v>Solde  de fermeture de l'année précédente pour le projet  CAEPA</v>
      </c>
      <c r="AF6" s="151" t="s">
        <v>95</v>
      </c>
      <c r="AG6" s="126"/>
      <c r="AH6" s="149"/>
      <c r="AI6"/>
      <c r="AJ6" s="150"/>
      <c r="AK6" s="151" t="str">
        <f>IF(Listes!C7="","",Listes!C7)</f>
        <v>CAEPA</v>
      </c>
      <c r="AL6" s="190"/>
      <c r="AM6" s="150" t="str">
        <f>"Solde  de fermeture de l'année précédente pour le projet  "&amp;TEXT(Table746[[#This Row],[Projet]],"")</f>
        <v>Solde  de fermeture de l'année précédente pour le projet  CAEPA</v>
      </c>
      <c r="AN6" s="151" t="s">
        <v>95</v>
      </c>
      <c r="AO6" s="126"/>
      <c r="AP6" s="149"/>
      <c r="AQ6"/>
      <c r="AR6" s="150"/>
      <c r="AS6" s="151" t="str">
        <f>IF(Listes!C7="","",Listes!C7)</f>
        <v>CAEPA</v>
      </c>
      <c r="AT6" s="190"/>
      <c r="AU6" s="150" t="str">
        <f>"Solde  de fermeture de l'année précédente pour le projet  "&amp;TEXT(Table749[[#This Row],[Projet]],"")</f>
        <v>Solde  de fermeture de l'année précédente pour le projet  CAEPA</v>
      </c>
      <c r="AV6" s="151" t="s">
        <v>95</v>
      </c>
      <c r="AW6" s="126"/>
      <c r="AX6" s="149"/>
      <c r="AY6"/>
      <c r="AZ6" s="150"/>
      <c r="BA6" s="151" t="str">
        <f>IF(Listes!C7="","",Listes!C7)</f>
        <v>CAEPA</v>
      </c>
      <c r="BB6" s="190"/>
      <c r="BC6" s="150" t="str">
        <f>"Solde  de fermeture de l'année précédente pour le projet  "&amp;TEXT(Table751[[#This Row],[Projet]],"")</f>
        <v>Solde  de fermeture de l'année précédente pour le projet  CAEPA</v>
      </c>
      <c r="BD6" s="151" t="s">
        <v>95</v>
      </c>
      <c r="BE6" s="126"/>
      <c r="BF6" s="149"/>
      <c r="BG6"/>
      <c r="BH6" s="150"/>
      <c r="BI6" s="151" t="str">
        <f>IF(Listes!C7="","",Listes!C7)</f>
        <v>CAEPA</v>
      </c>
      <c r="BJ6" s="190"/>
      <c r="BK6" s="150" t="str">
        <f>"Solde  de fermeture de l'année précédente pour le projet  "&amp;TEXT(Table753[[#This Row],[Projet]],"")</f>
        <v>Solde  de fermeture de l'année précédente pour le projet  CAEPA</v>
      </c>
      <c r="BL6" s="151" t="s">
        <v>95</v>
      </c>
      <c r="BM6" s="126"/>
      <c r="BN6" s="149"/>
      <c r="BO6"/>
      <c r="BP6" s="150"/>
      <c r="BQ6" s="151" t="str">
        <f>IF(Listes!C7="","",Listes!C7)</f>
        <v>CAEPA</v>
      </c>
      <c r="BR6" s="190"/>
      <c r="BS6" s="150" t="str">
        <f>"Solde  de fermeture de l'année précédente pour le projet  "&amp;TEXT(Table755[[#This Row],[Projet]],"")</f>
        <v>Solde  de fermeture de l'année précédente pour le projet  CAEPA</v>
      </c>
      <c r="BT6" s="151" t="s">
        <v>95</v>
      </c>
      <c r="BU6" s="126"/>
      <c r="BV6" s="149"/>
      <c r="BW6"/>
      <c r="BX6" s="150"/>
      <c r="BY6" s="151" t="str">
        <f>IF(Listes!C7="","",Listes!C7)</f>
        <v>CAEPA</v>
      </c>
      <c r="BZ6" s="190"/>
      <c r="CA6" s="150" t="str">
        <f>"Solde  de fermeture de l'année précédente pour le projet  "&amp;TEXT(Table757[[#This Row],[Projet]],"")</f>
        <v>Solde  de fermeture de l'année précédente pour le projet  CAEPA</v>
      </c>
      <c r="CB6" s="151" t="s">
        <v>95</v>
      </c>
      <c r="CC6" s="126"/>
      <c r="CD6" s="149"/>
      <c r="CE6"/>
      <c r="CF6" s="150"/>
      <c r="CG6" s="151" t="str">
        <f>IF(Listes!C7="","",Listes!C7)</f>
        <v>CAEPA</v>
      </c>
      <c r="CH6" s="190"/>
      <c r="CI6" s="150" t="str">
        <f>"Solde  de fermeture de l'année précédente pour le projet  "&amp;TEXT(Table759[[#This Row],[Projet]],"")</f>
        <v>Solde  de fermeture de l'année précédente pour le projet  CAEPA</v>
      </c>
      <c r="CJ6" s="151" t="s">
        <v>95</v>
      </c>
      <c r="CK6" s="126"/>
      <c r="CL6" s="149"/>
      <c r="CM6" s="118"/>
      <c r="CN6" s="150"/>
      <c r="CO6" s="151" t="str">
        <f>IF(Listes!C7="","",Listes!C7)</f>
        <v>CAEPA</v>
      </c>
      <c r="CP6" s="190"/>
      <c r="CQ6" s="150" t="str">
        <f>"Solde  de fermeture de l'année précédente pour le projet  "&amp;TEXT(Table761[[#This Row],[Projet]],"")</f>
        <v>Solde  de fermeture de l'année précédente pour le projet  CAEPA</v>
      </c>
      <c r="CR6" s="151" t="s">
        <v>95</v>
      </c>
      <c r="CS6" s="126"/>
      <c r="CT6" s="149"/>
      <c r="CV6" s="150"/>
      <c r="CW6" s="151" t="str">
        <f>IF(Listes!C7="","",Listes!C7)</f>
        <v>CAEPA</v>
      </c>
      <c r="CX6" s="190"/>
      <c r="CY6" s="150" t="str">
        <f>"Solde  de fermeture de l'année précédente pour le projet  "&amp;TEXT(Table763[[#This Row],[Projet]],"")</f>
        <v>Solde  de fermeture de l'année précédente pour le projet  CAEPA</v>
      </c>
      <c r="CZ6" s="151" t="s">
        <v>95</v>
      </c>
      <c r="DA6" s="126"/>
      <c r="DB6" s="149"/>
      <c r="DD6" s="150"/>
      <c r="DE6" s="151" t="str">
        <f>IF(Listes!C7="","",Listes!C7)</f>
        <v>CAEPA</v>
      </c>
      <c r="DF6" s="190"/>
      <c r="DG6" s="150" t="str">
        <f>"Solde  de fermeture de l'année précédente pour le projet  "&amp;TEXT(Table765[[#This Row],[Projet]],"")</f>
        <v>Solde  de fermeture de l'année précédente pour le projet  CAEPA</v>
      </c>
      <c r="DH6" s="151" t="s">
        <v>95</v>
      </c>
      <c r="DI6" s="126"/>
      <c r="DJ6" s="149"/>
    </row>
    <row r="7" spans="1:114" ht="15.75" thickBot="1" x14ac:dyDescent="0.3">
      <c r="A7" s="115" t="s">
        <v>101</v>
      </c>
      <c r="B7" s="137">
        <f>IF($B$3=Stockage!$B$2,SUMIF(Listes!C7:C12,Compt.!$B$4,Listes!F7:F12),IF(Compt.!$B$3=Stockage!$B$3,SUMIF(Listes!C7:C12,Compt.!$B$4,Listes!I7:I12),IF(Compt.!$B$3=Stockage!$B$4,SUMIF(Listes!C7:C12,Compt.!$B$4,Listes!L7:L12),IF(Compt.!$B$3=Stockage!$B$5,SUMIF(Listes!C7:C12,Compt.!$B$4,Listes!O7:O12),IF(Compt.!$B$3=Stockage!$B$6,SUMIF(Listes!C7:C12,Compt.!$B$4,Listes!R7:R12),IF(Compt.!$B$3=Stockage!$B$7,SUMIF(Listes!C7:C12,Compt.!$B$4,Listes!U7:U12),IF(Compt.!$B$3=Stockage!$B$8,SUMIF(Listes!C7:C12,Compt.!$B$4,Listes!X7:X12),IF(Compt.!$B$3=Stockage!$B$9,SUMIF(Listes!C7:C12,Compt.!$B$4,Listes!AA7:AA12),IF(Compt.!$B$3=Stockage!$B$10,SUMIF(Listes!C7:C12,Compt.!$B$4,Listes!AD7:AD12),IF(Compt.!$B$3=Stockage!$B$11,SUMIF(Listes!C7:C12,Compt.!$B$4,Listes!AG7:AG12),IF(Compt.!$B$3=Stockage!$B$12,SUMIF(Listes!C7:C12,Compt.!$B$4,Listes!AJ7:AJ12),IF(Compt.!$B$3=Stockage!$B$13,SUMIF(Listes!C7:C12,Compt.!$B$4,Listes!AM7:AM12),IF(Compt.!$B$3=Stockage!$B$14,SUMIF(Listes!C7:C12,Compt.!$B$4,Listes!AP7:AP12),IF(Compt.!$B$3=Stockage!$B$15,SUMIF(Listes!C7:C12,Compt.!$B$4,Listes!AS7:AS12),""))))))))))))))</f>
        <v>0</v>
      </c>
      <c r="D7" s="194"/>
      <c r="E7" s="151" t="str">
        <f>IF(Listes!C8="","",Listes!C8)</f>
        <v>MYP</v>
      </c>
      <c r="F7" s="142"/>
      <c r="G7" s="150" t="str">
        <f>"Solde  de fermeture de l'année précédente pour le projet  "&amp;TEXT(Table7[[#This Row],[Projet]],"")</f>
        <v>Solde  de fermeture de l'année précédente pour le projet  MYP</v>
      </c>
      <c r="H7" s="153" t="s">
        <v>62</v>
      </c>
      <c r="I7" s="127"/>
      <c r="J7" s="154"/>
      <c r="L7" s="152"/>
      <c r="M7" s="151" t="str">
        <f>IF(Listes!C8="","",Listes!C8)</f>
        <v>MYP</v>
      </c>
      <c r="N7" s="142"/>
      <c r="O7" s="150" t="str">
        <f>"Solde  de fermeture de l'année précédente pour le projet  "&amp;TEXT(Table741[[#This Row],[Projet]],"")</f>
        <v>Solde  de fermeture de l'année précédente pour le projet  MYP</v>
      </c>
      <c r="P7" s="153" t="s">
        <v>62</v>
      </c>
      <c r="Q7" s="127"/>
      <c r="R7" s="154"/>
      <c r="S7"/>
      <c r="T7" s="152"/>
      <c r="U7" s="151" t="str">
        <f>IF(Listes!C8="","",Listes!C8)</f>
        <v>MYP</v>
      </c>
      <c r="V7" s="142"/>
      <c r="W7" s="150" t="str">
        <f>"Solde  de fermeture de l'année précédente pour le projet  "&amp;TEXT(Table743[[#This Row],[Projet]],"")</f>
        <v>Solde  de fermeture de l'année précédente pour le projet  MYP</v>
      </c>
      <c r="X7" s="153" t="s">
        <v>62</v>
      </c>
      <c r="Y7" s="127"/>
      <c r="Z7" s="154"/>
      <c r="AA7"/>
      <c r="AB7" s="152"/>
      <c r="AC7" s="151" t="str">
        <f>IF(Listes!C8="","",Listes!C8)</f>
        <v>MYP</v>
      </c>
      <c r="AD7" s="142"/>
      <c r="AE7" s="150" t="str">
        <f>"Solde  de fermeture de l'année précédente pour le projet  "&amp;TEXT(Table745[[#This Row],[Projet]],"")</f>
        <v>Solde  de fermeture de l'année précédente pour le projet  MYP</v>
      </c>
      <c r="AF7" s="153" t="s">
        <v>62</v>
      </c>
      <c r="AG7" s="127"/>
      <c r="AH7" s="154"/>
      <c r="AI7"/>
      <c r="AJ7" s="152"/>
      <c r="AK7" s="151" t="str">
        <f>IF(Listes!C8="","",Listes!C8)</f>
        <v>MYP</v>
      </c>
      <c r="AL7" s="142"/>
      <c r="AM7" s="150" t="str">
        <f>"Solde  de fermeture de l'année précédente pour le projet  "&amp;TEXT(Table746[[#This Row],[Projet]],"")</f>
        <v>Solde  de fermeture de l'année précédente pour le projet  MYP</v>
      </c>
      <c r="AN7" s="153" t="s">
        <v>62</v>
      </c>
      <c r="AO7" s="127"/>
      <c r="AP7" s="154"/>
      <c r="AQ7"/>
      <c r="AR7" s="152"/>
      <c r="AS7" s="151" t="str">
        <f>IF(Listes!C8="","",Listes!C8)</f>
        <v>MYP</v>
      </c>
      <c r="AT7" s="142"/>
      <c r="AU7" s="150" t="str">
        <f>"Solde  de fermeture de l'année précédente pour le projet  "&amp;TEXT(Table749[[#This Row],[Projet]],"")</f>
        <v>Solde  de fermeture de l'année précédente pour le projet  MYP</v>
      </c>
      <c r="AV7" s="153" t="s">
        <v>62</v>
      </c>
      <c r="AW7" s="127"/>
      <c r="AX7" s="154"/>
      <c r="AY7"/>
      <c r="AZ7" s="152"/>
      <c r="BA7" s="151" t="str">
        <f>IF(Listes!C8="","",Listes!C8)</f>
        <v>MYP</v>
      </c>
      <c r="BB7" s="142"/>
      <c r="BC7" s="150" t="str">
        <f>"Solde  de fermeture de l'année précédente pour le projet  "&amp;TEXT(Table751[[#This Row],[Projet]],"")</f>
        <v>Solde  de fermeture de l'année précédente pour le projet  MYP</v>
      </c>
      <c r="BD7" s="153" t="s">
        <v>62</v>
      </c>
      <c r="BE7" s="127"/>
      <c r="BF7" s="154"/>
      <c r="BG7"/>
      <c r="BH7" s="152"/>
      <c r="BI7" s="151" t="str">
        <f>IF(Listes!C8="","",Listes!C8)</f>
        <v>MYP</v>
      </c>
      <c r="BJ7" s="142"/>
      <c r="BK7" s="150" t="str">
        <f>"Solde  de fermeture de l'année précédente pour le projet  "&amp;TEXT(Table753[[#This Row],[Projet]],"")</f>
        <v>Solde  de fermeture de l'année précédente pour le projet  MYP</v>
      </c>
      <c r="BL7" s="153" t="s">
        <v>62</v>
      </c>
      <c r="BM7" s="127"/>
      <c r="BN7" s="154"/>
      <c r="BO7"/>
      <c r="BP7" s="152"/>
      <c r="BQ7" s="151" t="str">
        <f>IF(Listes!C8="","",Listes!C8)</f>
        <v>MYP</v>
      </c>
      <c r="BR7" s="142"/>
      <c r="BS7" s="150" t="str">
        <f>"Solde  de fermeture de l'année précédente pour le projet  "&amp;TEXT(Table755[[#This Row],[Projet]],"")</f>
        <v>Solde  de fermeture de l'année précédente pour le projet  MYP</v>
      </c>
      <c r="BT7" s="153" t="s">
        <v>62</v>
      </c>
      <c r="BU7" s="127"/>
      <c r="BV7" s="154"/>
      <c r="BW7"/>
      <c r="BX7" s="152"/>
      <c r="BY7" s="151" t="str">
        <f>IF(Listes!C8="","",Listes!C8)</f>
        <v>MYP</v>
      </c>
      <c r="BZ7" s="142"/>
      <c r="CA7" s="150" t="str">
        <f>"Solde  de fermeture de l'année précédente pour le projet  "&amp;TEXT(Table757[[#This Row],[Projet]],"")</f>
        <v>Solde  de fermeture de l'année précédente pour le projet  MYP</v>
      </c>
      <c r="CB7" s="153" t="s">
        <v>62</v>
      </c>
      <c r="CC7" s="127"/>
      <c r="CD7" s="154"/>
      <c r="CE7"/>
      <c r="CF7" s="152"/>
      <c r="CG7" s="151" t="str">
        <f>IF(Listes!C8="","",Listes!C8)</f>
        <v>MYP</v>
      </c>
      <c r="CH7" s="142"/>
      <c r="CI7" s="150" t="str">
        <f>"Solde  de fermeture de l'année précédente pour le projet  "&amp;TEXT(Table759[[#This Row],[Projet]],"")</f>
        <v>Solde  de fermeture de l'année précédente pour le projet  MYP</v>
      </c>
      <c r="CJ7" s="153" t="s">
        <v>62</v>
      </c>
      <c r="CK7" s="127"/>
      <c r="CL7" s="154"/>
      <c r="CM7" s="118"/>
      <c r="CN7" s="152"/>
      <c r="CO7" s="151" t="str">
        <f>IF(Listes!C8="","",Listes!C8)</f>
        <v>MYP</v>
      </c>
      <c r="CP7" s="142"/>
      <c r="CQ7" s="150" t="str">
        <f>"Solde  de fermeture de l'année précédente pour le projet  "&amp;TEXT(Table761[[#This Row],[Projet]],"")</f>
        <v>Solde  de fermeture de l'année précédente pour le projet  MYP</v>
      </c>
      <c r="CR7" s="153" t="s">
        <v>62</v>
      </c>
      <c r="CS7" s="127"/>
      <c r="CT7" s="154"/>
      <c r="CV7" s="152"/>
      <c r="CW7" s="151" t="str">
        <f>IF(Listes!C8="","",Listes!C8)</f>
        <v>MYP</v>
      </c>
      <c r="CX7" s="142"/>
      <c r="CY7" s="150" t="str">
        <f>"Solde  de fermeture de l'année précédente pour le projet  "&amp;TEXT(Table763[[#This Row],[Projet]],"")</f>
        <v>Solde  de fermeture de l'année précédente pour le projet  MYP</v>
      </c>
      <c r="CZ7" s="153" t="s">
        <v>62</v>
      </c>
      <c r="DA7" s="127"/>
      <c r="DB7" s="154"/>
      <c r="DD7" s="152"/>
      <c r="DE7" s="151" t="str">
        <f>IF(Listes!C8="","",Listes!C8)</f>
        <v>MYP</v>
      </c>
      <c r="DF7" s="142"/>
      <c r="DG7" s="150" t="str">
        <f>"Solde  de fermeture de l'année précédente pour le projet  "&amp;TEXT(Table765[[#This Row],[Projet]],"")</f>
        <v>Solde  de fermeture de l'année précédente pour le projet  MYP</v>
      </c>
      <c r="DH7" s="153" t="s">
        <v>62</v>
      </c>
      <c r="DI7" s="127"/>
      <c r="DJ7" s="154"/>
    </row>
    <row r="8" spans="1:114" x14ac:dyDescent="0.25">
      <c r="A8" s="117" t="s">
        <v>98</v>
      </c>
      <c r="B8" s="117" t="s">
        <v>150</v>
      </c>
      <c r="D8" s="194"/>
      <c r="E8" s="151" t="str">
        <f>IF(Listes!C9="","",Listes!C9)</f>
        <v/>
      </c>
      <c r="F8" s="142"/>
      <c r="G8" s="150" t="str">
        <f>"Solde  de fermeture de l'année précédente pour le projet  "&amp;TEXT(Table7[[#This Row],[Projet]],"")</f>
        <v xml:space="preserve">Solde  de fermeture de l'année précédente pour le projet  </v>
      </c>
      <c r="H8" s="153" t="s">
        <v>62</v>
      </c>
      <c r="I8" s="127"/>
      <c r="J8" s="154"/>
      <c r="L8" s="152"/>
      <c r="M8" s="151" t="str">
        <f>IF(Listes!C9="","",Listes!C9)</f>
        <v/>
      </c>
      <c r="N8" s="142"/>
      <c r="O8" s="150" t="str">
        <f>"Solde  de fermeture de l'année précédente pour le projet  "&amp;TEXT(Table741[[#This Row],[Projet]],"")</f>
        <v xml:space="preserve">Solde  de fermeture de l'année précédente pour le projet  </v>
      </c>
      <c r="P8" s="153" t="s">
        <v>62</v>
      </c>
      <c r="Q8" s="127"/>
      <c r="R8" s="154"/>
      <c r="S8"/>
      <c r="T8" s="152"/>
      <c r="U8" s="151" t="str">
        <f>IF(Listes!C9="","",Listes!C9)</f>
        <v/>
      </c>
      <c r="V8" s="142"/>
      <c r="W8" s="150" t="str">
        <f>"Solde  de fermeture de l'année précédente pour le projet  "&amp;TEXT(Table743[[#This Row],[Projet]],"")</f>
        <v xml:space="preserve">Solde  de fermeture de l'année précédente pour le projet  </v>
      </c>
      <c r="X8" s="153" t="s">
        <v>62</v>
      </c>
      <c r="Y8" s="127"/>
      <c r="Z8" s="154"/>
      <c r="AA8"/>
      <c r="AB8" s="152"/>
      <c r="AC8" s="151" t="str">
        <f>IF(Listes!C9="","",Listes!C9)</f>
        <v/>
      </c>
      <c r="AD8" s="142"/>
      <c r="AE8" s="150" t="str">
        <f>"Solde  de fermeture de l'année précédente pour le projet  "&amp;TEXT(Table745[[#This Row],[Projet]],"")</f>
        <v xml:space="preserve">Solde  de fermeture de l'année précédente pour le projet  </v>
      </c>
      <c r="AF8" s="153" t="s">
        <v>62</v>
      </c>
      <c r="AG8" s="127"/>
      <c r="AH8" s="154"/>
      <c r="AI8"/>
      <c r="AJ8" s="152"/>
      <c r="AK8" s="151" t="str">
        <f>IF(Listes!C9="","",Listes!C9)</f>
        <v/>
      </c>
      <c r="AL8" s="142"/>
      <c r="AM8" s="150" t="str">
        <f>"Solde  de fermeture de l'année précédente pour le projet  "&amp;TEXT(Table746[[#This Row],[Projet]],"")</f>
        <v xml:space="preserve">Solde  de fermeture de l'année précédente pour le projet  </v>
      </c>
      <c r="AN8" s="153" t="s">
        <v>62</v>
      </c>
      <c r="AO8" s="127"/>
      <c r="AP8" s="154"/>
      <c r="AQ8"/>
      <c r="AR8" s="152"/>
      <c r="AS8" s="151" t="str">
        <f>IF(Listes!C9="","",Listes!C9)</f>
        <v/>
      </c>
      <c r="AT8" s="142"/>
      <c r="AU8" s="150" t="str">
        <f>"Solde  de fermeture de l'année précédente pour le projet  "&amp;TEXT(Table749[[#This Row],[Projet]],"")</f>
        <v xml:space="preserve">Solde  de fermeture de l'année précédente pour le projet  </v>
      </c>
      <c r="AV8" s="153" t="s">
        <v>62</v>
      </c>
      <c r="AW8" s="127"/>
      <c r="AX8" s="154"/>
      <c r="AY8"/>
      <c r="AZ8" s="152"/>
      <c r="BA8" s="151" t="str">
        <f>IF(Listes!C9="","",Listes!C9)</f>
        <v/>
      </c>
      <c r="BB8" s="142"/>
      <c r="BC8" s="150" t="str">
        <f>"Solde  de fermeture de l'année précédente pour le projet  "&amp;TEXT(Table751[[#This Row],[Projet]],"")</f>
        <v xml:space="preserve">Solde  de fermeture de l'année précédente pour le projet  </v>
      </c>
      <c r="BD8" s="153" t="s">
        <v>62</v>
      </c>
      <c r="BE8" s="127"/>
      <c r="BF8" s="154"/>
      <c r="BG8"/>
      <c r="BH8" s="152"/>
      <c r="BI8" s="151" t="str">
        <f>IF(Listes!C9="","",Listes!C9)</f>
        <v/>
      </c>
      <c r="BJ8" s="142"/>
      <c r="BK8" s="150" t="str">
        <f>"Solde  de fermeture de l'année précédente pour le projet  "&amp;TEXT(Table753[[#This Row],[Projet]],"")</f>
        <v xml:space="preserve">Solde  de fermeture de l'année précédente pour le projet  </v>
      </c>
      <c r="BL8" s="153" t="s">
        <v>62</v>
      </c>
      <c r="BM8" s="127"/>
      <c r="BN8" s="154"/>
      <c r="BO8"/>
      <c r="BP8" s="152"/>
      <c r="BQ8" s="151" t="str">
        <f>IF(Listes!C9="","",Listes!C9)</f>
        <v/>
      </c>
      <c r="BR8" s="142"/>
      <c r="BS8" s="150" t="str">
        <f>"Solde  de fermeture de l'année précédente pour le projet  "&amp;TEXT(Table755[[#This Row],[Projet]],"")</f>
        <v xml:space="preserve">Solde  de fermeture de l'année précédente pour le projet  </v>
      </c>
      <c r="BT8" s="153" t="s">
        <v>62</v>
      </c>
      <c r="BU8" s="127"/>
      <c r="BV8" s="154"/>
      <c r="BW8"/>
      <c r="BX8" s="152"/>
      <c r="BY8" s="151" t="str">
        <f>IF(Listes!C9="","",Listes!C9)</f>
        <v/>
      </c>
      <c r="BZ8" s="142"/>
      <c r="CA8" s="150" t="str">
        <f>"Solde  de fermeture de l'année précédente pour le projet  "&amp;TEXT(Table757[[#This Row],[Projet]],"")</f>
        <v xml:space="preserve">Solde  de fermeture de l'année précédente pour le projet  </v>
      </c>
      <c r="CB8" s="153" t="s">
        <v>62</v>
      </c>
      <c r="CC8" s="127"/>
      <c r="CD8" s="154"/>
      <c r="CE8"/>
      <c r="CF8" s="152"/>
      <c r="CG8" s="151" t="str">
        <f>IF(Listes!C9="","",Listes!C9)</f>
        <v/>
      </c>
      <c r="CH8" s="142"/>
      <c r="CI8" s="150" t="str">
        <f>"Solde  de fermeture de l'année précédente pour le projet  "&amp;TEXT(Table759[[#This Row],[Projet]],"")</f>
        <v xml:space="preserve">Solde  de fermeture de l'année précédente pour le projet  </v>
      </c>
      <c r="CJ8" s="153" t="s">
        <v>62</v>
      </c>
      <c r="CK8" s="127"/>
      <c r="CL8" s="154"/>
      <c r="CM8" s="118"/>
      <c r="CN8" s="152"/>
      <c r="CO8" s="151" t="str">
        <f>IF(Listes!C9="","",Listes!C9)</f>
        <v/>
      </c>
      <c r="CP8" s="142"/>
      <c r="CQ8" s="150" t="str">
        <f>"Solde  de fermeture de l'année précédente pour le projet  "&amp;TEXT(Table761[[#This Row],[Projet]],"")</f>
        <v xml:space="preserve">Solde  de fermeture de l'année précédente pour le projet  </v>
      </c>
      <c r="CR8" s="153" t="s">
        <v>62</v>
      </c>
      <c r="CS8" s="127"/>
      <c r="CT8" s="154"/>
      <c r="CV8" s="152"/>
      <c r="CW8" s="151" t="str">
        <f>IF(Listes!C9="","",Listes!C9)</f>
        <v/>
      </c>
      <c r="CX8" s="142"/>
      <c r="CY8" s="150" t="str">
        <f>"Solde  de fermeture de l'année précédente pour le projet  "&amp;TEXT(Table763[[#This Row],[Projet]],"")</f>
        <v xml:space="preserve">Solde  de fermeture de l'année précédente pour le projet  </v>
      </c>
      <c r="CZ8" s="153" t="s">
        <v>62</v>
      </c>
      <c r="DA8" s="127"/>
      <c r="DB8" s="154"/>
      <c r="DD8" s="152"/>
      <c r="DE8" s="151" t="str">
        <f>IF(Listes!C9="","",Listes!C9)</f>
        <v/>
      </c>
      <c r="DF8" s="142"/>
      <c r="DG8" s="150" t="str">
        <f>"Solde  de fermeture de l'année précédente pour le projet  "&amp;TEXT(Table765[[#This Row],[Projet]],"")</f>
        <v xml:space="preserve">Solde  de fermeture de l'année précédente pour le projet  </v>
      </c>
      <c r="DH8" s="153" t="s">
        <v>62</v>
      </c>
      <c r="DI8" s="127"/>
      <c r="DJ8" s="154"/>
    </row>
    <row r="9" spans="1:114" x14ac:dyDescent="0.25">
      <c r="A9" s="122" t="str">
        <f>IF(Listes!A7="","",Listes!A7)</f>
        <v>Entrées</v>
      </c>
      <c r="B9" s="124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>0</v>
      </c>
      <c r="D9" s="194"/>
      <c r="E9" s="151" t="str">
        <f>IF(Listes!C10="","",Listes!C10)</f>
        <v/>
      </c>
      <c r="F9" s="142"/>
      <c r="G9" s="150" t="str">
        <f>"Solde  de fermeture de l'année précédente pour le projet  "&amp;TEXT(Table7[[#This Row],[Projet]],"")</f>
        <v xml:space="preserve">Solde  de fermeture de l'année précédente pour le projet  </v>
      </c>
      <c r="H9" s="153" t="s">
        <v>62</v>
      </c>
      <c r="I9" s="127"/>
      <c r="J9" s="154"/>
      <c r="L9" s="152"/>
      <c r="M9" s="151" t="str">
        <f>IF(Listes!C10="","",Listes!C10)</f>
        <v/>
      </c>
      <c r="N9" s="142"/>
      <c r="O9" s="150" t="str">
        <f>"Solde  de fermeture de l'année précédente pour le projet  "&amp;TEXT(Table741[[#This Row],[Projet]],"")</f>
        <v xml:space="preserve">Solde  de fermeture de l'année précédente pour le projet  </v>
      </c>
      <c r="P9" s="153" t="s">
        <v>62</v>
      </c>
      <c r="Q9" s="127"/>
      <c r="R9" s="154"/>
      <c r="S9"/>
      <c r="T9" s="152"/>
      <c r="U9" s="151" t="str">
        <f>IF(Listes!C10="","",Listes!C10)</f>
        <v/>
      </c>
      <c r="V9" s="142"/>
      <c r="W9" s="150" t="str">
        <f>"Solde  de fermeture de l'année précédente pour le projet  "&amp;TEXT(Table743[[#This Row],[Projet]],"")</f>
        <v xml:space="preserve">Solde  de fermeture de l'année précédente pour le projet  </v>
      </c>
      <c r="X9" s="153" t="s">
        <v>62</v>
      </c>
      <c r="Y9" s="127"/>
      <c r="Z9" s="154"/>
      <c r="AA9"/>
      <c r="AB9" s="152"/>
      <c r="AC9" s="151" t="str">
        <f>IF(Listes!C10="","",Listes!C10)</f>
        <v/>
      </c>
      <c r="AD9" s="142"/>
      <c r="AE9" s="150" t="str">
        <f>"Solde  de fermeture de l'année précédente pour le projet  "&amp;TEXT(Table745[[#This Row],[Projet]],"")</f>
        <v xml:space="preserve">Solde  de fermeture de l'année précédente pour le projet  </v>
      </c>
      <c r="AF9" s="153" t="s">
        <v>62</v>
      </c>
      <c r="AG9" s="127"/>
      <c r="AH9" s="154"/>
      <c r="AI9"/>
      <c r="AJ9" s="152"/>
      <c r="AK9" s="151" t="str">
        <f>IF(Listes!C10="","",Listes!C10)</f>
        <v/>
      </c>
      <c r="AL9" s="142"/>
      <c r="AM9" s="150" t="str">
        <f>"Solde  de fermeture de l'année précédente pour le projet  "&amp;TEXT(Table746[[#This Row],[Projet]],"")</f>
        <v xml:space="preserve">Solde  de fermeture de l'année précédente pour le projet  </v>
      </c>
      <c r="AN9" s="153" t="s">
        <v>62</v>
      </c>
      <c r="AO9" s="127"/>
      <c r="AP9" s="154"/>
      <c r="AQ9"/>
      <c r="AR9" s="152"/>
      <c r="AS9" s="151" t="str">
        <f>IF(Listes!C10="","",Listes!C10)</f>
        <v/>
      </c>
      <c r="AT9" s="142"/>
      <c r="AU9" s="150" t="str">
        <f>"Solde  de fermeture de l'année précédente pour le projet  "&amp;TEXT(Table749[[#This Row],[Projet]],"")</f>
        <v xml:space="preserve">Solde  de fermeture de l'année précédente pour le projet  </v>
      </c>
      <c r="AV9" s="153" t="s">
        <v>62</v>
      </c>
      <c r="AW9" s="127"/>
      <c r="AX9" s="154"/>
      <c r="AY9"/>
      <c r="AZ9" s="152"/>
      <c r="BA9" s="151" t="str">
        <f>IF(Listes!C10="","",Listes!C10)</f>
        <v/>
      </c>
      <c r="BB9" s="142"/>
      <c r="BC9" s="150" t="str">
        <f>"Solde  de fermeture de l'année précédente pour le projet  "&amp;TEXT(Table751[[#This Row],[Projet]],"")</f>
        <v xml:space="preserve">Solde  de fermeture de l'année précédente pour le projet  </v>
      </c>
      <c r="BD9" s="153" t="s">
        <v>62</v>
      </c>
      <c r="BE9" s="127"/>
      <c r="BF9" s="154"/>
      <c r="BG9"/>
      <c r="BH9" s="152"/>
      <c r="BI9" s="151" t="str">
        <f>IF(Listes!C10="","",Listes!C10)</f>
        <v/>
      </c>
      <c r="BJ9" s="142"/>
      <c r="BK9" s="150" t="str">
        <f>"Solde  de fermeture de l'année précédente pour le projet  "&amp;TEXT(Table753[[#This Row],[Projet]],"")</f>
        <v xml:space="preserve">Solde  de fermeture de l'année précédente pour le projet  </v>
      </c>
      <c r="BL9" s="153" t="s">
        <v>62</v>
      </c>
      <c r="BM9" s="127"/>
      <c r="BN9" s="154"/>
      <c r="BO9"/>
      <c r="BP9" s="152"/>
      <c r="BQ9" s="151" t="str">
        <f>IF(Listes!C10="","",Listes!C10)</f>
        <v/>
      </c>
      <c r="BR9" s="142"/>
      <c r="BS9" s="150" t="str">
        <f>"Solde  de fermeture de l'année précédente pour le projet  "&amp;TEXT(Table755[[#This Row],[Projet]],"")</f>
        <v xml:space="preserve">Solde  de fermeture de l'année précédente pour le projet  </v>
      </c>
      <c r="BT9" s="153" t="s">
        <v>62</v>
      </c>
      <c r="BU9" s="127"/>
      <c r="BV9" s="154"/>
      <c r="BW9"/>
      <c r="BX9" s="152"/>
      <c r="BY9" s="151" t="str">
        <f>IF(Listes!C10="","",Listes!C10)</f>
        <v/>
      </c>
      <c r="BZ9" s="142"/>
      <c r="CA9" s="150" t="str">
        <f>"Solde  de fermeture de l'année précédente pour le projet  "&amp;TEXT(Table757[[#This Row],[Projet]],"")</f>
        <v xml:space="preserve">Solde  de fermeture de l'année précédente pour le projet  </v>
      </c>
      <c r="CB9" s="153" t="s">
        <v>62</v>
      </c>
      <c r="CC9" s="127"/>
      <c r="CD9" s="154"/>
      <c r="CE9"/>
      <c r="CF9" s="152"/>
      <c r="CG9" s="151" t="str">
        <f>IF(Listes!C10="","",Listes!C10)</f>
        <v/>
      </c>
      <c r="CH9" s="142"/>
      <c r="CI9" s="150" t="str">
        <f>"Solde  de fermeture de l'année précédente pour le projet  "&amp;TEXT(Table759[[#This Row],[Projet]],"")</f>
        <v xml:space="preserve">Solde  de fermeture de l'année précédente pour le projet  </v>
      </c>
      <c r="CJ9" s="153" t="s">
        <v>62</v>
      </c>
      <c r="CK9" s="127"/>
      <c r="CL9" s="154"/>
      <c r="CM9" s="118"/>
      <c r="CN9" s="152"/>
      <c r="CO9" s="151" t="str">
        <f>IF(Listes!C10="","",Listes!C10)</f>
        <v/>
      </c>
      <c r="CP9" s="142"/>
      <c r="CQ9" s="150" t="str">
        <f>"Solde  de fermeture de l'année précédente pour le projet  "&amp;TEXT(Table761[[#This Row],[Projet]],"")</f>
        <v xml:space="preserve">Solde  de fermeture de l'année précédente pour le projet  </v>
      </c>
      <c r="CR9" s="153" t="s">
        <v>62</v>
      </c>
      <c r="CS9" s="127"/>
      <c r="CT9" s="154"/>
      <c r="CV9" s="152"/>
      <c r="CW9" s="151" t="str">
        <f>IF(Listes!C10="","",Listes!C10)</f>
        <v/>
      </c>
      <c r="CX9" s="142"/>
      <c r="CY9" s="150" t="str">
        <f>"Solde  de fermeture de l'année précédente pour le projet  "&amp;TEXT(Table763[[#This Row],[Projet]],"")</f>
        <v xml:space="preserve">Solde  de fermeture de l'année précédente pour le projet  </v>
      </c>
      <c r="CZ9" s="153" t="s">
        <v>62</v>
      </c>
      <c r="DA9" s="127"/>
      <c r="DB9" s="154"/>
      <c r="DD9" s="152"/>
      <c r="DE9" s="151" t="str">
        <f>IF(Listes!C10="","",Listes!C10)</f>
        <v/>
      </c>
      <c r="DF9" s="142"/>
      <c r="DG9" s="150" t="str">
        <f>"Solde  de fermeture de l'année précédente pour le projet  "&amp;TEXT(Table765[[#This Row],[Projet]],"")</f>
        <v xml:space="preserve">Solde  de fermeture de l'année précédente pour le projet  </v>
      </c>
      <c r="DH9" s="153" t="s">
        <v>62</v>
      </c>
      <c r="DI9" s="127"/>
      <c r="DJ9" s="154"/>
    </row>
    <row r="10" spans="1:114" x14ac:dyDescent="0.25">
      <c r="A10" s="122" t="str">
        <f>IF(Listes!A8="","",Listes!A8)</f>
        <v>Fon.</v>
      </c>
      <c r="B10" s="124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>0</v>
      </c>
      <c r="D10" s="194"/>
      <c r="E10" s="151" t="str">
        <f>IF(Listes!C11="","",Listes!C11)</f>
        <v/>
      </c>
      <c r="F10" s="142"/>
      <c r="G10" s="150" t="str">
        <f>"Solde  de fermeture de l'année précédente pour le projet  "&amp;TEXT(Table7[[#This Row],[Projet]],"")</f>
        <v xml:space="preserve">Solde  de fermeture de l'année précédente pour le projet  </v>
      </c>
      <c r="H10" s="153" t="s">
        <v>62</v>
      </c>
      <c r="I10" s="127"/>
      <c r="J10" s="154"/>
      <c r="L10" s="152"/>
      <c r="M10" s="151" t="str">
        <f>IF(Listes!C11="","",Listes!C11)</f>
        <v/>
      </c>
      <c r="N10" s="142"/>
      <c r="O10" s="150" t="str">
        <f>"Solde  de fermeture de l'année précédente pour le projet  "&amp;TEXT(Table741[[#This Row],[Projet]],"")</f>
        <v xml:space="preserve">Solde  de fermeture de l'année précédente pour le projet  </v>
      </c>
      <c r="P10" s="153" t="s">
        <v>62</v>
      </c>
      <c r="Q10" s="127"/>
      <c r="R10" s="154"/>
      <c r="S10"/>
      <c r="T10" s="152"/>
      <c r="U10" s="151" t="str">
        <f>IF(Listes!C11="","",Listes!C11)</f>
        <v/>
      </c>
      <c r="V10" s="142"/>
      <c r="W10" s="150" t="str">
        <f>"Solde  de fermeture de l'année précédente pour le projet  "&amp;TEXT(Table743[[#This Row],[Projet]],"")</f>
        <v xml:space="preserve">Solde  de fermeture de l'année précédente pour le projet  </v>
      </c>
      <c r="X10" s="153" t="s">
        <v>62</v>
      </c>
      <c r="Y10" s="127"/>
      <c r="Z10" s="154"/>
      <c r="AA10"/>
      <c r="AB10" s="152"/>
      <c r="AC10" s="151" t="str">
        <f>IF(Listes!C11="","",Listes!C11)</f>
        <v/>
      </c>
      <c r="AD10" s="142"/>
      <c r="AE10" s="150" t="str">
        <f>"Solde  de fermeture de l'année précédente pour le projet  "&amp;TEXT(Table745[[#This Row],[Projet]],"")</f>
        <v xml:space="preserve">Solde  de fermeture de l'année précédente pour le projet  </v>
      </c>
      <c r="AF10" s="153" t="s">
        <v>62</v>
      </c>
      <c r="AG10" s="127"/>
      <c r="AH10" s="154"/>
      <c r="AI10"/>
      <c r="AJ10" s="152"/>
      <c r="AK10" s="151" t="str">
        <f>IF(Listes!C11="","",Listes!C11)</f>
        <v/>
      </c>
      <c r="AL10" s="142"/>
      <c r="AM10" s="150" t="str">
        <f>"Solde  de fermeture de l'année précédente pour le projet  "&amp;TEXT(Table746[[#This Row],[Projet]],"")</f>
        <v xml:space="preserve">Solde  de fermeture de l'année précédente pour le projet  </v>
      </c>
      <c r="AN10" s="153" t="s">
        <v>62</v>
      </c>
      <c r="AO10" s="127"/>
      <c r="AP10" s="154"/>
      <c r="AQ10"/>
      <c r="AR10" s="152"/>
      <c r="AS10" s="151" t="str">
        <f>IF(Listes!C11="","",Listes!C11)</f>
        <v/>
      </c>
      <c r="AT10" s="142"/>
      <c r="AU10" s="150" t="str">
        <f>"Solde  de fermeture de l'année précédente pour le projet  "&amp;TEXT(Table749[[#This Row],[Projet]],"")</f>
        <v xml:space="preserve">Solde  de fermeture de l'année précédente pour le projet  </v>
      </c>
      <c r="AV10" s="153" t="s">
        <v>62</v>
      </c>
      <c r="AW10" s="127"/>
      <c r="AX10" s="154"/>
      <c r="AY10"/>
      <c r="AZ10" s="152"/>
      <c r="BA10" s="151" t="str">
        <f>IF(Listes!C11="","",Listes!C11)</f>
        <v/>
      </c>
      <c r="BB10" s="142"/>
      <c r="BC10" s="150" t="str">
        <f>"Solde  de fermeture de l'année précédente pour le projet  "&amp;TEXT(Table751[[#This Row],[Projet]],"")</f>
        <v xml:space="preserve">Solde  de fermeture de l'année précédente pour le projet  </v>
      </c>
      <c r="BD10" s="153" t="s">
        <v>62</v>
      </c>
      <c r="BE10" s="127"/>
      <c r="BF10" s="154"/>
      <c r="BG10"/>
      <c r="BH10" s="152"/>
      <c r="BI10" s="151" t="str">
        <f>IF(Listes!C11="","",Listes!C11)</f>
        <v/>
      </c>
      <c r="BJ10" s="142"/>
      <c r="BK10" s="150" t="str">
        <f>"Solde  de fermeture de l'année précédente pour le projet  "&amp;TEXT(Table753[[#This Row],[Projet]],"")</f>
        <v xml:space="preserve">Solde  de fermeture de l'année précédente pour le projet  </v>
      </c>
      <c r="BL10" s="153" t="s">
        <v>62</v>
      </c>
      <c r="BM10" s="127"/>
      <c r="BN10" s="154"/>
      <c r="BO10"/>
      <c r="BP10" s="152"/>
      <c r="BQ10" s="151" t="str">
        <f>IF(Listes!C11="","",Listes!C11)</f>
        <v/>
      </c>
      <c r="BR10" s="142"/>
      <c r="BS10" s="150" t="str">
        <f>"Solde  de fermeture de l'année précédente pour le projet  "&amp;TEXT(Table755[[#This Row],[Projet]],"")</f>
        <v xml:space="preserve">Solde  de fermeture de l'année précédente pour le projet  </v>
      </c>
      <c r="BT10" s="153" t="s">
        <v>62</v>
      </c>
      <c r="BU10" s="127"/>
      <c r="BV10" s="154"/>
      <c r="BW10"/>
      <c r="BX10" s="152"/>
      <c r="BY10" s="151" t="str">
        <f>IF(Listes!C11="","",Listes!C11)</f>
        <v/>
      </c>
      <c r="BZ10" s="142"/>
      <c r="CA10" s="150" t="str">
        <f>"Solde  de fermeture de l'année précédente pour le projet  "&amp;TEXT(Table757[[#This Row],[Projet]],"")</f>
        <v xml:space="preserve">Solde  de fermeture de l'année précédente pour le projet  </v>
      </c>
      <c r="CB10" s="153" t="s">
        <v>62</v>
      </c>
      <c r="CC10" s="127"/>
      <c r="CD10" s="154"/>
      <c r="CE10"/>
      <c r="CF10" s="152"/>
      <c r="CG10" s="151" t="str">
        <f>IF(Listes!C11="","",Listes!C11)</f>
        <v/>
      </c>
      <c r="CH10" s="142"/>
      <c r="CI10" s="150" t="str">
        <f>"Solde  de fermeture de l'année précédente pour le projet  "&amp;TEXT(Table759[[#This Row],[Projet]],"")</f>
        <v xml:space="preserve">Solde  de fermeture de l'année précédente pour le projet  </v>
      </c>
      <c r="CJ10" s="153" t="s">
        <v>62</v>
      </c>
      <c r="CK10" s="127"/>
      <c r="CL10" s="154"/>
      <c r="CM10" s="118"/>
      <c r="CN10" s="152"/>
      <c r="CO10" s="151" t="str">
        <f>IF(Listes!C11="","",Listes!C11)</f>
        <v/>
      </c>
      <c r="CP10" s="142"/>
      <c r="CQ10" s="150" t="str">
        <f>"Solde  de fermeture de l'année précédente pour le projet  "&amp;TEXT(Table761[[#This Row],[Projet]],"")</f>
        <v xml:space="preserve">Solde  de fermeture de l'année précédente pour le projet  </v>
      </c>
      <c r="CR10" s="153" t="s">
        <v>62</v>
      </c>
      <c r="CS10" s="127"/>
      <c r="CT10" s="154"/>
      <c r="CV10" s="152"/>
      <c r="CW10" s="151" t="str">
        <f>IF(Listes!C11="","",Listes!C11)</f>
        <v/>
      </c>
      <c r="CX10" s="142"/>
      <c r="CY10" s="150" t="str">
        <f>"Solde  de fermeture de l'année précédente pour le projet  "&amp;TEXT(Table763[[#This Row],[Projet]],"")</f>
        <v xml:space="preserve">Solde  de fermeture de l'année précédente pour le projet  </v>
      </c>
      <c r="CZ10" s="153" t="s">
        <v>62</v>
      </c>
      <c r="DA10" s="127"/>
      <c r="DB10" s="154"/>
      <c r="DD10" s="152"/>
      <c r="DE10" s="151" t="str">
        <f>IF(Listes!C11="","",Listes!C11)</f>
        <v/>
      </c>
      <c r="DF10" s="142"/>
      <c r="DG10" s="150" t="str">
        <f>"Solde  de fermeture de l'année précédente pour le projet  "&amp;TEXT(Table765[[#This Row],[Projet]],"")</f>
        <v xml:space="preserve">Solde  de fermeture de l'année précédente pour le projet  </v>
      </c>
      <c r="DH10" s="153" t="s">
        <v>62</v>
      </c>
      <c r="DI10" s="127"/>
      <c r="DJ10" s="154"/>
    </row>
    <row r="11" spans="1:114" x14ac:dyDescent="0.25">
      <c r="A11" s="122" t="str">
        <f>IF(Listes!A9="","",Listes!A9)</f>
        <v>Sal.</v>
      </c>
      <c r="B11" s="124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>0</v>
      </c>
      <c r="D11" s="194"/>
      <c r="E11" s="151" t="str">
        <f>IF(Listes!C12="","",Listes!C12)</f>
        <v/>
      </c>
      <c r="F11" s="142"/>
      <c r="G11" s="150" t="str">
        <f>"Solde  de fermeture de l'année précédente pour le projet  "&amp;TEXT(Table7[[#This Row],[Projet]],"")</f>
        <v xml:space="preserve">Solde  de fermeture de l'année précédente pour le projet  </v>
      </c>
      <c r="H11" s="153" t="s">
        <v>62</v>
      </c>
      <c r="I11" s="127"/>
      <c r="J11" s="154"/>
      <c r="L11" s="152"/>
      <c r="M11" s="151" t="str">
        <f>IF(Listes!C12="","",Listes!C12)</f>
        <v/>
      </c>
      <c r="N11" s="142"/>
      <c r="O11" s="150" t="str">
        <f>"Solde  de fermeture de l'année précédente pour le projet  "&amp;TEXT(Table741[[#This Row],[Projet]],"")</f>
        <v xml:space="preserve">Solde  de fermeture de l'année précédente pour le projet  </v>
      </c>
      <c r="P11" s="153" t="s">
        <v>62</v>
      </c>
      <c r="Q11" s="127"/>
      <c r="R11" s="154"/>
      <c r="S11"/>
      <c r="T11" s="152"/>
      <c r="U11" s="151" t="str">
        <f>IF(Listes!C12="","",Listes!C12)</f>
        <v/>
      </c>
      <c r="V11" s="142"/>
      <c r="W11" s="150" t="str">
        <f>"Solde  de fermeture de l'année précédente pour le projet  "&amp;TEXT(Table743[[#This Row],[Projet]],"")</f>
        <v xml:space="preserve">Solde  de fermeture de l'année précédente pour le projet  </v>
      </c>
      <c r="X11" s="153" t="s">
        <v>62</v>
      </c>
      <c r="Y11" s="127"/>
      <c r="Z11" s="154"/>
      <c r="AA11"/>
      <c r="AB11" s="152"/>
      <c r="AC11" s="151" t="str">
        <f>IF(Listes!C12="","",Listes!C12)</f>
        <v/>
      </c>
      <c r="AD11" s="142"/>
      <c r="AE11" s="150" t="str">
        <f>"Solde  de fermeture de l'année précédente pour le projet  "&amp;TEXT(Table745[[#This Row],[Projet]],"")</f>
        <v xml:space="preserve">Solde  de fermeture de l'année précédente pour le projet  </v>
      </c>
      <c r="AF11" s="153" t="s">
        <v>62</v>
      </c>
      <c r="AG11" s="127"/>
      <c r="AH11" s="154"/>
      <c r="AI11"/>
      <c r="AJ11" s="152"/>
      <c r="AK11" s="151" t="str">
        <f>IF(Listes!C12="","",Listes!C12)</f>
        <v/>
      </c>
      <c r="AL11" s="142"/>
      <c r="AM11" s="150" t="str">
        <f>"Solde  de fermeture de l'année précédente pour le projet  "&amp;TEXT(Table746[[#This Row],[Projet]],"")</f>
        <v xml:space="preserve">Solde  de fermeture de l'année précédente pour le projet  </v>
      </c>
      <c r="AN11" s="153" t="s">
        <v>62</v>
      </c>
      <c r="AO11" s="127"/>
      <c r="AP11" s="154"/>
      <c r="AQ11"/>
      <c r="AR11" s="152"/>
      <c r="AS11" s="151" t="str">
        <f>IF(Listes!C12="","",Listes!C12)</f>
        <v/>
      </c>
      <c r="AT11" s="142"/>
      <c r="AU11" s="150" t="str">
        <f>"Solde  de fermeture de l'année précédente pour le projet  "&amp;TEXT(Table749[[#This Row],[Projet]],"")</f>
        <v xml:space="preserve">Solde  de fermeture de l'année précédente pour le projet  </v>
      </c>
      <c r="AV11" s="153" t="s">
        <v>62</v>
      </c>
      <c r="AW11" s="127"/>
      <c r="AX11" s="154"/>
      <c r="AY11"/>
      <c r="AZ11" s="152"/>
      <c r="BA11" s="151" t="str">
        <f>IF(Listes!C12="","",Listes!C12)</f>
        <v/>
      </c>
      <c r="BB11" s="142"/>
      <c r="BC11" s="150" t="str">
        <f>"Solde  de fermeture de l'année précédente pour le projet  "&amp;TEXT(Table751[[#This Row],[Projet]],"")</f>
        <v xml:space="preserve">Solde  de fermeture de l'année précédente pour le projet  </v>
      </c>
      <c r="BD11" s="153" t="s">
        <v>62</v>
      </c>
      <c r="BE11" s="127"/>
      <c r="BF11" s="154"/>
      <c r="BG11"/>
      <c r="BH11" s="152"/>
      <c r="BI11" s="151" t="str">
        <f>IF(Listes!C12="","",Listes!C12)</f>
        <v/>
      </c>
      <c r="BJ11" s="142"/>
      <c r="BK11" s="150" t="str">
        <f>"Solde  de fermeture de l'année précédente pour le projet  "&amp;TEXT(Table753[[#This Row],[Projet]],"")</f>
        <v xml:space="preserve">Solde  de fermeture de l'année précédente pour le projet  </v>
      </c>
      <c r="BL11" s="153" t="s">
        <v>62</v>
      </c>
      <c r="BM11" s="127"/>
      <c r="BN11" s="154"/>
      <c r="BO11"/>
      <c r="BP11" s="152"/>
      <c r="BQ11" s="151" t="str">
        <f>IF(Listes!C12="","",Listes!C12)</f>
        <v/>
      </c>
      <c r="BR11" s="142"/>
      <c r="BS11" s="150" t="str">
        <f>"Solde  de fermeture de l'année précédente pour le projet  "&amp;TEXT(Table755[[#This Row],[Projet]],"")</f>
        <v xml:space="preserve">Solde  de fermeture de l'année précédente pour le projet  </v>
      </c>
      <c r="BT11" s="153" t="s">
        <v>62</v>
      </c>
      <c r="BU11" s="127"/>
      <c r="BV11" s="154"/>
      <c r="BW11"/>
      <c r="BX11" s="152"/>
      <c r="BY11" s="151" t="str">
        <f>IF(Listes!C12="","",Listes!C12)</f>
        <v/>
      </c>
      <c r="BZ11" s="142"/>
      <c r="CA11" s="150" t="str">
        <f>"Solde  de fermeture de l'année précédente pour le projet  "&amp;TEXT(Table757[[#This Row],[Projet]],"")</f>
        <v xml:space="preserve">Solde  de fermeture de l'année précédente pour le projet  </v>
      </c>
      <c r="CB11" s="153" t="s">
        <v>62</v>
      </c>
      <c r="CC11" s="127"/>
      <c r="CD11" s="154"/>
      <c r="CE11"/>
      <c r="CF11" s="152"/>
      <c r="CG11" s="151" t="str">
        <f>IF(Listes!C12="","",Listes!C12)</f>
        <v/>
      </c>
      <c r="CH11" s="142"/>
      <c r="CI11" s="150" t="str">
        <f>"Solde  de fermeture de l'année précédente pour le projet  "&amp;TEXT(Table759[[#This Row],[Projet]],"")</f>
        <v xml:space="preserve">Solde  de fermeture de l'année précédente pour le projet  </v>
      </c>
      <c r="CJ11" s="153" t="s">
        <v>62</v>
      </c>
      <c r="CK11" s="127"/>
      <c r="CL11" s="154"/>
      <c r="CM11" s="118"/>
      <c r="CN11" s="152"/>
      <c r="CO11" s="151" t="str">
        <f>IF(Listes!C12="","",Listes!C12)</f>
        <v/>
      </c>
      <c r="CP11" s="142"/>
      <c r="CQ11" s="150" t="str">
        <f>"Solde  de fermeture de l'année précédente pour le projet  "&amp;TEXT(Table761[[#This Row],[Projet]],"")</f>
        <v xml:space="preserve">Solde  de fermeture de l'année précédente pour le projet  </v>
      </c>
      <c r="CR11" s="153" t="s">
        <v>62</v>
      </c>
      <c r="CS11" s="127"/>
      <c r="CT11" s="154"/>
      <c r="CV11" s="152"/>
      <c r="CW11" s="151" t="str">
        <f>IF(Listes!C12="","",Listes!C12)</f>
        <v/>
      </c>
      <c r="CX11" s="142"/>
      <c r="CY11" s="150" t="str">
        <f>"Solde  de fermeture de l'année précédente pour le projet  "&amp;TEXT(Table763[[#This Row],[Projet]],"")</f>
        <v xml:space="preserve">Solde  de fermeture de l'année précédente pour le projet  </v>
      </c>
      <c r="CZ11" s="153" t="s">
        <v>62</v>
      </c>
      <c r="DA11" s="127"/>
      <c r="DB11" s="154"/>
      <c r="DD11" s="152"/>
      <c r="DE11" s="151" t="str">
        <f>IF(Listes!C12="","",Listes!C12)</f>
        <v/>
      </c>
      <c r="DF11" s="142"/>
      <c r="DG11" s="150" t="str">
        <f>"Solde  de fermeture de l'année précédente pour le projet  "&amp;TEXT(Table765[[#This Row],[Projet]],"")</f>
        <v xml:space="preserve">Solde  de fermeture de l'année précédente pour le projet  </v>
      </c>
      <c r="DH11" s="153" t="s">
        <v>62</v>
      </c>
      <c r="DI11" s="127"/>
      <c r="DJ11" s="154"/>
    </row>
    <row r="12" spans="1:114" x14ac:dyDescent="0.25">
      <c r="A12" s="122" t="str">
        <f>IF(Listes!A10="","",Listes!A10)</f>
        <v>Inv.</v>
      </c>
      <c r="B12" s="124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>0</v>
      </c>
      <c r="D12" s="119" t="s">
        <v>227</v>
      </c>
      <c r="E12" s="144" t="s">
        <v>31</v>
      </c>
      <c r="F12" s="142"/>
      <c r="G12" s="119" t="s">
        <v>235</v>
      </c>
      <c r="H12" s="120"/>
      <c r="I12" s="127">
        <v>103650</v>
      </c>
      <c r="J12" s="126"/>
      <c r="L12" s="119"/>
      <c r="M12" s="144"/>
      <c r="N12" s="142"/>
      <c r="O12" s="119"/>
      <c r="P12" s="120"/>
      <c r="Q12" s="127"/>
      <c r="R12" s="127"/>
      <c r="S12"/>
      <c r="T12" s="119"/>
      <c r="U12" s="144"/>
      <c r="V12" s="142"/>
      <c r="W12" s="119"/>
      <c r="X12" s="120"/>
      <c r="Y12" s="127"/>
      <c r="Z12" s="127"/>
      <c r="AA12"/>
      <c r="AB12" s="119"/>
      <c r="AC12" s="144"/>
      <c r="AD12" s="142"/>
      <c r="AE12" s="119"/>
      <c r="AF12" s="120"/>
      <c r="AG12" s="127"/>
      <c r="AH12" s="127"/>
      <c r="AI12"/>
      <c r="AJ12" s="119"/>
      <c r="AK12" s="144"/>
      <c r="AL12" s="142"/>
      <c r="AM12" s="119"/>
      <c r="AN12" s="120"/>
      <c r="AO12" s="127"/>
      <c r="AP12" s="127"/>
      <c r="AQ12"/>
      <c r="AR12" s="119"/>
      <c r="AS12" s="144"/>
      <c r="AT12" s="142"/>
      <c r="AU12" s="119"/>
      <c r="AV12" s="120"/>
      <c r="AW12" s="127"/>
      <c r="AX12" s="127"/>
      <c r="AY12"/>
      <c r="AZ12" s="119"/>
      <c r="BA12" s="144"/>
      <c r="BB12" s="142"/>
      <c r="BC12" s="119"/>
      <c r="BD12" s="120"/>
      <c r="BE12" s="127"/>
      <c r="BF12" s="127"/>
      <c r="BG12"/>
      <c r="BH12" s="119"/>
      <c r="BI12" s="144"/>
      <c r="BJ12" s="142"/>
      <c r="BK12" s="119"/>
      <c r="BL12" s="120"/>
      <c r="BM12" s="127"/>
      <c r="BN12" s="127"/>
      <c r="BO12"/>
      <c r="BP12" s="119"/>
      <c r="BQ12" s="144"/>
      <c r="BR12" s="142"/>
      <c r="BS12" s="119"/>
      <c r="BT12" s="120"/>
      <c r="BU12" s="127"/>
      <c r="BV12" s="127"/>
      <c r="BW12"/>
      <c r="BX12" s="119"/>
      <c r="BY12" s="144"/>
      <c r="BZ12" s="142"/>
      <c r="CA12" s="119"/>
      <c r="CB12" s="120"/>
      <c r="CC12" s="127"/>
      <c r="CD12" s="127"/>
      <c r="CE12"/>
      <c r="CF12" s="119"/>
      <c r="CG12" s="144"/>
      <c r="CH12" s="142"/>
      <c r="CI12" s="119"/>
      <c r="CJ12" s="120"/>
      <c r="CK12" s="127"/>
      <c r="CL12" s="127"/>
      <c r="CN12" s="119"/>
      <c r="CO12" s="144"/>
      <c r="CP12" s="142"/>
      <c r="CQ12" s="145"/>
      <c r="CR12" s="120"/>
      <c r="CS12" s="127"/>
      <c r="CT12" s="127"/>
      <c r="CV12" s="119"/>
      <c r="CW12" s="144"/>
      <c r="CX12" s="142"/>
      <c r="CY12" s="119"/>
      <c r="CZ12" s="120"/>
      <c r="DA12" s="127"/>
      <c r="DB12" s="127"/>
      <c r="DD12" s="119"/>
      <c r="DE12" s="144"/>
      <c r="DF12" s="142"/>
      <c r="DG12" s="119"/>
      <c r="DH12" s="120"/>
      <c r="DI12" s="127"/>
      <c r="DJ12" s="127"/>
    </row>
    <row r="13" spans="1:114" x14ac:dyDescent="0.25">
      <c r="A13" s="122" t="str">
        <f>IF(Listes!A11="","",Listes!A11)</f>
        <v/>
      </c>
      <c r="B1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3" s="119" t="s">
        <v>227</v>
      </c>
      <c r="E13" s="144" t="s">
        <v>31</v>
      </c>
      <c r="F13" s="142"/>
      <c r="G13" s="119" t="s">
        <v>230</v>
      </c>
      <c r="H13" s="120"/>
      <c r="I13" s="127">
        <v>66850</v>
      </c>
      <c r="J13" s="127"/>
      <c r="L13" s="119"/>
      <c r="M13" s="144"/>
      <c r="N13" s="142"/>
      <c r="O13" s="119"/>
      <c r="P13" s="120"/>
      <c r="Q13" s="127"/>
      <c r="R13" s="127"/>
      <c r="S13"/>
      <c r="T13" s="119"/>
      <c r="U13" s="144"/>
      <c r="V13" s="142"/>
      <c r="W13" s="119"/>
      <c r="X13" s="120"/>
      <c r="Y13" s="127"/>
      <c r="Z13" s="127"/>
      <c r="AA13"/>
      <c r="AB13" s="119"/>
      <c r="AC13" s="144"/>
      <c r="AD13" s="142"/>
      <c r="AE13" s="119"/>
      <c r="AF13" s="120"/>
      <c r="AG13" s="127"/>
      <c r="AH13" s="127"/>
      <c r="AI13"/>
      <c r="AJ13" s="119"/>
      <c r="AK13" s="144"/>
      <c r="AL13" s="142"/>
      <c r="AM13" s="119"/>
      <c r="AN13" s="120"/>
      <c r="AO13" s="127"/>
      <c r="AP13" s="127"/>
      <c r="AQ13"/>
      <c r="AR13" s="119"/>
      <c r="AS13" s="144"/>
      <c r="AT13" s="142"/>
      <c r="AU13" s="119"/>
      <c r="AV13" s="120"/>
      <c r="AW13" s="127"/>
      <c r="AX13" s="127"/>
      <c r="AY13"/>
      <c r="AZ13" s="119"/>
      <c r="BA13" s="144"/>
      <c r="BB13" s="142"/>
      <c r="BC13" s="119"/>
      <c r="BD13" s="120"/>
      <c r="BE13" s="127"/>
      <c r="BF13" s="127"/>
      <c r="BG13"/>
      <c r="BH13" s="119"/>
      <c r="BI13" s="144"/>
      <c r="BJ13" s="142"/>
      <c r="BK13" s="119"/>
      <c r="BL13" s="120"/>
      <c r="BM13" s="127"/>
      <c r="BN13" s="127"/>
      <c r="BO13"/>
      <c r="BP13" s="119"/>
      <c r="BQ13" s="144"/>
      <c r="BR13" s="142"/>
      <c r="BS13" s="119"/>
      <c r="BT13" s="120"/>
      <c r="BU13" s="127"/>
      <c r="BV13" s="127"/>
      <c r="BW13"/>
      <c r="BX13" s="119"/>
      <c r="BY13" s="144"/>
      <c r="BZ13" s="142"/>
      <c r="CA13" s="119"/>
      <c r="CB13" s="120"/>
      <c r="CC13" s="127"/>
      <c r="CD13" s="127"/>
      <c r="CE13"/>
      <c r="CF13" s="119"/>
      <c r="CG13" s="144"/>
      <c r="CH13" s="142"/>
      <c r="CI13" s="119"/>
      <c r="CJ13" s="120"/>
      <c r="CK13" s="127"/>
      <c r="CL13" s="127"/>
      <c r="CN13" s="119"/>
      <c r="CO13" s="144"/>
      <c r="CP13" s="142"/>
      <c r="CQ13" s="119"/>
      <c r="CR13" s="120"/>
      <c r="CS13" s="127"/>
      <c r="CT13" s="127"/>
      <c r="CV13" s="119"/>
      <c r="CW13" s="144"/>
      <c r="CX13" s="142"/>
      <c r="CY13" s="119"/>
      <c r="CZ13" s="120"/>
      <c r="DA13" s="127"/>
      <c r="DB13" s="127"/>
      <c r="DD13" s="119"/>
      <c r="DE13" s="144"/>
      <c r="DF13" s="142"/>
      <c r="DG13" s="119"/>
      <c r="DH13" s="120"/>
      <c r="DI13" s="127"/>
      <c r="DJ13" s="127"/>
    </row>
    <row r="14" spans="1:114" x14ac:dyDescent="0.25">
      <c r="A14" s="122" t="str">
        <f>IF(Listes!A12="","",Listes!A12)</f>
        <v/>
      </c>
      <c r="B1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4" s="119" t="s">
        <v>227</v>
      </c>
      <c r="E14" s="144" t="s">
        <v>31</v>
      </c>
      <c r="F14" s="142"/>
      <c r="G14" s="119" t="s">
        <v>236</v>
      </c>
      <c r="H14" s="120"/>
      <c r="I14" s="127">
        <v>23000</v>
      </c>
      <c r="J14" s="127"/>
      <c r="L14" s="119"/>
      <c r="M14" s="144"/>
      <c r="N14" s="142"/>
      <c r="O14" s="119"/>
      <c r="P14" s="120"/>
      <c r="Q14" s="127"/>
      <c r="R14" s="127"/>
      <c r="S14"/>
      <c r="T14" s="119"/>
      <c r="U14" s="144"/>
      <c r="V14" s="142"/>
      <c r="W14" s="119"/>
      <c r="X14" s="120"/>
      <c r="Y14" s="127"/>
      <c r="Z14" s="127"/>
      <c r="AA14"/>
      <c r="AB14" s="119"/>
      <c r="AC14" s="144"/>
      <c r="AD14" s="142"/>
      <c r="AE14" s="119"/>
      <c r="AF14" s="120"/>
      <c r="AG14" s="127"/>
      <c r="AH14" s="127"/>
      <c r="AI14"/>
      <c r="AJ14" s="119"/>
      <c r="AK14" s="144"/>
      <c r="AL14" s="142"/>
      <c r="AM14" s="119"/>
      <c r="AN14" s="120"/>
      <c r="AO14" s="127"/>
      <c r="AP14" s="127"/>
      <c r="AQ14"/>
      <c r="AR14" s="119"/>
      <c r="AS14" s="144"/>
      <c r="AT14" s="142"/>
      <c r="AU14" s="119"/>
      <c r="AV14" s="120"/>
      <c r="AW14" s="127"/>
      <c r="AX14" s="127"/>
      <c r="AY14"/>
      <c r="AZ14" s="119"/>
      <c r="BA14" s="144"/>
      <c r="BB14" s="142"/>
      <c r="BC14" s="119"/>
      <c r="BD14" s="120"/>
      <c r="BE14" s="127"/>
      <c r="BF14" s="127"/>
      <c r="BG14"/>
      <c r="BH14" s="119"/>
      <c r="BI14" s="144"/>
      <c r="BJ14" s="142"/>
      <c r="BK14" s="119"/>
      <c r="BL14" s="120"/>
      <c r="BM14" s="127"/>
      <c r="BN14" s="127"/>
      <c r="BO14"/>
      <c r="BP14" s="119"/>
      <c r="BQ14" s="144"/>
      <c r="BR14" s="142"/>
      <c r="BS14" s="119"/>
      <c r="BT14" s="120"/>
      <c r="BU14" s="127"/>
      <c r="BV14" s="127"/>
      <c r="BW14"/>
      <c r="BX14" s="119"/>
      <c r="BY14" s="144"/>
      <c r="BZ14" s="142"/>
      <c r="CA14" s="119"/>
      <c r="CB14" s="120"/>
      <c r="CC14" s="127"/>
      <c r="CD14" s="127"/>
      <c r="CE14"/>
      <c r="CF14" s="119"/>
      <c r="CG14" s="144"/>
      <c r="CH14" s="142"/>
      <c r="CI14" s="119"/>
      <c r="CJ14" s="120"/>
      <c r="CK14" s="127"/>
      <c r="CL14" s="127"/>
      <c r="CN14" s="119"/>
      <c r="CO14" s="144"/>
      <c r="CP14" s="142"/>
      <c r="CQ14" s="119"/>
      <c r="CR14" s="120"/>
      <c r="CS14" s="127"/>
      <c r="CT14" s="127"/>
      <c r="CV14" s="119"/>
      <c r="CW14" s="144"/>
      <c r="CX14" s="142"/>
      <c r="CY14" s="119"/>
      <c r="CZ14" s="120"/>
      <c r="DA14" s="127"/>
      <c r="DB14" s="127"/>
      <c r="DD14" s="119"/>
      <c r="DE14" s="144"/>
      <c r="DF14" s="142"/>
      <c r="DG14" s="119"/>
      <c r="DH14" s="120"/>
      <c r="DI14" s="127"/>
      <c r="DJ14" s="127"/>
    </row>
    <row r="15" spans="1:114" x14ac:dyDescent="0.25">
      <c r="A15" s="122" t="str">
        <f>IF(Listes!A13="","",Listes!A13)</f>
        <v/>
      </c>
      <c r="B1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5" s="119" t="s">
        <v>215</v>
      </c>
      <c r="E15" s="144" t="s">
        <v>31</v>
      </c>
      <c r="F15" s="142"/>
      <c r="G15" s="119" t="s">
        <v>237</v>
      </c>
      <c r="H15" s="120" t="s">
        <v>95</v>
      </c>
      <c r="I15" s="127"/>
      <c r="J15" s="127">
        <v>19275</v>
      </c>
      <c r="L15" s="119"/>
      <c r="M15" s="144"/>
      <c r="N15" s="142"/>
      <c r="O15" s="119"/>
      <c r="P15" s="120"/>
      <c r="Q15" s="127"/>
      <c r="R15" s="127"/>
      <c r="S15"/>
      <c r="T15" s="119"/>
      <c r="U15" s="144"/>
      <c r="V15" s="142"/>
      <c r="W15" s="119"/>
      <c r="X15" s="120"/>
      <c r="Y15" s="127"/>
      <c r="Z15" s="127"/>
      <c r="AA15"/>
      <c r="AB15" s="119"/>
      <c r="AC15" s="144"/>
      <c r="AD15" s="142"/>
      <c r="AE15" s="119"/>
      <c r="AF15" s="120"/>
      <c r="AG15" s="127"/>
      <c r="AH15" s="127"/>
      <c r="AI15"/>
      <c r="AJ15" s="119"/>
      <c r="AK15" s="144"/>
      <c r="AL15" s="142"/>
      <c r="AM15" s="119"/>
      <c r="AN15" s="120"/>
      <c r="AO15" s="127"/>
      <c r="AP15" s="127"/>
      <c r="AQ15"/>
      <c r="AR15" s="119"/>
      <c r="AS15" s="144"/>
      <c r="AT15" s="142"/>
      <c r="AU15" s="119"/>
      <c r="AV15" s="120"/>
      <c r="AW15" s="127"/>
      <c r="AX15" s="127"/>
      <c r="AY15"/>
      <c r="AZ15" s="119"/>
      <c r="BA15" s="144"/>
      <c r="BB15" s="142"/>
      <c r="BC15" s="119"/>
      <c r="BD15" s="120"/>
      <c r="BE15" s="127"/>
      <c r="BF15" s="127"/>
      <c r="BG15"/>
      <c r="BH15" s="119"/>
      <c r="BI15" s="144"/>
      <c r="BJ15" s="142"/>
      <c r="BK15" s="119"/>
      <c r="BL15" s="120"/>
      <c r="BM15" s="127"/>
      <c r="BN15" s="127"/>
      <c r="BO15"/>
      <c r="BP15" s="119"/>
      <c r="BQ15" s="144"/>
      <c r="BR15" s="142"/>
      <c r="BS15" s="119"/>
      <c r="BT15" s="120"/>
      <c r="BU15" s="127"/>
      <c r="BV15" s="127"/>
      <c r="BW15"/>
      <c r="BX15" s="119"/>
      <c r="BY15" s="144"/>
      <c r="BZ15" s="142"/>
      <c r="CA15" s="119"/>
      <c r="CB15" s="120"/>
      <c r="CC15" s="127"/>
      <c r="CD15" s="127"/>
      <c r="CE15"/>
      <c r="CF15" s="119"/>
      <c r="CG15" s="144"/>
      <c r="CH15" s="142"/>
      <c r="CI15" s="119"/>
      <c r="CJ15" s="120"/>
      <c r="CK15" s="127"/>
      <c r="CL15" s="127"/>
      <c r="CN15" s="119"/>
      <c r="CO15" s="144"/>
      <c r="CP15" s="142"/>
      <c r="CQ15" s="119"/>
      <c r="CR15" s="120"/>
      <c r="CS15" s="127"/>
      <c r="CT15" s="127"/>
      <c r="CV15" s="119"/>
      <c r="CW15" s="144"/>
      <c r="CX15" s="142"/>
      <c r="CY15" s="119"/>
      <c r="CZ15" s="120"/>
      <c r="DA15" s="127"/>
      <c r="DB15" s="127"/>
      <c r="DD15" s="119"/>
      <c r="DE15" s="144"/>
      <c r="DF15" s="142"/>
      <c r="DG15" s="119"/>
      <c r="DH15" s="120"/>
      <c r="DI15" s="127"/>
      <c r="DJ15" s="127"/>
    </row>
    <row r="16" spans="1:114" x14ac:dyDescent="0.25">
      <c r="A16" s="122" t="str">
        <f>IF(Listes!A14="","",Listes!A14)</f>
        <v/>
      </c>
      <c r="B1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6" s="119" t="s">
        <v>2008</v>
      </c>
      <c r="E16" s="144" t="s">
        <v>31</v>
      </c>
      <c r="F16" s="142"/>
      <c r="G16" s="119" t="s">
        <v>238</v>
      </c>
      <c r="H16" s="120" t="s">
        <v>95</v>
      </c>
      <c r="I16" s="127"/>
      <c r="J16" s="127">
        <v>4650</v>
      </c>
      <c r="L16" s="119"/>
      <c r="M16" s="144"/>
      <c r="N16" s="142"/>
      <c r="O16" s="119"/>
      <c r="P16" s="120"/>
      <c r="Q16" s="127"/>
      <c r="R16" s="127"/>
      <c r="S16"/>
      <c r="T16" s="119"/>
      <c r="U16" s="144"/>
      <c r="V16" s="142"/>
      <c r="W16" s="119"/>
      <c r="X16" s="120"/>
      <c r="Y16" s="127"/>
      <c r="Z16" s="127"/>
      <c r="AA16"/>
      <c r="AB16" s="119"/>
      <c r="AC16" s="144"/>
      <c r="AD16" s="142"/>
      <c r="AE16" s="119"/>
      <c r="AF16" s="120"/>
      <c r="AG16" s="127"/>
      <c r="AH16" s="127"/>
      <c r="AI16"/>
      <c r="AJ16" s="119"/>
      <c r="AK16" s="144"/>
      <c r="AL16" s="142"/>
      <c r="AM16" s="119"/>
      <c r="AN16" s="120"/>
      <c r="AO16" s="127"/>
      <c r="AP16" s="127"/>
      <c r="AQ16"/>
      <c r="AR16" s="119"/>
      <c r="AS16" s="144"/>
      <c r="AT16" s="142"/>
      <c r="AU16" s="119"/>
      <c r="AV16" s="120"/>
      <c r="AW16" s="127"/>
      <c r="AX16" s="127"/>
      <c r="AY16"/>
      <c r="AZ16" s="119"/>
      <c r="BA16" s="144"/>
      <c r="BB16" s="142"/>
      <c r="BC16" s="119"/>
      <c r="BD16" s="120"/>
      <c r="BE16" s="127"/>
      <c r="BF16" s="127"/>
      <c r="BG16"/>
      <c r="BH16" s="119"/>
      <c r="BI16" s="144"/>
      <c r="BJ16" s="142"/>
      <c r="BK16" s="119"/>
      <c r="BL16" s="120"/>
      <c r="BM16" s="127"/>
      <c r="BN16" s="127"/>
      <c r="BO16"/>
      <c r="BP16" s="119"/>
      <c r="BQ16" s="144"/>
      <c r="BR16" s="142"/>
      <c r="BS16" s="119"/>
      <c r="BT16" s="120"/>
      <c r="BU16" s="127"/>
      <c r="BV16" s="127"/>
      <c r="BW16"/>
      <c r="BX16" s="119"/>
      <c r="BY16" s="144"/>
      <c r="BZ16" s="142"/>
      <c r="CA16" s="119"/>
      <c r="CB16" s="120"/>
      <c r="CC16" s="127"/>
      <c r="CD16" s="127"/>
      <c r="CE16"/>
      <c r="CF16" s="119"/>
      <c r="CG16" s="144"/>
      <c r="CH16" s="142"/>
      <c r="CI16" s="119"/>
      <c r="CJ16" s="120"/>
      <c r="CK16" s="127"/>
      <c r="CL16" s="127"/>
      <c r="CN16" s="119"/>
      <c r="CO16" s="144"/>
      <c r="CP16" s="142"/>
      <c r="CQ16" s="119"/>
      <c r="CR16" s="120"/>
      <c r="CS16" s="127"/>
      <c r="CT16" s="127"/>
      <c r="CV16" s="119"/>
      <c r="CW16" s="144"/>
      <c r="CX16" s="142"/>
      <c r="CY16" s="119"/>
      <c r="CZ16" s="120"/>
      <c r="DA16" s="127"/>
      <c r="DB16" s="127"/>
      <c r="DD16" s="119"/>
      <c r="DE16" s="144"/>
      <c r="DF16" s="142"/>
      <c r="DG16" s="119"/>
      <c r="DH16" s="120"/>
      <c r="DI16" s="127"/>
      <c r="DJ16" s="127"/>
    </row>
    <row r="17" spans="1:114" x14ac:dyDescent="0.25">
      <c r="A17" s="122" t="str">
        <f>IF(Listes!A15="","",Listes!A15)</f>
        <v/>
      </c>
      <c r="B1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7" s="119" t="s">
        <v>215</v>
      </c>
      <c r="E17" s="144" t="s">
        <v>31</v>
      </c>
      <c r="F17" s="142"/>
      <c r="G17" s="119" t="s">
        <v>218</v>
      </c>
      <c r="H17" s="120" t="s">
        <v>95</v>
      </c>
      <c r="I17" s="127"/>
      <c r="J17" s="127">
        <v>51500</v>
      </c>
      <c r="L17" s="119"/>
      <c r="M17" s="144"/>
      <c r="N17" s="142"/>
      <c r="O17" s="119"/>
      <c r="P17" s="120"/>
      <c r="Q17" s="127"/>
      <c r="R17" s="127"/>
      <c r="S17"/>
      <c r="T17" s="119"/>
      <c r="U17" s="144"/>
      <c r="V17" s="142"/>
      <c r="W17" s="119"/>
      <c r="X17" s="120"/>
      <c r="Y17" s="127"/>
      <c r="Z17" s="127"/>
      <c r="AA17"/>
      <c r="AB17" s="119"/>
      <c r="AC17" s="144"/>
      <c r="AD17" s="142"/>
      <c r="AE17" s="119"/>
      <c r="AF17" s="120"/>
      <c r="AG17" s="127"/>
      <c r="AH17" s="127"/>
      <c r="AI17"/>
      <c r="AJ17" s="119"/>
      <c r="AK17" s="144"/>
      <c r="AL17" s="142"/>
      <c r="AM17" s="119"/>
      <c r="AN17" s="120"/>
      <c r="AO17" s="127"/>
      <c r="AP17" s="127"/>
      <c r="AQ17"/>
      <c r="AR17" s="119"/>
      <c r="AS17" s="144"/>
      <c r="AT17" s="142"/>
      <c r="AU17" s="119"/>
      <c r="AV17" s="120"/>
      <c r="AW17" s="127"/>
      <c r="AX17" s="127"/>
      <c r="AY17"/>
      <c r="AZ17" s="119"/>
      <c r="BA17" s="144"/>
      <c r="BB17" s="142"/>
      <c r="BC17" s="119"/>
      <c r="BD17" s="120"/>
      <c r="BE17" s="127"/>
      <c r="BF17" s="127"/>
      <c r="BG17"/>
      <c r="BH17" s="119"/>
      <c r="BI17" s="144"/>
      <c r="BJ17" s="142"/>
      <c r="BK17" s="119"/>
      <c r="BL17" s="120"/>
      <c r="BM17" s="127"/>
      <c r="BN17" s="127"/>
      <c r="BO17"/>
      <c r="BP17" s="119"/>
      <c r="BQ17" s="144"/>
      <c r="BR17" s="142"/>
      <c r="BS17" s="119"/>
      <c r="BT17" s="120"/>
      <c r="BU17" s="127"/>
      <c r="BV17" s="127"/>
      <c r="BW17"/>
      <c r="BX17" s="119"/>
      <c r="BY17" s="144"/>
      <c r="BZ17" s="142"/>
      <c r="CA17" s="119"/>
      <c r="CB17" s="120"/>
      <c r="CC17" s="127"/>
      <c r="CD17" s="127"/>
      <c r="CE17"/>
      <c r="CF17" s="119"/>
      <c r="CG17" s="144"/>
      <c r="CH17" s="142"/>
      <c r="CI17" s="119"/>
      <c r="CJ17" s="120"/>
      <c r="CK17" s="127"/>
      <c r="CL17" s="127"/>
      <c r="CN17" s="119"/>
      <c r="CO17" s="144"/>
      <c r="CP17" s="142"/>
      <c r="CQ17" s="119"/>
      <c r="CR17" s="120"/>
      <c r="CS17" s="127"/>
      <c r="CT17" s="127"/>
      <c r="CV17" s="119"/>
      <c r="CW17" s="144"/>
      <c r="CX17" s="142"/>
      <c r="CY17" s="119"/>
      <c r="CZ17" s="120"/>
      <c r="DA17" s="127"/>
      <c r="DB17" s="127"/>
      <c r="DD17" s="119"/>
      <c r="DE17" s="144"/>
      <c r="DF17" s="142"/>
      <c r="DG17" s="119"/>
      <c r="DH17" s="120"/>
      <c r="DI17" s="127"/>
      <c r="DJ17" s="127"/>
    </row>
    <row r="18" spans="1:114" x14ac:dyDescent="0.25">
      <c r="A18" s="122" t="str">
        <f>IF(Listes!A16="","",Listes!A16)</f>
        <v/>
      </c>
      <c r="B1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8" s="119" t="s">
        <v>2008</v>
      </c>
      <c r="E18" s="144" t="s">
        <v>31</v>
      </c>
      <c r="F18" s="142"/>
      <c r="G18" s="119" t="s">
        <v>225</v>
      </c>
      <c r="H18" s="120" t="s">
        <v>95</v>
      </c>
      <c r="I18" s="127"/>
      <c r="J18" s="127">
        <v>8850</v>
      </c>
      <c r="L18" s="119"/>
      <c r="M18" s="144"/>
      <c r="N18" s="142"/>
      <c r="O18" s="119"/>
      <c r="P18" s="120"/>
      <c r="Q18" s="127"/>
      <c r="R18" s="127"/>
      <c r="S18"/>
      <c r="T18" s="119"/>
      <c r="U18" s="144"/>
      <c r="V18" s="142"/>
      <c r="W18" s="119"/>
      <c r="X18" s="120"/>
      <c r="Y18" s="127"/>
      <c r="Z18" s="127"/>
      <c r="AA18"/>
      <c r="AB18" s="119"/>
      <c r="AC18" s="144"/>
      <c r="AD18" s="142"/>
      <c r="AE18" s="119"/>
      <c r="AF18" s="120"/>
      <c r="AG18" s="127"/>
      <c r="AH18" s="127"/>
      <c r="AI18"/>
      <c r="AJ18" s="119"/>
      <c r="AK18" s="144"/>
      <c r="AL18" s="142"/>
      <c r="AM18" s="119"/>
      <c r="AN18" s="120"/>
      <c r="AO18" s="127"/>
      <c r="AP18" s="127"/>
      <c r="AQ18"/>
      <c r="AR18" s="119"/>
      <c r="AS18" s="144"/>
      <c r="AT18" s="142"/>
      <c r="AU18" s="119"/>
      <c r="AV18" s="120"/>
      <c r="AW18" s="127"/>
      <c r="AX18" s="127"/>
      <c r="AY18"/>
      <c r="AZ18" s="119"/>
      <c r="BA18" s="144"/>
      <c r="BB18" s="142"/>
      <c r="BC18" s="119"/>
      <c r="BD18" s="120"/>
      <c r="BE18" s="127"/>
      <c r="BF18" s="127"/>
      <c r="BG18"/>
      <c r="BH18" s="119"/>
      <c r="BI18" s="144"/>
      <c r="BJ18" s="142"/>
      <c r="BK18" s="119"/>
      <c r="BL18" s="120"/>
      <c r="BM18" s="127"/>
      <c r="BN18" s="127"/>
      <c r="BO18"/>
      <c r="BP18" s="119"/>
      <c r="BQ18" s="144"/>
      <c r="BR18" s="142"/>
      <c r="BS18" s="119"/>
      <c r="BT18" s="120"/>
      <c r="BU18" s="127"/>
      <c r="BV18" s="127"/>
      <c r="BW18"/>
      <c r="BX18" s="119"/>
      <c r="BY18" s="144"/>
      <c r="BZ18" s="142"/>
      <c r="CA18" s="119"/>
      <c r="CB18" s="120"/>
      <c r="CC18" s="127"/>
      <c r="CD18" s="127"/>
      <c r="CE18"/>
      <c r="CF18" s="119"/>
      <c r="CG18" s="144"/>
      <c r="CH18" s="142"/>
      <c r="CI18" s="119"/>
      <c r="CJ18" s="120"/>
      <c r="CK18" s="127"/>
      <c r="CL18" s="127"/>
      <c r="CN18" s="119"/>
      <c r="CO18" s="144"/>
      <c r="CP18" s="142"/>
      <c r="CQ18" s="119"/>
      <c r="CR18" s="120"/>
      <c r="CS18" s="127"/>
      <c r="CT18" s="127"/>
      <c r="CV18" s="119"/>
      <c r="CW18" s="144"/>
      <c r="CX18" s="142"/>
      <c r="CY18" s="119"/>
      <c r="CZ18" s="120"/>
      <c r="DA18" s="127"/>
      <c r="DB18" s="127"/>
      <c r="DD18" s="119"/>
      <c r="DE18" s="144"/>
      <c r="DF18" s="142"/>
      <c r="DG18" s="119"/>
      <c r="DH18" s="120"/>
      <c r="DI18" s="127"/>
      <c r="DJ18" s="127"/>
    </row>
    <row r="19" spans="1:114" x14ac:dyDescent="0.25">
      <c r="A19" s="122" t="str">
        <f>IF(Listes!A17="","",Listes!A17)</f>
        <v/>
      </c>
      <c r="B1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19" s="119" t="s">
        <v>213</v>
      </c>
      <c r="E19" s="144" t="s">
        <v>31</v>
      </c>
      <c r="F19" s="142"/>
      <c r="G19" s="119" t="s">
        <v>219</v>
      </c>
      <c r="H19" s="120" t="s">
        <v>95</v>
      </c>
      <c r="I19" s="127"/>
      <c r="J19" s="127">
        <v>2375</v>
      </c>
      <c r="L19" s="119"/>
      <c r="M19" s="144"/>
      <c r="N19" s="142"/>
      <c r="O19" s="119"/>
      <c r="P19" s="120"/>
      <c r="Q19" s="127"/>
      <c r="R19" s="127"/>
      <c r="S19"/>
      <c r="T19" s="119"/>
      <c r="U19" s="144"/>
      <c r="V19" s="142"/>
      <c r="W19" s="119"/>
      <c r="X19" s="120"/>
      <c r="Y19" s="127"/>
      <c r="Z19" s="127"/>
      <c r="AA19"/>
      <c r="AB19" s="119"/>
      <c r="AC19" s="144"/>
      <c r="AD19" s="142"/>
      <c r="AE19" s="119"/>
      <c r="AF19" s="120"/>
      <c r="AG19" s="127"/>
      <c r="AH19" s="127"/>
      <c r="AI19"/>
      <c r="AJ19" s="119"/>
      <c r="AK19" s="144"/>
      <c r="AL19" s="142"/>
      <c r="AM19" s="119"/>
      <c r="AN19" s="120"/>
      <c r="AO19" s="127"/>
      <c r="AP19" s="127"/>
      <c r="AQ19"/>
      <c r="AR19" s="119"/>
      <c r="AS19" s="144"/>
      <c r="AT19" s="142"/>
      <c r="AU19" s="119"/>
      <c r="AV19" s="120"/>
      <c r="AW19" s="127"/>
      <c r="AX19" s="127"/>
      <c r="AY19"/>
      <c r="AZ19" s="119"/>
      <c r="BA19" s="144"/>
      <c r="BB19" s="142"/>
      <c r="BC19" s="119"/>
      <c r="BD19" s="120"/>
      <c r="BE19" s="127"/>
      <c r="BF19" s="127"/>
      <c r="BG19"/>
      <c r="BH19" s="119"/>
      <c r="BI19" s="144"/>
      <c r="BJ19" s="142"/>
      <c r="BK19" s="119"/>
      <c r="BL19" s="120"/>
      <c r="BM19" s="127"/>
      <c r="BN19" s="127"/>
      <c r="BO19"/>
      <c r="BP19" s="119"/>
      <c r="BQ19" s="144"/>
      <c r="BR19" s="142"/>
      <c r="BS19" s="119"/>
      <c r="BT19" s="120"/>
      <c r="BU19" s="127"/>
      <c r="BV19" s="127"/>
      <c r="BW19"/>
      <c r="BX19" s="119"/>
      <c r="BY19" s="144"/>
      <c r="BZ19" s="142"/>
      <c r="CA19" s="119"/>
      <c r="CB19" s="120"/>
      <c r="CC19" s="127"/>
      <c r="CD19" s="127"/>
      <c r="CE19"/>
      <c r="CF19" s="119"/>
      <c r="CG19" s="144"/>
      <c r="CH19" s="142"/>
      <c r="CI19" s="119"/>
      <c r="CJ19" s="120"/>
      <c r="CK19" s="127"/>
      <c r="CL19" s="127"/>
      <c r="CN19" s="119"/>
      <c r="CO19" s="144"/>
      <c r="CP19" s="142"/>
      <c r="CQ19" s="119"/>
      <c r="CR19" s="120"/>
      <c r="CS19" s="127"/>
      <c r="CT19" s="127"/>
      <c r="CV19" s="119"/>
      <c r="CW19" s="144"/>
      <c r="CX19" s="142"/>
      <c r="CY19" s="119"/>
      <c r="CZ19" s="120"/>
      <c r="DA19" s="127"/>
      <c r="DB19" s="127"/>
      <c r="DD19" s="119"/>
      <c r="DE19" s="144"/>
      <c r="DF19" s="142"/>
      <c r="DG19" s="119"/>
      <c r="DH19" s="120"/>
      <c r="DI19" s="127"/>
      <c r="DJ19" s="127"/>
    </row>
    <row r="20" spans="1:114" x14ac:dyDescent="0.25">
      <c r="A20" s="122" t="str">
        <f>IF(Listes!A18="","",Listes!A18)</f>
        <v/>
      </c>
      <c r="B2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0" s="119" t="s">
        <v>213</v>
      </c>
      <c r="E20" s="144" t="s">
        <v>31</v>
      </c>
      <c r="F20" s="142"/>
      <c r="G20" s="119" t="s">
        <v>240</v>
      </c>
      <c r="H20" s="120" t="s">
        <v>95</v>
      </c>
      <c r="I20" s="127"/>
      <c r="J20" s="127">
        <v>7500</v>
      </c>
      <c r="L20" s="119"/>
      <c r="M20" s="144"/>
      <c r="N20" s="142"/>
      <c r="O20" s="119"/>
      <c r="P20" s="120"/>
      <c r="Q20" s="127"/>
      <c r="R20" s="127"/>
      <c r="S20"/>
      <c r="T20" s="119"/>
      <c r="U20" s="144"/>
      <c r="V20" s="142"/>
      <c r="W20" s="119"/>
      <c r="X20" s="120"/>
      <c r="Y20" s="127"/>
      <c r="Z20" s="127"/>
      <c r="AA20"/>
      <c r="AB20" s="119"/>
      <c r="AC20" s="144"/>
      <c r="AD20" s="142"/>
      <c r="AE20" s="119"/>
      <c r="AF20" s="120"/>
      <c r="AG20" s="127"/>
      <c r="AH20" s="127"/>
      <c r="AI20"/>
      <c r="AJ20" s="119"/>
      <c r="AK20" s="144"/>
      <c r="AL20" s="142"/>
      <c r="AM20" s="119"/>
      <c r="AN20" s="120"/>
      <c r="AO20" s="127"/>
      <c r="AP20" s="127"/>
      <c r="AQ20"/>
      <c r="AR20" s="119"/>
      <c r="AS20" s="144"/>
      <c r="AT20" s="142"/>
      <c r="AU20" s="119"/>
      <c r="AV20" s="120"/>
      <c r="AW20" s="127"/>
      <c r="AX20" s="127"/>
      <c r="AY20"/>
      <c r="AZ20" s="119"/>
      <c r="BA20" s="144"/>
      <c r="BB20" s="142"/>
      <c r="BC20" s="119"/>
      <c r="BD20" s="120"/>
      <c r="BE20" s="127"/>
      <c r="BF20" s="127"/>
      <c r="BG20"/>
      <c r="BH20" s="119"/>
      <c r="BI20" s="144"/>
      <c r="BJ20" s="142"/>
      <c r="BK20" s="119"/>
      <c r="BL20" s="120"/>
      <c r="BM20" s="127"/>
      <c r="BN20" s="127"/>
      <c r="BO20"/>
      <c r="BP20" s="119"/>
      <c r="BQ20" s="144"/>
      <c r="BR20" s="142"/>
      <c r="BS20" s="119"/>
      <c r="BT20" s="120"/>
      <c r="BU20" s="127"/>
      <c r="BV20" s="127"/>
      <c r="BW20"/>
      <c r="BX20" s="119"/>
      <c r="BY20" s="144"/>
      <c r="BZ20" s="142"/>
      <c r="CA20" s="119"/>
      <c r="CB20" s="120"/>
      <c r="CC20" s="127"/>
      <c r="CD20" s="127"/>
      <c r="CE20"/>
      <c r="CF20" s="119"/>
      <c r="CG20" s="144"/>
      <c r="CH20" s="142"/>
      <c r="CI20" s="119"/>
      <c r="CJ20" s="120"/>
      <c r="CK20" s="127"/>
      <c r="CL20" s="127"/>
      <c r="CN20" s="119"/>
      <c r="CO20" s="144"/>
      <c r="CP20" s="142"/>
      <c r="CQ20" s="119"/>
      <c r="CR20" s="120"/>
      <c r="CS20" s="127"/>
      <c r="CT20" s="127"/>
      <c r="CV20" s="119"/>
      <c r="CW20" s="144"/>
      <c r="CX20" s="142"/>
      <c r="CY20" s="119"/>
      <c r="CZ20" s="120"/>
      <c r="DA20" s="127"/>
      <c r="DB20" s="127"/>
      <c r="DD20" s="119"/>
      <c r="DE20" s="144"/>
      <c r="DF20" s="142"/>
      <c r="DG20" s="119"/>
      <c r="DH20" s="120"/>
      <c r="DI20" s="127"/>
      <c r="DJ20" s="127"/>
    </row>
    <row r="21" spans="1:114" x14ac:dyDescent="0.25">
      <c r="A21" s="122" t="str">
        <f>IF(Listes!A19="","",Listes!A19)</f>
        <v/>
      </c>
      <c r="B21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1" s="119" t="s">
        <v>2008</v>
      </c>
      <c r="E21" s="144" t="s">
        <v>31</v>
      </c>
      <c r="F21" s="142"/>
      <c r="G21" s="119" t="s">
        <v>239</v>
      </c>
      <c r="H21" s="120" t="s">
        <v>95</v>
      </c>
      <c r="I21" s="127"/>
      <c r="J21" s="127">
        <v>50000</v>
      </c>
      <c r="L21" s="119"/>
      <c r="M21" s="144"/>
      <c r="N21" s="142"/>
      <c r="O21" s="119"/>
      <c r="P21" s="120"/>
      <c r="Q21" s="127"/>
      <c r="R21" s="127"/>
      <c r="S21"/>
      <c r="T21" s="119"/>
      <c r="U21" s="144"/>
      <c r="V21" s="142"/>
      <c r="W21" s="119"/>
      <c r="X21" s="120"/>
      <c r="Y21" s="127"/>
      <c r="Z21" s="127"/>
      <c r="AA21"/>
      <c r="AB21" s="119"/>
      <c r="AC21" s="144"/>
      <c r="AD21" s="142"/>
      <c r="AE21" s="119"/>
      <c r="AF21" s="120"/>
      <c r="AG21" s="127"/>
      <c r="AH21" s="127"/>
      <c r="AI21"/>
      <c r="AJ21" s="119"/>
      <c r="AK21" s="144"/>
      <c r="AL21" s="142"/>
      <c r="AM21" s="119"/>
      <c r="AN21" s="120"/>
      <c r="AO21" s="127"/>
      <c r="AP21" s="127"/>
      <c r="AQ21"/>
      <c r="AR21" s="119"/>
      <c r="AS21" s="144"/>
      <c r="AT21" s="142"/>
      <c r="AU21" s="119"/>
      <c r="AV21" s="120"/>
      <c r="AW21" s="127"/>
      <c r="AX21" s="127"/>
      <c r="AY21"/>
      <c r="AZ21" s="119"/>
      <c r="BA21" s="144"/>
      <c r="BB21" s="142"/>
      <c r="BC21" s="119"/>
      <c r="BD21" s="120"/>
      <c r="BE21" s="127"/>
      <c r="BF21" s="127"/>
      <c r="BG21"/>
      <c r="BH21" s="119"/>
      <c r="BI21" s="144"/>
      <c r="BJ21" s="142"/>
      <c r="BK21" s="119"/>
      <c r="BL21" s="120"/>
      <c r="BM21" s="127"/>
      <c r="BN21" s="127"/>
      <c r="BO21"/>
      <c r="BP21" s="119"/>
      <c r="BQ21" s="144"/>
      <c r="BR21" s="142"/>
      <c r="BS21" s="119"/>
      <c r="BT21" s="120"/>
      <c r="BU21" s="127"/>
      <c r="BV21" s="127"/>
      <c r="BW21"/>
      <c r="BX21" s="119"/>
      <c r="BY21" s="144"/>
      <c r="BZ21" s="142"/>
      <c r="CA21" s="119"/>
      <c r="CB21" s="120"/>
      <c r="CC21" s="127"/>
      <c r="CD21" s="127"/>
      <c r="CE21"/>
      <c r="CF21" s="119"/>
      <c r="CG21" s="144"/>
      <c r="CH21" s="142"/>
      <c r="CI21" s="119"/>
      <c r="CJ21" s="120"/>
      <c r="CK21" s="127"/>
      <c r="CL21" s="127"/>
      <c r="CN21" s="119"/>
      <c r="CO21" s="144"/>
      <c r="CP21" s="142"/>
      <c r="CQ21" s="119"/>
      <c r="CR21" s="120"/>
      <c r="CS21" s="127"/>
      <c r="CT21" s="127"/>
      <c r="CV21" s="119"/>
      <c r="CW21" s="144"/>
      <c r="CX21" s="142"/>
      <c r="CY21" s="119"/>
      <c r="CZ21" s="120"/>
      <c r="DA21" s="127"/>
      <c r="DB21" s="127"/>
      <c r="DD21" s="119"/>
      <c r="DE21" s="144"/>
      <c r="DF21" s="142"/>
      <c r="DG21" s="119"/>
      <c r="DH21" s="120"/>
      <c r="DI21" s="127"/>
      <c r="DJ21" s="127"/>
    </row>
    <row r="22" spans="1:114" x14ac:dyDescent="0.25">
      <c r="A22" s="122" t="str">
        <f>IF(Listes!A20="","",Listes!A20)</f>
        <v/>
      </c>
      <c r="B22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2" s="119" t="s">
        <v>213</v>
      </c>
      <c r="E22" s="144" t="s">
        <v>31</v>
      </c>
      <c r="F22" s="142"/>
      <c r="G22" s="119" t="s">
        <v>241</v>
      </c>
      <c r="H22" s="120" t="s">
        <v>95</v>
      </c>
      <c r="I22" s="127"/>
      <c r="J22" s="127">
        <v>22750</v>
      </c>
      <c r="L22" s="119"/>
      <c r="M22" s="144"/>
      <c r="N22" s="142"/>
      <c r="O22" s="119"/>
      <c r="P22" s="120"/>
      <c r="Q22" s="127"/>
      <c r="R22" s="127"/>
      <c r="S22"/>
      <c r="T22" s="119"/>
      <c r="U22" s="144"/>
      <c r="V22" s="142"/>
      <c r="W22" s="119"/>
      <c r="X22" s="120"/>
      <c r="Y22" s="127"/>
      <c r="Z22" s="127"/>
      <c r="AA22"/>
      <c r="AB22" s="119"/>
      <c r="AC22" s="144"/>
      <c r="AD22" s="142"/>
      <c r="AE22" s="119"/>
      <c r="AF22" s="120"/>
      <c r="AG22" s="127"/>
      <c r="AH22" s="127"/>
      <c r="AI22"/>
      <c r="AJ22" s="119"/>
      <c r="AK22" s="144"/>
      <c r="AL22" s="142"/>
      <c r="AM22" s="119"/>
      <c r="AN22" s="120"/>
      <c r="AO22" s="127"/>
      <c r="AP22" s="127"/>
      <c r="AQ22"/>
      <c r="AR22" s="119"/>
      <c r="AS22" s="144"/>
      <c r="AT22" s="142"/>
      <c r="AU22" s="119"/>
      <c r="AV22" s="120"/>
      <c r="AW22" s="127"/>
      <c r="AX22" s="127"/>
      <c r="AY22"/>
      <c r="AZ22" s="119"/>
      <c r="BA22" s="144"/>
      <c r="BB22" s="142"/>
      <c r="BC22" s="119"/>
      <c r="BD22" s="120"/>
      <c r="BE22" s="127"/>
      <c r="BF22" s="127"/>
      <c r="BG22"/>
      <c r="BH22" s="119"/>
      <c r="BI22" s="144"/>
      <c r="BJ22" s="142"/>
      <c r="BK22" s="119"/>
      <c r="BL22" s="120"/>
      <c r="BM22" s="127"/>
      <c r="BN22" s="127"/>
      <c r="BO22"/>
      <c r="BP22" s="119"/>
      <c r="BQ22" s="144"/>
      <c r="BR22" s="142"/>
      <c r="BS22" s="119"/>
      <c r="BT22" s="120"/>
      <c r="BU22" s="127"/>
      <c r="BV22" s="127"/>
      <c r="BW22"/>
      <c r="BX22" s="119"/>
      <c r="BY22" s="144"/>
      <c r="BZ22" s="142"/>
      <c r="CA22" s="119"/>
      <c r="CB22" s="120"/>
      <c r="CC22" s="127"/>
      <c r="CD22" s="127"/>
      <c r="CE22"/>
      <c r="CF22" s="119"/>
      <c r="CG22" s="144"/>
      <c r="CH22" s="142"/>
      <c r="CI22" s="119"/>
      <c r="CJ22" s="120"/>
      <c r="CK22" s="127"/>
      <c r="CL22" s="127"/>
      <c r="CN22" s="119"/>
      <c r="CO22" s="144"/>
      <c r="CP22" s="142"/>
      <c r="CQ22" s="119"/>
      <c r="CR22" s="120"/>
      <c r="CS22" s="127"/>
      <c r="CT22" s="127"/>
      <c r="CV22" s="119"/>
      <c r="CW22" s="144"/>
      <c r="CX22" s="142"/>
      <c r="CY22" s="119"/>
      <c r="CZ22" s="120"/>
      <c r="DA22" s="127"/>
      <c r="DB22" s="127"/>
      <c r="DD22" s="119"/>
      <c r="DE22" s="144"/>
      <c r="DF22" s="142"/>
      <c r="DG22" s="119"/>
      <c r="DH22" s="120"/>
      <c r="DI22" s="127"/>
      <c r="DJ22" s="127"/>
    </row>
    <row r="23" spans="1:114" x14ac:dyDescent="0.25">
      <c r="A23" s="122" t="str">
        <f>IF(Listes!A21="","",Listes!A21)</f>
        <v/>
      </c>
      <c r="B2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3" s="119"/>
      <c r="E23" s="144"/>
      <c r="F23" s="142"/>
      <c r="G23" s="119"/>
      <c r="H23" s="120"/>
      <c r="I23" s="127"/>
      <c r="J23" s="127"/>
      <c r="L23" s="119"/>
      <c r="M23" s="144"/>
      <c r="N23" s="142"/>
      <c r="O23" s="119"/>
      <c r="P23" s="120"/>
      <c r="Q23" s="127"/>
      <c r="R23" s="127"/>
      <c r="S23"/>
      <c r="T23" s="119"/>
      <c r="U23" s="144"/>
      <c r="V23" s="142"/>
      <c r="W23" s="119"/>
      <c r="X23" s="120"/>
      <c r="Y23" s="127"/>
      <c r="Z23" s="127"/>
      <c r="AA23"/>
      <c r="AB23" s="119"/>
      <c r="AC23" s="144"/>
      <c r="AD23" s="142"/>
      <c r="AE23" s="119"/>
      <c r="AF23" s="120"/>
      <c r="AG23" s="127"/>
      <c r="AH23" s="127"/>
      <c r="AI23"/>
      <c r="AJ23" s="119"/>
      <c r="AK23" s="144"/>
      <c r="AL23" s="142"/>
      <c r="AM23" s="119"/>
      <c r="AN23" s="120"/>
      <c r="AO23" s="127"/>
      <c r="AP23" s="127"/>
      <c r="AQ23"/>
      <c r="AR23" s="119"/>
      <c r="AS23" s="144"/>
      <c r="AT23" s="142"/>
      <c r="AU23" s="119"/>
      <c r="AV23" s="120"/>
      <c r="AW23" s="127"/>
      <c r="AX23" s="127"/>
      <c r="AY23"/>
      <c r="AZ23" s="119"/>
      <c r="BA23" s="144"/>
      <c r="BB23" s="142"/>
      <c r="BC23" s="119"/>
      <c r="BD23" s="120"/>
      <c r="BE23" s="127"/>
      <c r="BF23" s="127"/>
      <c r="BG23"/>
      <c r="BH23" s="119"/>
      <c r="BI23" s="144"/>
      <c r="BJ23" s="142"/>
      <c r="BK23" s="119"/>
      <c r="BL23" s="120"/>
      <c r="BM23" s="127"/>
      <c r="BN23" s="127"/>
      <c r="BO23"/>
      <c r="BP23" s="119"/>
      <c r="BQ23" s="144"/>
      <c r="BR23" s="142"/>
      <c r="BS23" s="119"/>
      <c r="BT23" s="120"/>
      <c r="BU23" s="127"/>
      <c r="BV23" s="127"/>
      <c r="BW23"/>
      <c r="BX23" s="119"/>
      <c r="BY23" s="144"/>
      <c r="BZ23" s="142"/>
      <c r="CA23" s="119"/>
      <c r="CB23" s="120"/>
      <c r="CC23" s="127"/>
      <c r="CD23" s="127"/>
      <c r="CE23"/>
      <c r="CF23" s="119"/>
      <c r="CG23" s="144"/>
      <c r="CH23" s="142"/>
      <c r="CI23" s="119"/>
      <c r="CJ23" s="120"/>
      <c r="CK23" s="127"/>
      <c r="CL23" s="127"/>
      <c r="CN23" s="119"/>
      <c r="CO23" s="144"/>
      <c r="CP23" s="142"/>
      <c r="CQ23" s="119"/>
      <c r="CR23" s="120"/>
      <c r="CS23" s="127"/>
      <c r="CT23" s="127"/>
      <c r="CV23" s="119"/>
      <c r="CW23" s="144"/>
      <c r="CX23" s="142"/>
      <c r="CY23" s="119"/>
      <c r="CZ23" s="120"/>
      <c r="DA23" s="127"/>
      <c r="DB23" s="127"/>
      <c r="DD23" s="119"/>
      <c r="DE23" s="144"/>
      <c r="DF23" s="142"/>
      <c r="DG23" s="119"/>
      <c r="DH23" s="120"/>
      <c r="DI23" s="127"/>
      <c r="DJ23" s="127"/>
    </row>
    <row r="24" spans="1:114" x14ac:dyDescent="0.25">
      <c r="A24" s="122" t="str">
        <f>IF(Listes!A22="","",Listes!A22)</f>
        <v/>
      </c>
      <c r="B2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4" s="119"/>
      <c r="E24" s="144"/>
      <c r="F24" s="142"/>
      <c r="G24" s="119"/>
      <c r="H24" s="120"/>
      <c r="I24" s="127"/>
      <c r="J24" s="127"/>
      <c r="L24" s="119"/>
      <c r="M24" s="144"/>
      <c r="N24" s="142"/>
      <c r="O24" s="119"/>
      <c r="P24" s="120"/>
      <c r="Q24" s="127"/>
      <c r="R24" s="127"/>
      <c r="S24"/>
      <c r="T24" s="119"/>
      <c r="U24" s="144"/>
      <c r="V24" s="142"/>
      <c r="W24" s="119"/>
      <c r="X24" s="120"/>
      <c r="Y24" s="127"/>
      <c r="Z24" s="127"/>
      <c r="AA24"/>
      <c r="AB24" s="119"/>
      <c r="AC24" s="144"/>
      <c r="AD24" s="142"/>
      <c r="AE24" s="119"/>
      <c r="AF24" s="120"/>
      <c r="AG24" s="127"/>
      <c r="AH24" s="127"/>
      <c r="AI24"/>
      <c r="AJ24" s="119"/>
      <c r="AK24" s="144"/>
      <c r="AL24" s="142"/>
      <c r="AM24" s="119"/>
      <c r="AN24" s="120"/>
      <c r="AO24" s="127"/>
      <c r="AP24" s="127"/>
      <c r="AQ24"/>
      <c r="AR24" s="119"/>
      <c r="AS24" s="144"/>
      <c r="AT24" s="142"/>
      <c r="AU24" s="119"/>
      <c r="AV24" s="120"/>
      <c r="AW24" s="127"/>
      <c r="AX24" s="127"/>
      <c r="AY24"/>
      <c r="AZ24" s="119"/>
      <c r="BA24" s="144"/>
      <c r="BB24" s="142"/>
      <c r="BC24" s="119"/>
      <c r="BD24" s="120"/>
      <c r="BE24" s="127"/>
      <c r="BF24" s="127"/>
      <c r="BG24"/>
      <c r="BH24" s="119"/>
      <c r="BI24" s="144"/>
      <c r="BJ24" s="142"/>
      <c r="BK24" s="119"/>
      <c r="BL24" s="120"/>
      <c r="BM24" s="127"/>
      <c r="BN24" s="127"/>
      <c r="BO24"/>
      <c r="BP24" s="119"/>
      <c r="BQ24" s="144"/>
      <c r="BR24" s="142"/>
      <c r="BS24" s="119"/>
      <c r="BT24" s="120"/>
      <c r="BU24" s="127"/>
      <c r="BV24" s="127"/>
      <c r="BW24"/>
      <c r="BX24" s="119"/>
      <c r="BY24" s="144"/>
      <c r="BZ24" s="142"/>
      <c r="CA24" s="119"/>
      <c r="CB24" s="120"/>
      <c r="CC24" s="127"/>
      <c r="CD24" s="127"/>
      <c r="CE24"/>
      <c r="CF24" s="119"/>
      <c r="CG24" s="144"/>
      <c r="CH24" s="142"/>
      <c r="CI24" s="119"/>
      <c r="CJ24" s="120"/>
      <c r="CK24" s="127"/>
      <c r="CL24" s="127"/>
      <c r="CN24" s="119"/>
      <c r="CO24" s="144"/>
      <c r="CP24" s="142"/>
      <c r="CQ24" s="119"/>
      <c r="CR24" s="120"/>
      <c r="CS24" s="127"/>
      <c r="CT24" s="127"/>
      <c r="CV24" s="119"/>
      <c r="CW24" s="144"/>
      <c r="CX24" s="142"/>
      <c r="CY24" s="119"/>
      <c r="CZ24" s="120"/>
      <c r="DA24" s="127"/>
      <c r="DB24" s="127"/>
      <c r="DD24" s="119"/>
      <c r="DE24" s="144"/>
      <c r="DF24" s="142"/>
      <c r="DG24" s="119"/>
      <c r="DH24" s="120"/>
      <c r="DI24" s="127"/>
      <c r="DJ24" s="127"/>
    </row>
    <row r="25" spans="1:114" x14ac:dyDescent="0.25">
      <c r="A25" s="122" t="str">
        <f>IF(Listes!A23="","",Listes!A23)</f>
        <v/>
      </c>
      <c r="B2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5" s="119"/>
      <c r="E25" s="144"/>
      <c r="F25" s="142"/>
      <c r="G25" s="119"/>
      <c r="H25" s="120"/>
      <c r="I25" s="127"/>
      <c r="J25" s="127"/>
      <c r="L25" s="119"/>
      <c r="M25" s="144"/>
      <c r="N25" s="142"/>
      <c r="O25" s="119"/>
      <c r="P25" s="120"/>
      <c r="Q25" s="127"/>
      <c r="R25" s="127"/>
      <c r="S25"/>
      <c r="T25" s="119"/>
      <c r="U25" s="144"/>
      <c r="V25" s="142"/>
      <c r="W25" s="119"/>
      <c r="X25" s="120"/>
      <c r="Y25" s="127"/>
      <c r="Z25" s="127"/>
      <c r="AA25"/>
      <c r="AB25" s="119"/>
      <c r="AC25" s="144"/>
      <c r="AD25" s="142"/>
      <c r="AE25" s="119"/>
      <c r="AF25" s="120"/>
      <c r="AG25" s="127"/>
      <c r="AH25" s="127"/>
      <c r="AI25"/>
      <c r="AJ25" s="119"/>
      <c r="AK25" s="144"/>
      <c r="AL25" s="142"/>
      <c r="AM25" s="119"/>
      <c r="AN25" s="120"/>
      <c r="AO25" s="127"/>
      <c r="AP25" s="127"/>
      <c r="AQ25"/>
      <c r="AR25" s="119"/>
      <c r="AS25" s="144"/>
      <c r="AT25" s="142"/>
      <c r="AU25" s="119"/>
      <c r="AV25" s="120"/>
      <c r="AW25" s="127"/>
      <c r="AX25" s="127"/>
      <c r="AY25"/>
      <c r="AZ25" s="119"/>
      <c r="BA25" s="144"/>
      <c r="BB25" s="142"/>
      <c r="BC25" s="119"/>
      <c r="BD25" s="120"/>
      <c r="BE25" s="127"/>
      <c r="BF25" s="127"/>
      <c r="BG25"/>
      <c r="BH25" s="119"/>
      <c r="BI25" s="144"/>
      <c r="BJ25" s="142"/>
      <c r="BK25" s="119"/>
      <c r="BL25" s="120"/>
      <c r="BM25" s="127"/>
      <c r="BN25" s="127"/>
      <c r="BO25"/>
      <c r="BP25" s="119"/>
      <c r="BQ25" s="144"/>
      <c r="BR25" s="142"/>
      <c r="BS25" s="119"/>
      <c r="BT25" s="120"/>
      <c r="BU25" s="127"/>
      <c r="BV25" s="127"/>
      <c r="BW25"/>
      <c r="BX25" s="119"/>
      <c r="BY25" s="144"/>
      <c r="BZ25" s="142"/>
      <c r="CA25" s="119"/>
      <c r="CB25" s="120"/>
      <c r="CC25" s="127"/>
      <c r="CD25" s="127"/>
      <c r="CE25"/>
      <c r="CF25" s="119"/>
      <c r="CG25" s="144"/>
      <c r="CH25" s="142"/>
      <c r="CI25" s="119"/>
      <c r="CJ25" s="120"/>
      <c r="CK25" s="127"/>
      <c r="CL25" s="127"/>
      <c r="CN25" s="119"/>
      <c r="CO25" s="144"/>
      <c r="CP25" s="142"/>
      <c r="CQ25" s="119"/>
      <c r="CR25" s="120"/>
      <c r="CS25" s="127"/>
      <c r="CT25" s="127"/>
      <c r="CV25" s="119"/>
      <c r="CW25" s="144"/>
      <c r="CX25" s="142"/>
      <c r="CY25" s="119"/>
      <c r="CZ25" s="120"/>
      <c r="DA25" s="127"/>
      <c r="DB25" s="127"/>
      <c r="DD25" s="119"/>
      <c r="DE25" s="144"/>
      <c r="DF25" s="142"/>
      <c r="DG25" s="119"/>
      <c r="DH25" s="120"/>
      <c r="DI25" s="127"/>
      <c r="DJ25" s="127"/>
    </row>
    <row r="26" spans="1:114" x14ac:dyDescent="0.25">
      <c r="A26" s="122" t="str">
        <f>IF(Listes!A24="","",Listes!A24)</f>
        <v/>
      </c>
      <c r="B2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6" s="119"/>
      <c r="E26" s="144"/>
      <c r="F26" s="142"/>
      <c r="G26" s="119"/>
      <c r="H26" s="120"/>
      <c r="I26" s="127"/>
      <c r="J26" s="127"/>
      <c r="L26" s="119"/>
      <c r="M26" s="144"/>
      <c r="N26" s="142"/>
      <c r="O26" s="119"/>
      <c r="P26" s="120"/>
      <c r="Q26" s="127"/>
      <c r="R26" s="127"/>
      <c r="S26"/>
      <c r="T26" s="119"/>
      <c r="U26" s="144"/>
      <c r="V26" s="142"/>
      <c r="W26" s="119"/>
      <c r="X26" s="120"/>
      <c r="Y26" s="127"/>
      <c r="Z26" s="127"/>
      <c r="AA26"/>
      <c r="AB26" s="119"/>
      <c r="AC26" s="144"/>
      <c r="AD26" s="142"/>
      <c r="AE26" s="119"/>
      <c r="AF26" s="120"/>
      <c r="AG26" s="127"/>
      <c r="AH26" s="127"/>
      <c r="AI26"/>
      <c r="AJ26" s="119"/>
      <c r="AK26" s="144"/>
      <c r="AL26" s="142"/>
      <c r="AM26" s="119"/>
      <c r="AN26" s="120"/>
      <c r="AO26" s="127"/>
      <c r="AP26" s="127"/>
      <c r="AQ26"/>
      <c r="AR26" s="119"/>
      <c r="AS26" s="144"/>
      <c r="AT26" s="142"/>
      <c r="AU26" s="119"/>
      <c r="AV26" s="120"/>
      <c r="AW26" s="127"/>
      <c r="AX26" s="127"/>
      <c r="AY26"/>
      <c r="AZ26" s="119"/>
      <c r="BA26" s="144"/>
      <c r="BB26" s="142"/>
      <c r="BC26" s="119"/>
      <c r="BD26" s="120"/>
      <c r="BE26" s="127"/>
      <c r="BF26" s="127"/>
      <c r="BG26"/>
      <c r="BH26" s="119"/>
      <c r="BI26" s="144"/>
      <c r="BJ26" s="142"/>
      <c r="BK26" s="119"/>
      <c r="BL26" s="120"/>
      <c r="BM26" s="127"/>
      <c r="BN26" s="127"/>
      <c r="BO26"/>
      <c r="BP26" s="119"/>
      <c r="BQ26" s="144"/>
      <c r="BR26" s="142"/>
      <c r="BS26" s="119"/>
      <c r="BT26" s="120"/>
      <c r="BU26" s="127"/>
      <c r="BV26" s="127"/>
      <c r="BW26"/>
      <c r="BX26" s="119"/>
      <c r="BY26" s="144"/>
      <c r="BZ26" s="142"/>
      <c r="CA26" s="119"/>
      <c r="CB26" s="120"/>
      <c r="CC26" s="127"/>
      <c r="CD26" s="127"/>
      <c r="CE26"/>
      <c r="CF26" s="119"/>
      <c r="CG26" s="144"/>
      <c r="CH26" s="142"/>
      <c r="CI26" s="119"/>
      <c r="CJ26" s="120"/>
      <c r="CK26" s="127"/>
      <c r="CL26" s="127"/>
      <c r="CN26" s="119"/>
      <c r="CO26" s="144"/>
      <c r="CP26" s="142"/>
      <c r="CQ26" s="119"/>
      <c r="CR26" s="120"/>
      <c r="CS26" s="127"/>
      <c r="CT26" s="127"/>
      <c r="CV26" s="119"/>
      <c r="CW26" s="144"/>
      <c r="CX26" s="142"/>
      <c r="CY26" s="119"/>
      <c r="CZ26" s="120"/>
      <c r="DA26" s="127"/>
      <c r="DB26" s="127"/>
      <c r="DD26" s="119"/>
      <c r="DE26" s="144"/>
      <c r="DF26" s="142"/>
      <c r="DG26" s="119"/>
      <c r="DH26" s="120"/>
      <c r="DI26" s="127"/>
      <c r="DJ26" s="127"/>
    </row>
    <row r="27" spans="1:114" x14ac:dyDescent="0.25">
      <c r="A27" s="122" t="str">
        <f>IF(Listes!A25="","",Listes!A25)</f>
        <v/>
      </c>
      <c r="B2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7" s="119"/>
      <c r="E27" s="144"/>
      <c r="F27" s="142"/>
      <c r="G27" s="119"/>
      <c r="H27" s="120"/>
      <c r="I27" s="127"/>
      <c r="J27" s="127"/>
      <c r="L27" s="119"/>
      <c r="M27" s="144"/>
      <c r="N27" s="142"/>
      <c r="O27" s="119"/>
      <c r="P27" s="120"/>
      <c r="Q27" s="127"/>
      <c r="R27" s="127"/>
      <c r="S27"/>
      <c r="T27" s="119"/>
      <c r="U27" s="144"/>
      <c r="V27" s="142"/>
      <c r="W27" s="119"/>
      <c r="X27" s="120"/>
      <c r="Y27" s="127"/>
      <c r="Z27" s="127"/>
      <c r="AA27"/>
      <c r="AB27" s="119"/>
      <c r="AC27" s="144"/>
      <c r="AD27" s="142"/>
      <c r="AE27" s="119"/>
      <c r="AF27" s="120"/>
      <c r="AG27" s="127"/>
      <c r="AH27" s="127"/>
      <c r="AI27"/>
      <c r="AJ27" s="119"/>
      <c r="AK27" s="144"/>
      <c r="AL27" s="142"/>
      <c r="AM27" s="119"/>
      <c r="AN27" s="120"/>
      <c r="AO27" s="127"/>
      <c r="AP27" s="127"/>
      <c r="AQ27"/>
      <c r="AR27" s="119"/>
      <c r="AS27" s="144"/>
      <c r="AT27" s="142"/>
      <c r="AU27" s="119"/>
      <c r="AV27" s="120"/>
      <c r="AW27" s="127"/>
      <c r="AX27" s="127"/>
      <c r="AY27"/>
      <c r="AZ27" s="119"/>
      <c r="BA27" s="144"/>
      <c r="BB27" s="142"/>
      <c r="BC27" s="119"/>
      <c r="BD27" s="120"/>
      <c r="BE27" s="127"/>
      <c r="BF27" s="127"/>
      <c r="BG27"/>
      <c r="BH27" s="119"/>
      <c r="BI27" s="144"/>
      <c r="BJ27" s="142"/>
      <c r="BK27" s="119"/>
      <c r="BL27" s="120"/>
      <c r="BM27" s="127"/>
      <c r="BN27" s="127"/>
      <c r="BO27"/>
      <c r="BP27" s="119"/>
      <c r="BQ27" s="144"/>
      <c r="BR27" s="142"/>
      <c r="BS27" s="119"/>
      <c r="BT27" s="120"/>
      <c r="BU27" s="127"/>
      <c r="BV27" s="127"/>
      <c r="BW27"/>
      <c r="BX27" s="119"/>
      <c r="BY27" s="144"/>
      <c r="BZ27" s="142"/>
      <c r="CA27" s="119"/>
      <c r="CB27" s="120"/>
      <c r="CC27" s="127"/>
      <c r="CD27" s="127"/>
      <c r="CE27"/>
      <c r="CF27" s="119"/>
      <c r="CG27" s="144"/>
      <c r="CH27" s="142"/>
      <c r="CI27" s="119"/>
      <c r="CJ27" s="120"/>
      <c r="CK27" s="127"/>
      <c r="CL27" s="127"/>
      <c r="CN27" s="119"/>
      <c r="CO27" s="144"/>
      <c r="CP27" s="142"/>
      <c r="CQ27" s="119"/>
      <c r="CR27" s="120"/>
      <c r="CS27" s="127"/>
      <c r="CT27" s="127"/>
      <c r="CV27" s="119"/>
      <c r="CW27" s="144"/>
      <c r="CX27" s="142"/>
      <c r="CY27" s="119"/>
      <c r="CZ27" s="120"/>
      <c r="DA27" s="127"/>
      <c r="DB27" s="127"/>
      <c r="DD27" s="119"/>
      <c r="DE27" s="144"/>
      <c r="DF27" s="142"/>
      <c r="DG27" s="119"/>
      <c r="DH27" s="120"/>
      <c r="DI27" s="127"/>
      <c r="DJ27" s="127"/>
    </row>
    <row r="28" spans="1:114" x14ac:dyDescent="0.25">
      <c r="A28" s="122" t="str">
        <f>IF(Listes!A26="","",Listes!A26)</f>
        <v/>
      </c>
      <c r="B2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8" s="119"/>
      <c r="E28" s="144"/>
      <c r="F28" s="142"/>
      <c r="G28" s="119"/>
      <c r="H28" s="120"/>
      <c r="I28" s="127"/>
      <c r="J28" s="127"/>
      <c r="L28" s="119"/>
      <c r="M28" s="144"/>
      <c r="N28" s="142"/>
      <c r="O28" s="119"/>
      <c r="P28" s="120"/>
      <c r="Q28" s="127"/>
      <c r="R28" s="127"/>
      <c r="S28"/>
      <c r="T28" s="119"/>
      <c r="U28" s="144"/>
      <c r="V28" s="142"/>
      <c r="W28" s="119"/>
      <c r="X28" s="120"/>
      <c r="Y28" s="127"/>
      <c r="Z28" s="127"/>
      <c r="AA28"/>
      <c r="AB28" s="119"/>
      <c r="AC28" s="144"/>
      <c r="AD28" s="142"/>
      <c r="AE28" s="119"/>
      <c r="AF28" s="120"/>
      <c r="AG28" s="127"/>
      <c r="AH28" s="127"/>
      <c r="AI28"/>
      <c r="AJ28" s="119"/>
      <c r="AK28" s="144"/>
      <c r="AL28" s="142"/>
      <c r="AM28" s="119"/>
      <c r="AN28" s="120"/>
      <c r="AO28" s="127"/>
      <c r="AP28" s="127"/>
      <c r="AQ28"/>
      <c r="AR28" s="119"/>
      <c r="AS28" s="144"/>
      <c r="AT28" s="142"/>
      <c r="AU28" s="119"/>
      <c r="AV28" s="120"/>
      <c r="AW28" s="127"/>
      <c r="AX28" s="127"/>
      <c r="AY28"/>
      <c r="AZ28" s="119"/>
      <c r="BA28" s="144"/>
      <c r="BB28" s="142"/>
      <c r="BC28" s="119"/>
      <c r="BD28" s="120"/>
      <c r="BE28" s="127"/>
      <c r="BF28" s="127"/>
      <c r="BG28"/>
      <c r="BH28" s="119"/>
      <c r="BI28" s="144"/>
      <c r="BJ28" s="142"/>
      <c r="BK28" s="119"/>
      <c r="BL28" s="120"/>
      <c r="BM28" s="127"/>
      <c r="BN28" s="127"/>
      <c r="BO28"/>
      <c r="BP28" s="119"/>
      <c r="BQ28" s="144"/>
      <c r="BR28" s="142"/>
      <c r="BS28" s="119"/>
      <c r="BT28" s="120"/>
      <c r="BU28" s="127"/>
      <c r="BV28" s="127"/>
      <c r="BW28"/>
      <c r="BX28" s="119"/>
      <c r="BY28" s="144"/>
      <c r="BZ28" s="142"/>
      <c r="CA28" s="119"/>
      <c r="CB28" s="120"/>
      <c r="CC28" s="127"/>
      <c r="CD28" s="127"/>
      <c r="CE28"/>
      <c r="CF28" s="119"/>
      <c r="CG28" s="144"/>
      <c r="CH28" s="142"/>
      <c r="CI28" s="119"/>
      <c r="CJ28" s="120"/>
      <c r="CK28" s="127"/>
      <c r="CL28" s="127"/>
      <c r="CN28" s="119"/>
      <c r="CO28" s="144"/>
      <c r="CP28" s="142"/>
      <c r="CQ28" s="119"/>
      <c r="CR28" s="120"/>
      <c r="CS28" s="127"/>
      <c r="CT28" s="127"/>
      <c r="CV28" s="119"/>
      <c r="CW28" s="144"/>
      <c r="CX28" s="142"/>
      <c r="CY28" s="119"/>
      <c r="CZ28" s="120"/>
      <c r="DA28" s="127"/>
      <c r="DB28" s="127"/>
      <c r="DD28" s="119"/>
      <c r="DE28" s="144"/>
      <c r="DF28" s="142"/>
      <c r="DG28" s="119"/>
      <c r="DH28" s="120"/>
      <c r="DI28" s="127"/>
      <c r="DJ28" s="127"/>
    </row>
    <row r="29" spans="1:114" x14ac:dyDescent="0.25">
      <c r="A29" s="122" t="str">
        <f>IF(Listes!A27="","",Listes!A27)</f>
        <v/>
      </c>
      <c r="B2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29" s="119"/>
      <c r="E29" s="144"/>
      <c r="F29" s="142"/>
      <c r="G29" s="119"/>
      <c r="H29" s="120"/>
      <c r="I29" s="127"/>
      <c r="J29" s="127"/>
      <c r="L29" s="119"/>
      <c r="M29" s="144"/>
      <c r="N29" s="142"/>
      <c r="O29" s="119"/>
      <c r="P29" s="120"/>
      <c r="Q29" s="127"/>
      <c r="R29" s="127"/>
      <c r="S29"/>
      <c r="T29" s="119"/>
      <c r="U29" s="144"/>
      <c r="V29" s="142"/>
      <c r="W29" s="119"/>
      <c r="X29" s="120"/>
      <c r="Y29" s="127"/>
      <c r="Z29" s="127"/>
      <c r="AA29"/>
      <c r="AB29" s="119"/>
      <c r="AC29" s="144"/>
      <c r="AD29" s="142"/>
      <c r="AE29" s="119"/>
      <c r="AF29" s="120"/>
      <c r="AG29" s="127"/>
      <c r="AH29" s="127"/>
      <c r="AI29"/>
      <c r="AJ29" s="119"/>
      <c r="AK29" s="144"/>
      <c r="AL29" s="142"/>
      <c r="AM29" s="119"/>
      <c r="AN29" s="120"/>
      <c r="AO29" s="127"/>
      <c r="AP29" s="127"/>
      <c r="AQ29"/>
      <c r="AR29" s="119"/>
      <c r="AS29" s="144"/>
      <c r="AT29" s="142"/>
      <c r="AU29" s="119"/>
      <c r="AV29" s="120"/>
      <c r="AW29" s="127"/>
      <c r="AX29" s="127"/>
      <c r="AY29"/>
      <c r="AZ29" s="119"/>
      <c r="BA29" s="144"/>
      <c r="BB29" s="142"/>
      <c r="BC29" s="119"/>
      <c r="BD29" s="120"/>
      <c r="BE29" s="127"/>
      <c r="BF29" s="127"/>
      <c r="BG29"/>
      <c r="BH29" s="119"/>
      <c r="BI29" s="144"/>
      <c r="BJ29" s="142"/>
      <c r="BK29" s="119"/>
      <c r="BL29" s="120"/>
      <c r="BM29" s="127"/>
      <c r="BN29" s="127"/>
      <c r="BO29"/>
      <c r="BP29" s="119"/>
      <c r="BQ29" s="144"/>
      <c r="BR29" s="142"/>
      <c r="BS29" s="119"/>
      <c r="BT29" s="120"/>
      <c r="BU29" s="127"/>
      <c r="BV29" s="127"/>
      <c r="BW29"/>
      <c r="BX29" s="119"/>
      <c r="BY29" s="144"/>
      <c r="BZ29" s="142"/>
      <c r="CA29" s="119"/>
      <c r="CB29" s="120"/>
      <c r="CC29" s="127"/>
      <c r="CD29" s="127"/>
      <c r="CE29"/>
      <c r="CF29" s="119"/>
      <c r="CG29" s="144"/>
      <c r="CH29" s="142"/>
      <c r="CI29" s="119"/>
      <c r="CJ29" s="120"/>
      <c r="CK29" s="127"/>
      <c r="CL29" s="127"/>
      <c r="CN29" s="119"/>
      <c r="CO29" s="144"/>
      <c r="CP29" s="142"/>
      <c r="CQ29" s="119"/>
      <c r="CR29" s="120"/>
      <c r="CS29" s="127"/>
      <c r="CT29" s="127"/>
      <c r="CV29" s="119"/>
      <c r="CW29" s="144"/>
      <c r="CX29" s="142"/>
      <c r="CY29" s="119"/>
      <c r="CZ29" s="120"/>
      <c r="DA29" s="127"/>
      <c r="DB29" s="127"/>
      <c r="DD29" s="119"/>
      <c r="DE29" s="144"/>
      <c r="DF29" s="142"/>
      <c r="DG29" s="119"/>
      <c r="DH29" s="120"/>
      <c r="DI29" s="127"/>
      <c r="DJ29" s="127"/>
    </row>
    <row r="30" spans="1:114" x14ac:dyDescent="0.25">
      <c r="A30" s="122" t="str">
        <f>IF(Listes!A28="","",Listes!A28)</f>
        <v/>
      </c>
      <c r="B3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0" s="119"/>
      <c r="E30" s="144"/>
      <c r="F30" s="142"/>
      <c r="G30" s="119"/>
      <c r="H30" s="120"/>
      <c r="I30" s="127"/>
      <c r="J30" s="127"/>
      <c r="L30" s="119"/>
      <c r="M30" s="144"/>
      <c r="N30" s="142"/>
      <c r="O30" s="119"/>
      <c r="P30" s="120"/>
      <c r="Q30" s="127"/>
      <c r="R30" s="127"/>
      <c r="S30"/>
      <c r="T30" s="119"/>
      <c r="U30" s="144"/>
      <c r="V30" s="142"/>
      <c r="W30" s="119"/>
      <c r="X30" s="120"/>
      <c r="Y30" s="127"/>
      <c r="Z30" s="127"/>
      <c r="AA30"/>
      <c r="AB30" s="119"/>
      <c r="AC30" s="144"/>
      <c r="AD30" s="142"/>
      <c r="AE30" s="119"/>
      <c r="AF30" s="120"/>
      <c r="AG30" s="127"/>
      <c r="AH30" s="127"/>
      <c r="AI30"/>
      <c r="AJ30" s="119"/>
      <c r="AK30" s="144"/>
      <c r="AL30" s="142"/>
      <c r="AM30" s="119"/>
      <c r="AN30" s="120"/>
      <c r="AO30" s="127"/>
      <c r="AP30" s="127"/>
      <c r="AQ30"/>
      <c r="AR30" s="119"/>
      <c r="AS30" s="144"/>
      <c r="AT30" s="142"/>
      <c r="AU30" s="119"/>
      <c r="AV30" s="120"/>
      <c r="AW30" s="127"/>
      <c r="AX30" s="127"/>
      <c r="AY30"/>
      <c r="AZ30" s="119"/>
      <c r="BA30" s="144"/>
      <c r="BB30" s="142"/>
      <c r="BC30" s="119"/>
      <c r="BD30" s="120"/>
      <c r="BE30" s="127"/>
      <c r="BF30" s="127"/>
      <c r="BG30"/>
      <c r="BH30" s="119"/>
      <c r="BI30" s="144"/>
      <c r="BJ30" s="142"/>
      <c r="BK30" s="119"/>
      <c r="BL30" s="120"/>
      <c r="BM30" s="127"/>
      <c r="BN30" s="127"/>
      <c r="BO30"/>
      <c r="BP30" s="119"/>
      <c r="BQ30" s="144"/>
      <c r="BR30" s="142"/>
      <c r="BS30" s="119"/>
      <c r="BT30" s="120"/>
      <c r="BU30" s="127"/>
      <c r="BV30" s="127"/>
      <c r="BW30"/>
      <c r="BX30" s="119"/>
      <c r="BY30" s="144"/>
      <c r="BZ30" s="142"/>
      <c r="CA30" s="119"/>
      <c r="CB30" s="120"/>
      <c r="CC30" s="127"/>
      <c r="CD30" s="127"/>
      <c r="CE30"/>
      <c r="CF30" s="119"/>
      <c r="CG30" s="144"/>
      <c r="CH30" s="142"/>
      <c r="CI30" s="119"/>
      <c r="CJ30" s="120"/>
      <c r="CK30" s="127"/>
      <c r="CL30" s="127"/>
      <c r="CN30" s="119"/>
      <c r="CO30" s="144"/>
      <c r="CP30" s="142"/>
      <c r="CQ30" s="119"/>
      <c r="CR30" s="120"/>
      <c r="CS30" s="127"/>
      <c r="CT30" s="127"/>
      <c r="CV30" s="119"/>
      <c r="CW30" s="144"/>
      <c r="CX30" s="142"/>
      <c r="CY30" s="119"/>
      <c r="CZ30" s="120"/>
      <c r="DA30" s="127"/>
      <c r="DB30" s="127"/>
      <c r="DD30" s="119"/>
      <c r="DE30" s="144"/>
      <c r="DF30" s="142"/>
      <c r="DG30" s="119"/>
      <c r="DH30" s="120"/>
      <c r="DI30" s="127"/>
      <c r="DJ30" s="127"/>
    </row>
    <row r="31" spans="1:114" x14ac:dyDescent="0.25">
      <c r="A31" s="122" t="str">
        <f>IF(Listes!A29="","",Listes!A29)</f>
        <v/>
      </c>
      <c r="B31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1" s="119"/>
      <c r="E31" s="144"/>
      <c r="F31" s="142"/>
      <c r="G31" s="119"/>
      <c r="H31" s="120"/>
      <c r="I31" s="127"/>
      <c r="J31" s="127"/>
      <c r="L31" s="119"/>
      <c r="M31" s="144"/>
      <c r="N31" s="142"/>
      <c r="O31" s="119"/>
      <c r="P31" s="120"/>
      <c r="Q31" s="127"/>
      <c r="R31" s="127"/>
      <c r="S31"/>
      <c r="T31" s="119"/>
      <c r="U31" s="144"/>
      <c r="V31" s="142"/>
      <c r="W31" s="119"/>
      <c r="X31" s="120"/>
      <c r="Y31" s="127"/>
      <c r="Z31" s="127"/>
      <c r="AA31"/>
      <c r="AB31" s="119"/>
      <c r="AC31" s="144"/>
      <c r="AD31" s="142"/>
      <c r="AE31" s="119"/>
      <c r="AF31" s="120"/>
      <c r="AG31" s="127"/>
      <c r="AH31" s="127"/>
      <c r="AI31"/>
      <c r="AJ31" s="119"/>
      <c r="AK31" s="144"/>
      <c r="AL31" s="142"/>
      <c r="AM31" s="119"/>
      <c r="AN31" s="120"/>
      <c r="AO31" s="127"/>
      <c r="AP31" s="127"/>
      <c r="AQ31"/>
      <c r="AR31" s="119"/>
      <c r="AS31" s="144"/>
      <c r="AT31" s="142"/>
      <c r="AU31" s="119"/>
      <c r="AV31" s="120"/>
      <c r="AW31" s="127"/>
      <c r="AX31" s="127"/>
      <c r="AY31"/>
      <c r="AZ31" s="119"/>
      <c r="BA31" s="144"/>
      <c r="BB31" s="142"/>
      <c r="BC31" s="119"/>
      <c r="BD31" s="120"/>
      <c r="BE31" s="127"/>
      <c r="BF31" s="127"/>
      <c r="BG31"/>
      <c r="BH31" s="119"/>
      <c r="BI31" s="144"/>
      <c r="BJ31" s="142"/>
      <c r="BK31" s="119"/>
      <c r="BL31" s="120"/>
      <c r="BM31" s="127"/>
      <c r="BN31" s="127"/>
      <c r="BO31"/>
      <c r="BP31" s="119"/>
      <c r="BQ31" s="144"/>
      <c r="BR31" s="142"/>
      <c r="BS31" s="119"/>
      <c r="BT31" s="120"/>
      <c r="BU31" s="127"/>
      <c r="BV31" s="127"/>
      <c r="BW31"/>
      <c r="BX31" s="119"/>
      <c r="BY31" s="144"/>
      <c r="BZ31" s="142"/>
      <c r="CA31" s="119"/>
      <c r="CB31" s="120"/>
      <c r="CC31" s="127"/>
      <c r="CD31" s="127"/>
      <c r="CE31"/>
      <c r="CF31" s="119"/>
      <c r="CG31" s="144"/>
      <c r="CH31" s="142"/>
      <c r="CI31" s="119"/>
      <c r="CJ31" s="120"/>
      <c r="CK31" s="127"/>
      <c r="CL31" s="127"/>
      <c r="CN31" s="119"/>
      <c r="CO31" s="144"/>
      <c r="CP31" s="142"/>
      <c r="CQ31" s="119"/>
      <c r="CR31" s="120"/>
      <c r="CS31" s="127"/>
      <c r="CT31" s="127"/>
      <c r="CV31" s="119"/>
      <c r="CW31" s="144"/>
      <c r="CX31" s="142"/>
      <c r="CY31" s="119"/>
      <c r="CZ31" s="120"/>
      <c r="DA31" s="127"/>
      <c r="DB31" s="127"/>
      <c r="DD31" s="119"/>
      <c r="DE31" s="144"/>
      <c r="DF31" s="142"/>
      <c r="DG31" s="119"/>
      <c r="DH31" s="120"/>
      <c r="DI31" s="127"/>
      <c r="DJ31" s="127"/>
    </row>
    <row r="32" spans="1:114" x14ac:dyDescent="0.25">
      <c r="A32" s="122" t="str">
        <f>IF(Listes!A30="","",Listes!A30)</f>
        <v/>
      </c>
      <c r="B32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2" s="119"/>
      <c r="E32" s="144"/>
      <c r="F32" s="142"/>
      <c r="G32" s="119"/>
      <c r="H32" s="120"/>
      <c r="I32" s="127"/>
      <c r="J32" s="127"/>
      <c r="L32" s="119"/>
      <c r="M32" s="144"/>
      <c r="N32" s="142"/>
      <c r="O32" s="119"/>
      <c r="P32" s="120"/>
      <c r="Q32" s="127"/>
      <c r="R32" s="127"/>
      <c r="S32"/>
      <c r="T32" s="119"/>
      <c r="U32" s="144"/>
      <c r="V32" s="142"/>
      <c r="W32" s="119"/>
      <c r="X32" s="120"/>
      <c r="Y32" s="127"/>
      <c r="Z32" s="127"/>
      <c r="AA32"/>
      <c r="AB32" s="119"/>
      <c r="AC32" s="144"/>
      <c r="AD32" s="142"/>
      <c r="AE32" s="119"/>
      <c r="AF32" s="120"/>
      <c r="AG32" s="127"/>
      <c r="AH32" s="127"/>
      <c r="AI32"/>
      <c r="AJ32" s="119"/>
      <c r="AK32" s="144"/>
      <c r="AL32" s="142"/>
      <c r="AM32" s="119"/>
      <c r="AN32" s="120"/>
      <c r="AO32" s="127"/>
      <c r="AP32" s="127"/>
      <c r="AQ32"/>
      <c r="AR32" s="119"/>
      <c r="AS32" s="144"/>
      <c r="AT32" s="142"/>
      <c r="AU32" s="119"/>
      <c r="AV32" s="120"/>
      <c r="AW32" s="127"/>
      <c r="AX32" s="127"/>
      <c r="AY32"/>
      <c r="AZ32" s="119"/>
      <c r="BA32" s="144"/>
      <c r="BB32" s="142"/>
      <c r="BC32" s="119"/>
      <c r="BD32" s="120"/>
      <c r="BE32" s="127"/>
      <c r="BF32" s="127"/>
      <c r="BG32"/>
      <c r="BH32" s="119"/>
      <c r="BI32" s="144"/>
      <c r="BJ32" s="142"/>
      <c r="BK32" s="119"/>
      <c r="BL32" s="120"/>
      <c r="BM32" s="127"/>
      <c r="BN32" s="127"/>
      <c r="BO32"/>
      <c r="BP32" s="119"/>
      <c r="BQ32" s="144"/>
      <c r="BR32" s="142"/>
      <c r="BS32" s="119"/>
      <c r="BT32" s="120"/>
      <c r="BU32" s="127"/>
      <c r="BV32" s="127"/>
      <c r="BW32"/>
      <c r="BX32" s="119"/>
      <c r="BY32" s="144"/>
      <c r="BZ32" s="142"/>
      <c r="CA32" s="119"/>
      <c r="CB32" s="120"/>
      <c r="CC32" s="127"/>
      <c r="CD32" s="127"/>
      <c r="CE32"/>
      <c r="CF32" s="119"/>
      <c r="CG32" s="144"/>
      <c r="CH32" s="142"/>
      <c r="CI32" s="119"/>
      <c r="CJ32" s="120"/>
      <c r="CK32" s="127"/>
      <c r="CL32" s="127"/>
      <c r="CN32" s="119"/>
      <c r="CO32" s="144"/>
      <c r="CP32" s="142"/>
      <c r="CQ32" s="119"/>
      <c r="CR32" s="120"/>
      <c r="CS32" s="127"/>
      <c r="CT32" s="127"/>
      <c r="CV32" s="119"/>
      <c r="CW32" s="144"/>
      <c r="CX32" s="142"/>
      <c r="CY32" s="119"/>
      <c r="CZ32" s="120"/>
      <c r="DA32" s="127"/>
      <c r="DB32" s="127"/>
      <c r="DD32" s="119"/>
      <c r="DE32" s="144"/>
      <c r="DF32" s="142"/>
      <c r="DG32" s="119"/>
      <c r="DH32" s="120"/>
      <c r="DI32" s="127"/>
      <c r="DJ32" s="127"/>
    </row>
    <row r="33" spans="1:114" x14ac:dyDescent="0.25">
      <c r="A33" s="122" t="str">
        <f>IF(Listes!A31="","",Listes!A31)</f>
        <v/>
      </c>
      <c r="B3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3" s="119"/>
      <c r="E33" s="144"/>
      <c r="F33" s="142"/>
      <c r="G33" s="119"/>
      <c r="H33" s="120"/>
      <c r="I33" s="127"/>
      <c r="J33" s="127"/>
      <c r="L33" s="119"/>
      <c r="M33" s="144"/>
      <c r="N33" s="142"/>
      <c r="O33" s="119"/>
      <c r="P33" s="120"/>
      <c r="Q33" s="127"/>
      <c r="R33" s="127"/>
      <c r="S33"/>
      <c r="T33" s="119"/>
      <c r="U33" s="144"/>
      <c r="V33" s="142"/>
      <c r="W33" s="119"/>
      <c r="X33" s="120"/>
      <c r="Y33" s="127"/>
      <c r="Z33" s="127"/>
      <c r="AA33"/>
      <c r="AB33" s="119"/>
      <c r="AC33" s="144"/>
      <c r="AD33" s="142"/>
      <c r="AE33" s="119"/>
      <c r="AF33" s="120"/>
      <c r="AG33" s="127"/>
      <c r="AH33" s="127"/>
      <c r="AI33"/>
      <c r="AJ33" s="119"/>
      <c r="AK33" s="144"/>
      <c r="AL33" s="142"/>
      <c r="AM33" s="119"/>
      <c r="AN33" s="120"/>
      <c r="AO33" s="127"/>
      <c r="AP33" s="127"/>
      <c r="AQ33"/>
      <c r="AR33" s="119"/>
      <c r="AS33" s="144"/>
      <c r="AT33" s="142"/>
      <c r="AU33" s="119"/>
      <c r="AV33" s="120"/>
      <c r="AW33" s="127"/>
      <c r="AX33" s="127"/>
      <c r="AY33"/>
      <c r="AZ33" s="119"/>
      <c r="BA33" s="144"/>
      <c r="BB33" s="142"/>
      <c r="BC33" s="119"/>
      <c r="BD33" s="120"/>
      <c r="BE33" s="127"/>
      <c r="BF33" s="127"/>
      <c r="BG33"/>
      <c r="BH33" s="119"/>
      <c r="BI33" s="144"/>
      <c r="BJ33" s="142"/>
      <c r="BK33" s="119"/>
      <c r="BL33" s="120"/>
      <c r="BM33" s="127"/>
      <c r="BN33" s="127"/>
      <c r="BO33"/>
      <c r="BP33" s="119"/>
      <c r="BQ33" s="144"/>
      <c r="BR33" s="142"/>
      <c r="BS33" s="119"/>
      <c r="BT33" s="120"/>
      <c r="BU33" s="127"/>
      <c r="BV33" s="127"/>
      <c r="BW33"/>
      <c r="BX33" s="119"/>
      <c r="BY33" s="144"/>
      <c r="BZ33" s="142"/>
      <c r="CA33" s="119"/>
      <c r="CB33" s="120"/>
      <c r="CC33" s="127"/>
      <c r="CD33" s="127"/>
      <c r="CE33"/>
      <c r="CF33" s="119"/>
      <c r="CG33" s="144"/>
      <c r="CH33" s="142"/>
      <c r="CI33" s="119"/>
      <c r="CJ33" s="120"/>
      <c r="CK33" s="127"/>
      <c r="CL33" s="127"/>
      <c r="CN33" s="119"/>
      <c r="CO33" s="144"/>
      <c r="CP33" s="142"/>
      <c r="CQ33" s="119"/>
      <c r="CR33" s="120"/>
      <c r="CS33" s="127"/>
      <c r="CT33" s="127"/>
      <c r="CV33" s="119"/>
      <c r="CW33" s="144"/>
      <c r="CX33" s="142"/>
      <c r="CY33" s="119"/>
      <c r="CZ33" s="120"/>
      <c r="DA33" s="127"/>
      <c r="DB33" s="127"/>
      <c r="DD33" s="119"/>
      <c r="DE33" s="144"/>
      <c r="DF33" s="142"/>
      <c r="DG33" s="119"/>
      <c r="DH33" s="120"/>
      <c r="DI33" s="127"/>
      <c r="DJ33" s="127"/>
    </row>
    <row r="34" spans="1:114" x14ac:dyDescent="0.25">
      <c r="A34" s="122" t="str">
        <f>IF(Listes!A32="","",Listes!A32)</f>
        <v/>
      </c>
      <c r="B3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4" s="119"/>
      <c r="E34" s="144"/>
      <c r="F34" s="142"/>
      <c r="G34" s="119"/>
      <c r="H34" s="120"/>
      <c r="I34" s="127"/>
      <c r="J34" s="127"/>
      <c r="L34" s="119"/>
      <c r="M34" s="144"/>
      <c r="N34" s="142"/>
      <c r="O34" s="119"/>
      <c r="P34" s="120"/>
      <c r="Q34" s="127"/>
      <c r="R34" s="127"/>
      <c r="S34"/>
      <c r="T34" s="119"/>
      <c r="U34" s="144"/>
      <c r="V34" s="142"/>
      <c r="W34" s="119"/>
      <c r="X34" s="120"/>
      <c r="Y34" s="127"/>
      <c r="Z34" s="127"/>
      <c r="AA34"/>
      <c r="AB34" s="119"/>
      <c r="AC34" s="144"/>
      <c r="AD34" s="142"/>
      <c r="AE34" s="119"/>
      <c r="AF34" s="120"/>
      <c r="AG34" s="127"/>
      <c r="AH34" s="127"/>
      <c r="AI34"/>
      <c r="AJ34" s="119"/>
      <c r="AK34" s="144"/>
      <c r="AL34" s="142"/>
      <c r="AM34" s="119"/>
      <c r="AN34" s="120"/>
      <c r="AO34" s="127"/>
      <c r="AP34" s="127"/>
      <c r="AQ34"/>
      <c r="AR34" s="119"/>
      <c r="AS34" s="144"/>
      <c r="AT34" s="142"/>
      <c r="AU34" s="119"/>
      <c r="AV34" s="120"/>
      <c r="AW34" s="127"/>
      <c r="AX34" s="127"/>
      <c r="AY34"/>
      <c r="AZ34" s="119"/>
      <c r="BA34" s="144"/>
      <c r="BB34" s="142"/>
      <c r="BC34" s="119"/>
      <c r="BD34" s="120"/>
      <c r="BE34" s="127"/>
      <c r="BF34" s="127"/>
      <c r="BG34"/>
      <c r="BH34" s="119"/>
      <c r="BI34" s="144"/>
      <c r="BJ34" s="142"/>
      <c r="BK34" s="119"/>
      <c r="BL34" s="120"/>
      <c r="BM34" s="127"/>
      <c r="BN34" s="127"/>
      <c r="BO34"/>
      <c r="BP34" s="119"/>
      <c r="BQ34" s="144"/>
      <c r="BR34" s="142"/>
      <c r="BS34" s="119"/>
      <c r="BT34" s="120"/>
      <c r="BU34" s="127"/>
      <c r="BV34" s="127"/>
      <c r="BW34"/>
      <c r="BX34" s="119"/>
      <c r="BY34" s="144"/>
      <c r="BZ34" s="142"/>
      <c r="CA34" s="119"/>
      <c r="CB34" s="120"/>
      <c r="CC34" s="127"/>
      <c r="CD34" s="127"/>
      <c r="CE34"/>
      <c r="CF34" s="119"/>
      <c r="CG34" s="144"/>
      <c r="CH34" s="142"/>
      <c r="CI34" s="119"/>
      <c r="CJ34" s="120"/>
      <c r="CK34" s="127"/>
      <c r="CL34" s="127"/>
      <c r="CN34" s="119"/>
      <c r="CO34" s="144"/>
      <c r="CP34" s="142"/>
      <c r="CQ34" s="119"/>
      <c r="CR34" s="120"/>
      <c r="CS34" s="127"/>
      <c r="CT34" s="127"/>
      <c r="CV34" s="119"/>
      <c r="CW34" s="144"/>
      <c r="CX34" s="142"/>
      <c r="CY34" s="119"/>
      <c r="CZ34" s="120"/>
      <c r="DA34" s="127"/>
      <c r="DB34" s="127"/>
      <c r="DD34" s="119"/>
      <c r="DE34" s="144"/>
      <c r="DF34" s="142"/>
      <c r="DG34" s="119"/>
      <c r="DH34" s="120"/>
      <c r="DI34" s="127"/>
      <c r="DJ34" s="127"/>
    </row>
    <row r="35" spans="1:114" x14ac:dyDescent="0.25">
      <c r="A35" s="122" t="str">
        <f>IF(Listes!A33="","",Listes!A33)</f>
        <v/>
      </c>
      <c r="B3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5" s="119"/>
      <c r="E35" s="144"/>
      <c r="F35" s="142"/>
      <c r="G35" s="119"/>
      <c r="H35" s="120"/>
      <c r="I35" s="127"/>
      <c r="J35" s="127"/>
      <c r="L35" s="119"/>
      <c r="M35" s="144"/>
      <c r="N35" s="142"/>
      <c r="O35" s="119"/>
      <c r="P35" s="120"/>
      <c r="Q35" s="127"/>
      <c r="R35" s="127"/>
      <c r="S35"/>
      <c r="T35" s="119"/>
      <c r="U35" s="144"/>
      <c r="V35" s="142"/>
      <c r="W35" s="119"/>
      <c r="X35" s="120"/>
      <c r="Y35" s="127"/>
      <c r="Z35" s="127"/>
      <c r="AA35"/>
      <c r="AB35" s="119"/>
      <c r="AC35" s="144"/>
      <c r="AD35" s="142"/>
      <c r="AE35" s="119"/>
      <c r="AF35" s="120"/>
      <c r="AG35" s="127"/>
      <c r="AH35" s="127"/>
      <c r="AI35"/>
      <c r="AJ35" s="119"/>
      <c r="AK35" s="144"/>
      <c r="AL35" s="142"/>
      <c r="AM35" s="119"/>
      <c r="AN35" s="120"/>
      <c r="AO35" s="127"/>
      <c r="AP35" s="127"/>
      <c r="AQ35"/>
      <c r="AR35" s="119"/>
      <c r="AS35" s="144"/>
      <c r="AT35" s="142"/>
      <c r="AU35" s="119"/>
      <c r="AV35" s="120"/>
      <c r="AW35" s="127"/>
      <c r="AX35" s="127"/>
      <c r="AY35"/>
      <c r="AZ35" s="119"/>
      <c r="BA35" s="144"/>
      <c r="BB35" s="142"/>
      <c r="BC35" s="119"/>
      <c r="BD35" s="120"/>
      <c r="BE35" s="127"/>
      <c r="BF35" s="127"/>
      <c r="BG35"/>
      <c r="BH35" s="119"/>
      <c r="BI35" s="144"/>
      <c r="BJ35" s="142"/>
      <c r="BK35" s="119"/>
      <c r="BL35" s="120"/>
      <c r="BM35" s="127"/>
      <c r="BN35" s="127"/>
      <c r="BO35"/>
      <c r="BP35" s="119"/>
      <c r="BQ35" s="144"/>
      <c r="BR35" s="142"/>
      <c r="BS35" s="119"/>
      <c r="BT35" s="120"/>
      <c r="BU35" s="127"/>
      <c r="BV35" s="127"/>
      <c r="BW35"/>
      <c r="BX35" s="119"/>
      <c r="BY35" s="144"/>
      <c r="BZ35" s="142"/>
      <c r="CA35" s="119"/>
      <c r="CB35" s="120"/>
      <c r="CC35" s="127"/>
      <c r="CD35" s="127"/>
      <c r="CE35"/>
      <c r="CF35" s="119"/>
      <c r="CG35" s="144"/>
      <c r="CH35" s="142"/>
      <c r="CI35" s="119"/>
      <c r="CJ35" s="120"/>
      <c r="CK35" s="127"/>
      <c r="CL35" s="127"/>
      <c r="CN35" s="119"/>
      <c r="CO35" s="144"/>
      <c r="CP35" s="142"/>
      <c r="CQ35" s="119"/>
      <c r="CR35" s="120"/>
      <c r="CS35" s="127"/>
      <c r="CT35" s="127"/>
      <c r="CV35" s="119"/>
      <c r="CW35" s="144"/>
      <c r="CX35" s="142"/>
      <c r="CY35" s="119"/>
      <c r="CZ35" s="120"/>
      <c r="DA35" s="127"/>
      <c r="DB35" s="127"/>
      <c r="DD35" s="119"/>
      <c r="DE35" s="144"/>
      <c r="DF35" s="142"/>
      <c r="DG35" s="119"/>
      <c r="DH35" s="120"/>
      <c r="DI35" s="127"/>
      <c r="DJ35" s="127"/>
    </row>
    <row r="36" spans="1:114" x14ac:dyDescent="0.25">
      <c r="A36" s="122" t="str">
        <f>IF(Listes!A34="","",Listes!A34)</f>
        <v/>
      </c>
      <c r="B3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6" s="119"/>
      <c r="E36" s="144"/>
      <c r="F36" s="142"/>
      <c r="G36" s="119"/>
      <c r="H36" s="120"/>
      <c r="I36" s="127"/>
      <c r="J36" s="127"/>
      <c r="L36" s="119"/>
      <c r="M36" s="144"/>
      <c r="N36" s="142"/>
      <c r="O36" s="119"/>
      <c r="P36" s="120"/>
      <c r="Q36" s="127"/>
      <c r="R36" s="127"/>
      <c r="S36"/>
      <c r="T36" s="119"/>
      <c r="U36" s="144"/>
      <c r="V36" s="142"/>
      <c r="W36" s="119"/>
      <c r="X36" s="120"/>
      <c r="Y36" s="127"/>
      <c r="Z36" s="127"/>
      <c r="AA36"/>
      <c r="AB36" s="119"/>
      <c r="AC36" s="144"/>
      <c r="AD36" s="142"/>
      <c r="AE36" s="119"/>
      <c r="AF36" s="120"/>
      <c r="AG36" s="127"/>
      <c r="AH36" s="127"/>
      <c r="AI36"/>
      <c r="AJ36" s="119"/>
      <c r="AK36" s="144"/>
      <c r="AL36" s="142"/>
      <c r="AM36" s="119"/>
      <c r="AN36" s="120"/>
      <c r="AO36" s="127"/>
      <c r="AP36" s="127"/>
      <c r="AQ36"/>
      <c r="AR36" s="119"/>
      <c r="AS36" s="144"/>
      <c r="AT36" s="142"/>
      <c r="AU36" s="119"/>
      <c r="AV36" s="120"/>
      <c r="AW36" s="127"/>
      <c r="AX36" s="127"/>
      <c r="AY36"/>
      <c r="AZ36" s="119"/>
      <c r="BA36" s="144"/>
      <c r="BB36" s="142"/>
      <c r="BC36" s="119"/>
      <c r="BD36" s="120"/>
      <c r="BE36" s="127"/>
      <c r="BF36" s="127"/>
      <c r="BG36"/>
      <c r="BH36" s="119"/>
      <c r="BI36" s="144"/>
      <c r="BJ36" s="142"/>
      <c r="BK36" s="119"/>
      <c r="BL36" s="120"/>
      <c r="BM36" s="127"/>
      <c r="BN36" s="127"/>
      <c r="BO36"/>
      <c r="BP36" s="119"/>
      <c r="BQ36" s="144"/>
      <c r="BR36" s="142"/>
      <c r="BS36" s="119"/>
      <c r="BT36" s="120"/>
      <c r="BU36" s="127"/>
      <c r="BV36" s="127"/>
      <c r="BW36"/>
      <c r="BX36" s="119"/>
      <c r="BY36" s="144"/>
      <c r="BZ36" s="142"/>
      <c r="CA36" s="119"/>
      <c r="CB36" s="120"/>
      <c r="CC36" s="127"/>
      <c r="CD36" s="127"/>
      <c r="CE36"/>
      <c r="CF36" s="119"/>
      <c r="CG36" s="144"/>
      <c r="CH36" s="142"/>
      <c r="CI36" s="119"/>
      <c r="CJ36" s="120"/>
      <c r="CK36" s="127"/>
      <c r="CL36" s="127"/>
      <c r="CN36" s="119"/>
      <c r="CO36" s="144"/>
      <c r="CP36" s="142"/>
      <c r="CQ36" s="119"/>
      <c r="CR36" s="120"/>
      <c r="CS36" s="127"/>
      <c r="CT36" s="127"/>
      <c r="CV36" s="119"/>
      <c r="CW36" s="144"/>
      <c r="CX36" s="142"/>
      <c r="CY36" s="119"/>
      <c r="CZ36" s="120"/>
      <c r="DA36" s="127"/>
      <c r="DB36" s="127"/>
      <c r="DD36" s="119"/>
      <c r="DE36" s="144"/>
      <c r="DF36" s="142"/>
      <c r="DG36" s="119"/>
      <c r="DH36" s="120"/>
      <c r="DI36" s="127"/>
      <c r="DJ36" s="127"/>
    </row>
    <row r="37" spans="1:114" x14ac:dyDescent="0.25">
      <c r="A37" s="122" t="str">
        <f>IF(Listes!A35="","",Listes!A35)</f>
        <v/>
      </c>
      <c r="B3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7" s="119"/>
      <c r="E37" s="144"/>
      <c r="F37" s="142"/>
      <c r="G37" s="119"/>
      <c r="H37" s="120"/>
      <c r="I37" s="127"/>
      <c r="J37" s="127"/>
      <c r="L37" s="119"/>
      <c r="M37" s="144"/>
      <c r="N37" s="142"/>
      <c r="O37" s="119"/>
      <c r="P37" s="120"/>
      <c r="Q37" s="127"/>
      <c r="R37" s="127"/>
      <c r="S37"/>
      <c r="T37" s="119"/>
      <c r="U37" s="144"/>
      <c r="V37" s="142"/>
      <c r="W37" s="119"/>
      <c r="X37" s="120"/>
      <c r="Y37" s="127"/>
      <c r="Z37" s="127"/>
      <c r="AA37"/>
      <c r="AB37" s="119"/>
      <c r="AC37" s="144"/>
      <c r="AD37" s="142"/>
      <c r="AE37" s="119"/>
      <c r="AF37" s="120"/>
      <c r="AG37" s="127"/>
      <c r="AH37" s="127"/>
      <c r="AI37"/>
      <c r="AJ37" s="119"/>
      <c r="AK37" s="144"/>
      <c r="AL37" s="142"/>
      <c r="AM37" s="119"/>
      <c r="AN37" s="120"/>
      <c r="AO37" s="127"/>
      <c r="AP37" s="127"/>
      <c r="AQ37"/>
      <c r="AR37" s="119"/>
      <c r="AS37" s="144"/>
      <c r="AT37" s="142"/>
      <c r="AU37" s="119"/>
      <c r="AV37" s="120"/>
      <c r="AW37" s="127"/>
      <c r="AX37" s="127"/>
      <c r="AY37"/>
      <c r="AZ37" s="119"/>
      <c r="BA37" s="144"/>
      <c r="BB37" s="142"/>
      <c r="BC37" s="119"/>
      <c r="BD37" s="120"/>
      <c r="BE37" s="127"/>
      <c r="BF37" s="127"/>
      <c r="BG37"/>
      <c r="BH37" s="119"/>
      <c r="BI37" s="144"/>
      <c r="BJ37" s="142"/>
      <c r="BK37" s="119"/>
      <c r="BL37" s="120"/>
      <c r="BM37" s="127"/>
      <c r="BN37" s="127"/>
      <c r="BO37"/>
      <c r="BP37" s="119"/>
      <c r="BQ37" s="144"/>
      <c r="BR37" s="142"/>
      <c r="BS37" s="119"/>
      <c r="BT37" s="120"/>
      <c r="BU37" s="127"/>
      <c r="BV37" s="127"/>
      <c r="BW37"/>
      <c r="BX37" s="119"/>
      <c r="BY37" s="144"/>
      <c r="BZ37" s="142"/>
      <c r="CA37" s="119"/>
      <c r="CB37" s="120"/>
      <c r="CC37" s="127"/>
      <c r="CD37" s="127"/>
      <c r="CE37"/>
      <c r="CF37" s="119"/>
      <c r="CG37" s="144"/>
      <c r="CH37" s="142"/>
      <c r="CI37" s="119"/>
      <c r="CJ37" s="120"/>
      <c r="CK37" s="127"/>
      <c r="CL37" s="127"/>
      <c r="CN37" s="119"/>
      <c r="CO37" s="144"/>
      <c r="CP37" s="142"/>
      <c r="CQ37" s="119"/>
      <c r="CR37" s="120"/>
      <c r="CS37" s="127"/>
      <c r="CT37" s="127"/>
      <c r="CV37" s="119"/>
      <c r="CW37" s="144"/>
      <c r="CX37" s="142"/>
      <c r="CY37" s="119"/>
      <c r="CZ37" s="120"/>
      <c r="DA37" s="127"/>
      <c r="DB37" s="127"/>
      <c r="DD37" s="119"/>
      <c r="DE37" s="144"/>
      <c r="DF37" s="142"/>
      <c r="DG37" s="119"/>
      <c r="DH37" s="120"/>
      <c r="DI37" s="127"/>
      <c r="DJ37" s="127"/>
    </row>
    <row r="38" spans="1:114" x14ac:dyDescent="0.25">
      <c r="A38" s="122" t="str">
        <f>IF(Listes!A36="","",Listes!A36)</f>
        <v/>
      </c>
      <c r="B3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8" s="119"/>
      <c r="E38" s="144"/>
      <c r="F38" s="142"/>
      <c r="G38" s="119"/>
      <c r="H38" s="120"/>
      <c r="I38" s="127"/>
      <c r="J38" s="127"/>
      <c r="L38" s="119"/>
      <c r="M38" s="144"/>
      <c r="N38" s="142"/>
      <c r="O38" s="119"/>
      <c r="P38" s="120"/>
      <c r="Q38" s="127"/>
      <c r="R38" s="127"/>
      <c r="S38"/>
      <c r="T38" s="119"/>
      <c r="U38" s="144"/>
      <c r="V38" s="142"/>
      <c r="W38" s="119"/>
      <c r="X38" s="120"/>
      <c r="Y38" s="127"/>
      <c r="Z38" s="127"/>
      <c r="AA38"/>
      <c r="AB38" s="119"/>
      <c r="AC38" s="144"/>
      <c r="AD38" s="142"/>
      <c r="AE38" s="119"/>
      <c r="AF38" s="120"/>
      <c r="AG38" s="127"/>
      <c r="AH38" s="127"/>
      <c r="AI38"/>
      <c r="AJ38" s="119"/>
      <c r="AK38" s="144"/>
      <c r="AL38" s="142"/>
      <c r="AM38" s="119"/>
      <c r="AN38" s="120"/>
      <c r="AO38" s="127"/>
      <c r="AP38" s="127"/>
      <c r="AQ38"/>
      <c r="AR38" s="119"/>
      <c r="AS38" s="144"/>
      <c r="AT38" s="142"/>
      <c r="AU38" s="119"/>
      <c r="AV38" s="120"/>
      <c r="AW38" s="127"/>
      <c r="AX38" s="127"/>
      <c r="AY38"/>
      <c r="AZ38" s="119"/>
      <c r="BA38" s="144"/>
      <c r="BB38" s="142"/>
      <c r="BC38" s="119"/>
      <c r="BD38" s="120"/>
      <c r="BE38" s="127"/>
      <c r="BF38" s="127"/>
      <c r="BG38"/>
      <c r="BH38" s="119"/>
      <c r="BI38" s="144"/>
      <c r="BJ38" s="142"/>
      <c r="BK38" s="119"/>
      <c r="BL38" s="120"/>
      <c r="BM38" s="127"/>
      <c r="BN38" s="127"/>
      <c r="BO38"/>
      <c r="BP38" s="119"/>
      <c r="BQ38" s="144"/>
      <c r="BR38" s="142"/>
      <c r="BS38" s="119"/>
      <c r="BT38" s="120"/>
      <c r="BU38" s="127"/>
      <c r="BV38" s="127"/>
      <c r="BW38"/>
      <c r="BX38" s="119"/>
      <c r="BY38" s="144"/>
      <c r="BZ38" s="142"/>
      <c r="CA38" s="119"/>
      <c r="CB38" s="120"/>
      <c r="CC38" s="127"/>
      <c r="CD38" s="127"/>
      <c r="CE38"/>
      <c r="CF38" s="119"/>
      <c r="CG38" s="144"/>
      <c r="CH38" s="142"/>
      <c r="CI38" s="119"/>
      <c r="CJ38" s="120"/>
      <c r="CK38" s="127"/>
      <c r="CL38" s="127"/>
      <c r="CN38" s="119"/>
      <c r="CO38" s="144"/>
      <c r="CP38" s="142"/>
      <c r="CQ38" s="119"/>
      <c r="CR38" s="120"/>
      <c r="CS38" s="127"/>
      <c r="CT38" s="127"/>
      <c r="CV38" s="119"/>
      <c r="CW38" s="144"/>
      <c r="CX38" s="142"/>
      <c r="CY38" s="119"/>
      <c r="CZ38" s="120"/>
      <c r="DA38" s="127"/>
      <c r="DB38" s="127"/>
      <c r="DD38" s="119"/>
      <c r="DE38" s="144"/>
      <c r="DF38" s="142"/>
      <c r="DG38" s="119"/>
      <c r="DH38" s="120"/>
      <c r="DI38" s="127"/>
      <c r="DJ38" s="127"/>
    </row>
    <row r="39" spans="1:114" x14ac:dyDescent="0.25">
      <c r="A39" s="123" t="str">
        <f>IF(Listes!A37="","",Listes!A37)</f>
        <v/>
      </c>
      <c r="B3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39" s="119"/>
      <c r="E39" s="144"/>
      <c r="F39" s="142"/>
      <c r="G39" s="119"/>
      <c r="H39" s="120"/>
      <c r="I39" s="127"/>
      <c r="J39" s="127"/>
      <c r="L39" s="119"/>
      <c r="M39" s="144"/>
      <c r="N39" s="142"/>
      <c r="O39" s="119"/>
      <c r="P39" s="120"/>
      <c r="Q39" s="127"/>
      <c r="R39" s="127"/>
      <c r="S39"/>
      <c r="T39" s="119"/>
      <c r="U39" s="144"/>
      <c r="V39" s="142"/>
      <c r="W39" s="119"/>
      <c r="X39" s="120"/>
      <c r="Y39" s="127"/>
      <c r="Z39" s="127"/>
      <c r="AA39"/>
      <c r="AB39" s="119"/>
      <c r="AC39" s="144"/>
      <c r="AD39" s="142"/>
      <c r="AE39" s="119"/>
      <c r="AF39" s="120"/>
      <c r="AG39" s="127"/>
      <c r="AH39" s="127"/>
      <c r="AI39"/>
      <c r="AJ39" s="119"/>
      <c r="AK39" s="144"/>
      <c r="AL39" s="142"/>
      <c r="AM39" s="119"/>
      <c r="AN39" s="120"/>
      <c r="AO39" s="127"/>
      <c r="AP39" s="127"/>
      <c r="AQ39"/>
      <c r="AR39" s="119"/>
      <c r="AS39" s="144"/>
      <c r="AT39" s="142"/>
      <c r="AU39" s="119"/>
      <c r="AV39" s="120"/>
      <c r="AW39" s="127"/>
      <c r="AX39" s="127"/>
      <c r="AY39"/>
      <c r="AZ39" s="119"/>
      <c r="BA39" s="144"/>
      <c r="BB39" s="142"/>
      <c r="BC39" s="119"/>
      <c r="BD39" s="120"/>
      <c r="BE39" s="127"/>
      <c r="BF39" s="127"/>
      <c r="BG39"/>
      <c r="BH39" s="119"/>
      <c r="BI39" s="144"/>
      <c r="BJ39" s="142"/>
      <c r="BK39" s="119"/>
      <c r="BL39" s="120"/>
      <c r="BM39" s="127"/>
      <c r="BN39" s="127"/>
      <c r="BO39"/>
      <c r="BP39" s="119"/>
      <c r="BQ39" s="144"/>
      <c r="BR39" s="142"/>
      <c r="BS39" s="119"/>
      <c r="BT39" s="120"/>
      <c r="BU39" s="127"/>
      <c r="BV39" s="127"/>
      <c r="BW39"/>
      <c r="BX39" s="119"/>
      <c r="BY39" s="144"/>
      <c r="BZ39" s="142"/>
      <c r="CA39" s="119"/>
      <c r="CB39" s="120"/>
      <c r="CC39" s="127"/>
      <c r="CD39" s="127"/>
      <c r="CE39"/>
      <c r="CF39" s="119"/>
      <c r="CG39" s="144"/>
      <c r="CH39" s="142"/>
      <c r="CI39" s="119"/>
      <c r="CJ39" s="120"/>
      <c r="CK39" s="127"/>
      <c r="CL39" s="127"/>
      <c r="CN39" s="119"/>
      <c r="CO39" s="144"/>
      <c r="CP39" s="142"/>
      <c r="CQ39" s="119"/>
      <c r="CR39" s="120"/>
      <c r="CS39" s="127"/>
      <c r="CT39" s="127"/>
      <c r="CV39" s="119"/>
      <c r="CW39" s="144"/>
      <c r="CX39" s="142"/>
      <c r="CY39" s="119"/>
      <c r="CZ39" s="120"/>
      <c r="DA39" s="127"/>
      <c r="DB39" s="127"/>
      <c r="DD39" s="119"/>
      <c r="DE39" s="144"/>
      <c r="DF39" s="142"/>
      <c r="DG39" s="119"/>
      <c r="DH39" s="120"/>
      <c r="DI39" s="127"/>
      <c r="DJ39" s="127"/>
    </row>
    <row r="40" spans="1:114" x14ac:dyDescent="0.25">
      <c r="A40" s="123" t="str">
        <f>IF(Listes!A38="","",Listes!A38)</f>
        <v/>
      </c>
      <c r="B4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0" s="119"/>
      <c r="E40" s="144"/>
      <c r="F40" s="142"/>
      <c r="G40" s="119"/>
      <c r="H40" s="120"/>
      <c r="I40" s="127"/>
      <c r="J40" s="127"/>
      <c r="L40" s="119"/>
      <c r="M40" s="144"/>
      <c r="N40" s="142"/>
      <c r="O40" s="119"/>
      <c r="P40" s="120"/>
      <c r="Q40" s="127"/>
      <c r="R40" s="127"/>
      <c r="S40"/>
      <c r="T40" s="119"/>
      <c r="U40" s="144"/>
      <c r="V40" s="142"/>
      <c r="W40" s="119"/>
      <c r="X40" s="120"/>
      <c r="Y40" s="127"/>
      <c r="Z40" s="127"/>
      <c r="AA40"/>
      <c r="AB40" s="119"/>
      <c r="AC40" s="144"/>
      <c r="AD40" s="142"/>
      <c r="AE40" s="119"/>
      <c r="AF40" s="120"/>
      <c r="AG40" s="127"/>
      <c r="AH40" s="127"/>
      <c r="AI40"/>
      <c r="AJ40" s="119"/>
      <c r="AK40" s="144"/>
      <c r="AL40" s="142"/>
      <c r="AM40" s="119"/>
      <c r="AN40" s="120"/>
      <c r="AO40" s="127"/>
      <c r="AP40" s="127"/>
      <c r="AQ40"/>
      <c r="AR40" s="119"/>
      <c r="AS40" s="144"/>
      <c r="AT40" s="142"/>
      <c r="AU40" s="119"/>
      <c r="AV40" s="120"/>
      <c r="AW40" s="127"/>
      <c r="AX40" s="127"/>
      <c r="AY40"/>
      <c r="AZ40" s="119"/>
      <c r="BA40" s="144"/>
      <c r="BB40" s="142"/>
      <c r="BC40" s="119"/>
      <c r="BD40" s="120"/>
      <c r="BE40" s="127"/>
      <c r="BF40" s="127"/>
      <c r="BG40"/>
      <c r="BH40" s="119"/>
      <c r="BI40" s="144"/>
      <c r="BJ40" s="142"/>
      <c r="BK40" s="119"/>
      <c r="BL40" s="120"/>
      <c r="BM40" s="127"/>
      <c r="BN40" s="127"/>
      <c r="BO40"/>
      <c r="BP40" s="119"/>
      <c r="BQ40" s="144"/>
      <c r="BR40" s="142"/>
      <c r="BS40" s="119"/>
      <c r="BT40" s="120"/>
      <c r="BU40" s="127"/>
      <c r="BV40" s="127"/>
      <c r="BW40"/>
      <c r="BX40" s="119"/>
      <c r="BY40" s="144"/>
      <c r="BZ40" s="142"/>
      <c r="CA40" s="119"/>
      <c r="CB40" s="120"/>
      <c r="CC40" s="127"/>
      <c r="CD40" s="127"/>
      <c r="CE40"/>
      <c r="CF40" s="119"/>
      <c r="CG40" s="144"/>
      <c r="CH40" s="142"/>
      <c r="CI40" s="119"/>
      <c r="CJ40" s="120"/>
      <c r="CK40" s="127"/>
      <c r="CL40" s="127"/>
      <c r="CN40" s="119"/>
      <c r="CO40" s="144"/>
      <c r="CP40" s="142"/>
      <c r="CQ40" s="119"/>
      <c r="CR40" s="120"/>
      <c r="CS40" s="127"/>
      <c r="CT40" s="127"/>
      <c r="CV40" s="119"/>
      <c r="CW40" s="144"/>
      <c r="CX40" s="142"/>
      <c r="CY40" s="119"/>
      <c r="CZ40" s="120"/>
      <c r="DA40" s="127"/>
      <c r="DB40" s="127"/>
      <c r="DD40" s="119"/>
      <c r="DE40" s="144"/>
      <c r="DF40" s="142"/>
      <c r="DG40" s="119"/>
      <c r="DH40" s="120"/>
      <c r="DI40" s="127"/>
      <c r="DJ40" s="127"/>
    </row>
    <row r="41" spans="1:114" x14ac:dyDescent="0.25">
      <c r="A41" s="123" t="str">
        <f>IF(Listes!A39="","",Listes!A39)</f>
        <v/>
      </c>
      <c r="B41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1" s="119"/>
      <c r="E41" s="144"/>
      <c r="F41" s="142"/>
      <c r="G41" s="119"/>
      <c r="H41" s="120"/>
      <c r="I41" s="127"/>
      <c r="J41" s="127"/>
      <c r="L41" s="119"/>
      <c r="M41" s="144"/>
      <c r="N41" s="142"/>
      <c r="O41" s="119"/>
      <c r="P41" s="120"/>
      <c r="Q41" s="127"/>
      <c r="R41" s="127"/>
      <c r="S41"/>
      <c r="T41" s="119"/>
      <c r="U41" s="144"/>
      <c r="V41" s="142"/>
      <c r="W41" s="119"/>
      <c r="X41" s="120"/>
      <c r="Y41" s="127"/>
      <c r="Z41" s="127"/>
      <c r="AA41"/>
      <c r="AB41" s="119"/>
      <c r="AC41" s="144"/>
      <c r="AD41" s="142"/>
      <c r="AE41" s="119"/>
      <c r="AF41" s="120"/>
      <c r="AG41" s="127"/>
      <c r="AH41" s="127"/>
      <c r="AI41"/>
      <c r="AJ41" s="119"/>
      <c r="AK41" s="144"/>
      <c r="AL41" s="142"/>
      <c r="AM41" s="119"/>
      <c r="AN41" s="120"/>
      <c r="AO41" s="127"/>
      <c r="AP41" s="127"/>
      <c r="AQ41"/>
      <c r="AR41" s="119"/>
      <c r="AS41" s="144"/>
      <c r="AT41" s="142"/>
      <c r="AU41" s="119"/>
      <c r="AV41" s="120"/>
      <c r="AW41" s="127"/>
      <c r="AX41" s="127"/>
      <c r="AY41"/>
      <c r="AZ41" s="119"/>
      <c r="BA41" s="144"/>
      <c r="BB41" s="142"/>
      <c r="BC41" s="119"/>
      <c r="BD41" s="120"/>
      <c r="BE41" s="127"/>
      <c r="BF41" s="127"/>
      <c r="BG41"/>
      <c r="BH41" s="119"/>
      <c r="BI41" s="144"/>
      <c r="BJ41" s="142"/>
      <c r="BK41" s="119"/>
      <c r="BL41" s="120"/>
      <c r="BM41" s="127"/>
      <c r="BN41" s="127"/>
      <c r="BO41"/>
      <c r="BP41" s="119"/>
      <c r="BQ41" s="144"/>
      <c r="BR41" s="142"/>
      <c r="BS41" s="119"/>
      <c r="BT41" s="120"/>
      <c r="BU41" s="127"/>
      <c r="BV41" s="127"/>
      <c r="BW41"/>
      <c r="BX41" s="119"/>
      <c r="BY41" s="144"/>
      <c r="BZ41" s="142"/>
      <c r="CA41" s="119"/>
      <c r="CB41" s="120"/>
      <c r="CC41" s="127"/>
      <c r="CD41" s="127"/>
      <c r="CE41"/>
      <c r="CF41" s="119"/>
      <c r="CG41" s="144"/>
      <c r="CH41" s="142"/>
      <c r="CI41" s="119"/>
      <c r="CJ41" s="120"/>
      <c r="CK41" s="127"/>
      <c r="CL41" s="127"/>
      <c r="CN41" s="119"/>
      <c r="CO41" s="144"/>
      <c r="CP41" s="142"/>
      <c r="CQ41" s="119"/>
      <c r="CR41" s="120"/>
      <c r="CS41" s="127"/>
      <c r="CT41" s="127"/>
      <c r="CV41" s="119"/>
      <c r="CW41" s="144"/>
      <c r="CX41" s="142"/>
      <c r="CY41" s="119"/>
      <c r="CZ41" s="120"/>
      <c r="DA41" s="127"/>
      <c r="DB41" s="127"/>
      <c r="DD41" s="119"/>
      <c r="DE41" s="144"/>
      <c r="DF41" s="142"/>
      <c r="DG41" s="119"/>
      <c r="DH41" s="120"/>
      <c r="DI41" s="127"/>
      <c r="DJ41" s="127"/>
    </row>
    <row r="42" spans="1:114" x14ac:dyDescent="0.25">
      <c r="A42" s="123" t="str">
        <f>IF(Listes!A40="","",Listes!A40)</f>
        <v/>
      </c>
      <c r="B42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2" s="119"/>
      <c r="E42" s="144"/>
      <c r="F42" s="142"/>
      <c r="G42" s="119"/>
      <c r="H42" s="120"/>
      <c r="I42" s="127"/>
      <c r="J42" s="127"/>
      <c r="L42" s="119"/>
      <c r="M42" s="144"/>
      <c r="N42" s="142"/>
      <c r="O42" s="119"/>
      <c r="P42" s="120"/>
      <c r="Q42" s="127"/>
      <c r="R42" s="127"/>
      <c r="S42"/>
      <c r="T42" s="119"/>
      <c r="U42" s="144"/>
      <c r="V42" s="142"/>
      <c r="W42" s="119"/>
      <c r="X42" s="120"/>
      <c r="Y42" s="127"/>
      <c r="Z42" s="127"/>
      <c r="AA42"/>
      <c r="AB42" s="119"/>
      <c r="AC42" s="144"/>
      <c r="AD42" s="142"/>
      <c r="AE42" s="119"/>
      <c r="AF42" s="120"/>
      <c r="AG42" s="127"/>
      <c r="AH42" s="127"/>
      <c r="AI42"/>
      <c r="AJ42" s="119"/>
      <c r="AK42" s="144"/>
      <c r="AL42" s="142"/>
      <c r="AM42" s="119"/>
      <c r="AN42" s="120"/>
      <c r="AO42" s="127"/>
      <c r="AP42" s="127"/>
      <c r="AQ42"/>
      <c r="AR42" s="119"/>
      <c r="AS42" s="144"/>
      <c r="AT42" s="142"/>
      <c r="AU42" s="119"/>
      <c r="AV42" s="120"/>
      <c r="AW42" s="127"/>
      <c r="AX42" s="127"/>
      <c r="AY42"/>
      <c r="AZ42" s="119"/>
      <c r="BA42" s="144"/>
      <c r="BB42" s="142"/>
      <c r="BC42" s="119"/>
      <c r="BD42" s="120"/>
      <c r="BE42" s="127"/>
      <c r="BF42" s="127"/>
      <c r="BG42"/>
      <c r="BH42" s="119"/>
      <c r="BI42" s="144"/>
      <c r="BJ42" s="142"/>
      <c r="BK42" s="119"/>
      <c r="BL42" s="120"/>
      <c r="BM42" s="127"/>
      <c r="BN42" s="127"/>
      <c r="BO42"/>
      <c r="BP42" s="119"/>
      <c r="BQ42" s="144"/>
      <c r="BR42" s="142"/>
      <c r="BS42" s="119"/>
      <c r="BT42" s="120"/>
      <c r="BU42" s="127"/>
      <c r="BV42" s="127"/>
      <c r="BW42"/>
      <c r="BX42" s="119"/>
      <c r="BY42" s="144"/>
      <c r="BZ42" s="142"/>
      <c r="CA42" s="119"/>
      <c r="CB42" s="120"/>
      <c r="CC42" s="127"/>
      <c r="CD42" s="127"/>
      <c r="CE42"/>
      <c r="CF42" s="119"/>
      <c r="CG42" s="144"/>
      <c r="CH42" s="142"/>
      <c r="CI42" s="119"/>
      <c r="CJ42" s="120"/>
      <c r="CK42" s="127"/>
      <c r="CL42" s="127"/>
      <c r="CN42" s="119"/>
      <c r="CO42" s="144"/>
      <c r="CP42" s="142"/>
      <c r="CQ42" s="119"/>
      <c r="CR42" s="120"/>
      <c r="CS42" s="127"/>
      <c r="CT42" s="127"/>
      <c r="CV42" s="119"/>
      <c r="CW42" s="144"/>
      <c r="CX42" s="142"/>
      <c r="CY42" s="119"/>
      <c r="CZ42" s="120"/>
      <c r="DA42" s="127"/>
      <c r="DB42" s="127"/>
      <c r="DD42" s="119"/>
      <c r="DE42" s="144"/>
      <c r="DF42" s="142"/>
      <c r="DG42" s="119"/>
      <c r="DH42" s="120"/>
      <c r="DI42" s="127"/>
      <c r="DJ42" s="127"/>
    </row>
    <row r="43" spans="1:114" x14ac:dyDescent="0.25">
      <c r="A43" s="123" t="str">
        <f>IF(Listes!A41="","",Listes!A41)</f>
        <v/>
      </c>
      <c r="B4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3" s="119"/>
      <c r="E43" s="144"/>
      <c r="F43" s="142"/>
      <c r="G43" s="119"/>
      <c r="H43" s="120"/>
      <c r="I43" s="127"/>
      <c r="J43" s="127"/>
      <c r="L43" s="119"/>
      <c r="M43" s="144"/>
      <c r="N43" s="142"/>
      <c r="O43" s="119"/>
      <c r="P43" s="120"/>
      <c r="Q43" s="127"/>
      <c r="R43" s="127"/>
      <c r="S43"/>
      <c r="T43" s="119"/>
      <c r="U43" s="144"/>
      <c r="V43" s="142"/>
      <c r="W43" s="119"/>
      <c r="X43" s="120"/>
      <c r="Y43" s="127"/>
      <c r="Z43" s="127"/>
      <c r="AA43"/>
      <c r="AB43" s="119"/>
      <c r="AC43" s="144"/>
      <c r="AD43" s="142"/>
      <c r="AE43" s="119"/>
      <c r="AF43" s="120"/>
      <c r="AG43" s="127"/>
      <c r="AH43" s="127"/>
      <c r="AI43"/>
      <c r="AJ43" s="119"/>
      <c r="AK43" s="144"/>
      <c r="AL43" s="142"/>
      <c r="AM43" s="119"/>
      <c r="AN43" s="120"/>
      <c r="AO43" s="127"/>
      <c r="AP43" s="127"/>
      <c r="AQ43"/>
      <c r="AR43" s="119"/>
      <c r="AS43" s="144"/>
      <c r="AT43" s="142"/>
      <c r="AU43" s="119"/>
      <c r="AV43" s="120"/>
      <c r="AW43" s="127"/>
      <c r="AX43" s="127"/>
      <c r="AY43"/>
      <c r="AZ43" s="119"/>
      <c r="BA43" s="144"/>
      <c r="BB43" s="142"/>
      <c r="BC43" s="119"/>
      <c r="BD43" s="120"/>
      <c r="BE43" s="127"/>
      <c r="BF43" s="127"/>
      <c r="BG43"/>
      <c r="BH43" s="119"/>
      <c r="BI43" s="144"/>
      <c r="BJ43" s="142"/>
      <c r="BK43" s="119"/>
      <c r="BL43" s="120"/>
      <c r="BM43" s="127"/>
      <c r="BN43" s="127"/>
      <c r="BO43"/>
      <c r="BP43" s="119"/>
      <c r="BQ43" s="144"/>
      <c r="BR43" s="142"/>
      <c r="BS43" s="119"/>
      <c r="BT43" s="120"/>
      <c r="BU43" s="127"/>
      <c r="BV43" s="127"/>
      <c r="BW43"/>
      <c r="BX43" s="119"/>
      <c r="BY43" s="144"/>
      <c r="BZ43" s="142"/>
      <c r="CA43" s="119"/>
      <c r="CB43" s="120"/>
      <c r="CC43" s="127"/>
      <c r="CD43" s="127"/>
      <c r="CE43"/>
      <c r="CF43" s="119"/>
      <c r="CG43" s="144"/>
      <c r="CH43" s="142"/>
      <c r="CI43" s="119"/>
      <c r="CJ43" s="120"/>
      <c r="CK43" s="127"/>
      <c r="CL43" s="127"/>
      <c r="CN43" s="119"/>
      <c r="CO43" s="144"/>
      <c r="CP43" s="142"/>
      <c r="CQ43" s="119"/>
      <c r="CR43" s="120"/>
      <c r="CS43" s="127"/>
      <c r="CT43" s="127"/>
      <c r="CV43" s="119"/>
      <c r="CW43" s="144"/>
      <c r="CX43" s="142"/>
      <c r="CY43" s="119"/>
      <c r="CZ43" s="120"/>
      <c r="DA43" s="127"/>
      <c r="DB43" s="127"/>
      <c r="DD43" s="119"/>
      <c r="DE43" s="144"/>
      <c r="DF43" s="142"/>
      <c r="DG43" s="119"/>
      <c r="DH43" s="120"/>
      <c r="DI43" s="127"/>
      <c r="DJ43" s="127"/>
    </row>
    <row r="44" spans="1:114" x14ac:dyDescent="0.25">
      <c r="A44" s="123" t="str">
        <f>IF(Listes!A42="","",Listes!A42)</f>
        <v/>
      </c>
      <c r="B4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4" s="119"/>
      <c r="E44" s="144"/>
      <c r="F44" s="142"/>
      <c r="G44" s="119"/>
      <c r="H44" s="120"/>
      <c r="I44" s="127"/>
      <c r="J44" s="127"/>
      <c r="L44" s="119"/>
      <c r="M44" s="144"/>
      <c r="N44" s="142"/>
      <c r="O44" s="119"/>
      <c r="P44" s="120"/>
      <c r="Q44" s="127"/>
      <c r="R44" s="127"/>
      <c r="S44"/>
      <c r="T44" s="119"/>
      <c r="U44" s="144"/>
      <c r="V44" s="142"/>
      <c r="W44" s="119"/>
      <c r="X44" s="120"/>
      <c r="Y44" s="127"/>
      <c r="Z44" s="127"/>
      <c r="AA44"/>
      <c r="AB44" s="119"/>
      <c r="AC44" s="144"/>
      <c r="AD44" s="142"/>
      <c r="AE44" s="119"/>
      <c r="AF44" s="120"/>
      <c r="AG44" s="127"/>
      <c r="AH44" s="127"/>
      <c r="AI44"/>
      <c r="AJ44" s="119"/>
      <c r="AK44" s="144"/>
      <c r="AL44" s="142"/>
      <c r="AM44" s="119"/>
      <c r="AN44" s="120"/>
      <c r="AO44" s="127"/>
      <c r="AP44" s="127"/>
      <c r="AQ44"/>
      <c r="AR44" s="119"/>
      <c r="AS44" s="144"/>
      <c r="AT44" s="142"/>
      <c r="AU44" s="119"/>
      <c r="AV44" s="120"/>
      <c r="AW44" s="127"/>
      <c r="AX44" s="127"/>
      <c r="AY44"/>
      <c r="AZ44" s="119"/>
      <c r="BA44" s="144"/>
      <c r="BB44" s="142"/>
      <c r="BC44" s="119"/>
      <c r="BD44" s="120"/>
      <c r="BE44" s="127"/>
      <c r="BF44" s="127"/>
      <c r="BG44"/>
      <c r="BH44" s="119"/>
      <c r="BI44" s="144"/>
      <c r="BJ44" s="142"/>
      <c r="BK44" s="119"/>
      <c r="BL44" s="120"/>
      <c r="BM44" s="127"/>
      <c r="BN44" s="127"/>
      <c r="BO44"/>
      <c r="BP44" s="119"/>
      <c r="BQ44" s="144"/>
      <c r="BR44" s="142"/>
      <c r="BS44" s="119"/>
      <c r="BT44" s="120"/>
      <c r="BU44" s="127"/>
      <c r="BV44" s="127"/>
      <c r="BW44"/>
      <c r="BX44" s="119"/>
      <c r="BY44" s="144"/>
      <c r="BZ44" s="142"/>
      <c r="CA44" s="119"/>
      <c r="CB44" s="120"/>
      <c r="CC44" s="127"/>
      <c r="CD44" s="127"/>
      <c r="CE44"/>
      <c r="CF44" s="119"/>
      <c r="CG44" s="144"/>
      <c r="CH44" s="142"/>
      <c r="CI44" s="119"/>
      <c r="CJ44" s="120"/>
      <c r="CK44" s="127"/>
      <c r="CL44" s="127"/>
      <c r="CN44" s="119"/>
      <c r="CO44" s="144"/>
      <c r="CP44" s="142"/>
      <c r="CQ44" s="119"/>
      <c r="CR44" s="120"/>
      <c r="CS44" s="127"/>
      <c r="CT44" s="127"/>
      <c r="CV44" s="119"/>
      <c r="CW44" s="144"/>
      <c r="CX44" s="142"/>
      <c r="CY44" s="119"/>
      <c r="CZ44" s="120"/>
      <c r="DA44" s="127"/>
      <c r="DB44" s="127"/>
      <c r="DD44" s="119"/>
      <c r="DE44" s="144"/>
      <c r="DF44" s="142"/>
      <c r="DG44" s="119"/>
      <c r="DH44" s="120"/>
      <c r="DI44" s="127"/>
      <c r="DJ44" s="127"/>
    </row>
    <row r="45" spans="1:114" x14ac:dyDescent="0.25">
      <c r="A45" s="123" t="str">
        <f>IF(Listes!A43="","",Listes!A43)</f>
        <v/>
      </c>
      <c r="B4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5" s="119"/>
      <c r="E45" s="144"/>
      <c r="F45" s="142"/>
      <c r="G45" s="119"/>
      <c r="H45" s="120"/>
      <c r="I45" s="127"/>
      <c r="J45" s="127"/>
      <c r="L45" s="119"/>
      <c r="M45" s="144"/>
      <c r="N45" s="142"/>
      <c r="O45" s="119"/>
      <c r="P45" s="120"/>
      <c r="Q45" s="127"/>
      <c r="R45" s="127"/>
      <c r="S45"/>
      <c r="T45" s="119"/>
      <c r="U45" s="144"/>
      <c r="V45" s="142"/>
      <c r="W45" s="119"/>
      <c r="X45" s="120"/>
      <c r="Y45" s="127"/>
      <c r="Z45" s="127"/>
      <c r="AA45"/>
      <c r="AB45" s="119"/>
      <c r="AC45" s="144"/>
      <c r="AD45" s="142"/>
      <c r="AE45" s="119"/>
      <c r="AF45" s="120"/>
      <c r="AG45" s="127"/>
      <c r="AH45" s="127"/>
      <c r="AI45"/>
      <c r="AJ45" s="119"/>
      <c r="AK45" s="144"/>
      <c r="AL45" s="142"/>
      <c r="AM45" s="119"/>
      <c r="AN45" s="120"/>
      <c r="AO45" s="127"/>
      <c r="AP45" s="127"/>
      <c r="AQ45"/>
      <c r="AR45" s="119"/>
      <c r="AS45" s="144"/>
      <c r="AT45" s="142"/>
      <c r="AU45" s="119"/>
      <c r="AV45" s="120"/>
      <c r="AW45" s="127"/>
      <c r="AX45" s="127"/>
      <c r="AY45"/>
      <c r="AZ45" s="119"/>
      <c r="BA45" s="144"/>
      <c r="BB45" s="142"/>
      <c r="BC45" s="119"/>
      <c r="BD45" s="120"/>
      <c r="BE45" s="127"/>
      <c r="BF45" s="127"/>
      <c r="BG45"/>
      <c r="BH45" s="119"/>
      <c r="BI45" s="144"/>
      <c r="BJ45" s="142"/>
      <c r="BK45" s="119"/>
      <c r="BL45" s="120"/>
      <c r="BM45" s="127"/>
      <c r="BN45" s="127"/>
      <c r="BO45"/>
      <c r="BP45" s="119"/>
      <c r="BQ45" s="144"/>
      <c r="BR45" s="142"/>
      <c r="BS45" s="119"/>
      <c r="BT45" s="120"/>
      <c r="BU45" s="127"/>
      <c r="BV45" s="127"/>
      <c r="BW45"/>
      <c r="BX45" s="119"/>
      <c r="BY45" s="144"/>
      <c r="BZ45" s="142"/>
      <c r="CA45" s="119"/>
      <c r="CB45" s="120"/>
      <c r="CC45" s="127"/>
      <c r="CD45" s="127"/>
      <c r="CE45"/>
      <c r="CF45" s="119"/>
      <c r="CG45" s="144"/>
      <c r="CH45" s="142"/>
      <c r="CI45" s="119"/>
      <c r="CJ45" s="120"/>
      <c r="CK45" s="127"/>
      <c r="CL45" s="127"/>
      <c r="CN45" s="119"/>
      <c r="CO45" s="144"/>
      <c r="CP45" s="142"/>
      <c r="CQ45" s="119"/>
      <c r="CR45" s="120"/>
      <c r="CS45" s="127"/>
      <c r="CT45" s="127"/>
      <c r="CV45" s="119"/>
      <c r="CW45" s="144"/>
      <c r="CX45" s="142"/>
      <c r="CY45" s="119"/>
      <c r="CZ45" s="120"/>
      <c r="DA45" s="127"/>
      <c r="DB45" s="127"/>
      <c r="DD45" s="119"/>
      <c r="DE45" s="144"/>
      <c r="DF45" s="142"/>
      <c r="DG45" s="119"/>
      <c r="DH45" s="120"/>
      <c r="DI45" s="127"/>
      <c r="DJ45" s="127"/>
    </row>
    <row r="46" spans="1:114" x14ac:dyDescent="0.25">
      <c r="A46" s="123" t="str">
        <f>IF(Listes!A44="","",Listes!A44)</f>
        <v/>
      </c>
      <c r="B4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6" s="119"/>
      <c r="E46" s="144"/>
      <c r="F46" s="142"/>
      <c r="G46" s="119"/>
      <c r="H46" s="120"/>
      <c r="I46" s="127"/>
      <c r="J46" s="127"/>
      <c r="L46" s="119"/>
      <c r="M46" s="144"/>
      <c r="N46" s="142"/>
      <c r="O46" s="119"/>
      <c r="P46" s="120"/>
      <c r="Q46" s="127"/>
      <c r="R46" s="127"/>
      <c r="S46"/>
      <c r="T46" s="119"/>
      <c r="U46" s="144"/>
      <c r="V46" s="142"/>
      <c r="W46" s="119"/>
      <c r="X46" s="120"/>
      <c r="Y46" s="127"/>
      <c r="Z46" s="127"/>
      <c r="AA46"/>
      <c r="AB46" s="119"/>
      <c r="AC46" s="144"/>
      <c r="AD46" s="142"/>
      <c r="AE46" s="119"/>
      <c r="AF46" s="120"/>
      <c r="AG46" s="127"/>
      <c r="AH46" s="127"/>
      <c r="AI46"/>
      <c r="AJ46" s="119"/>
      <c r="AK46" s="144"/>
      <c r="AL46" s="142"/>
      <c r="AM46" s="119"/>
      <c r="AN46" s="120"/>
      <c r="AO46" s="127"/>
      <c r="AP46" s="127"/>
      <c r="AQ46"/>
      <c r="AR46" s="119"/>
      <c r="AS46" s="144"/>
      <c r="AT46" s="142"/>
      <c r="AU46" s="119"/>
      <c r="AV46" s="120"/>
      <c r="AW46" s="127"/>
      <c r="AX46" s="127"/>
      <c r="AY46"/>
      <c r="AZ46" s="119"/>
      <c r="BA46" s="144"/>
      <c r="BB46" s="142"/>
      <c r="BC46" s="119"/>
      <c r="BD46" s="120"/>
      <c r="BE46" s="127"/>
      <c r="BF46" s="127"/>
      <c r="BG46"/>
      <c r="BH46" s="119"/>
      <c r="BI46" s="144"/>
      <c r="BJ46" s="142"/>
      <c r="BK46" s="119"/>
      <c r="BL46" s="120"/>
      <c r="BM46" s="127"/>
      <c r="BN46" s="127"/>
      <c r="BO46"/>
      <c r="BP46" s="119"/>
      <c r="BQ46" s="144"/>
      <c r="BR46" s="142"/>
      <c r="BS46" s="119"/>
      <c r="BT46" s="120"/>
      <c r="BU46" s="127"/>
      <c r="BV46" s="127"/>
      <c r="BW46"/>
      <c r="BX46" s="119"/>
      <c r="BY46" s="144"/>
      <c r="BZ46" s="142"/>
      <c r="CA46" s="119"/>
      <c r="CB46" s="120"/>
      <c r="CC46" s="127"/>
      <c r="CD46" s="127"/>
      <c r="CE46"/>
      <c r="CF46" s="119"/>
      <c r="CG46" s="144"/>
      <c r="CH46" s="142"/>
      <c r="CI46" s="119"/>
      <c r="CJ46" s="120"/>
      <c r="CK46" s="127"/>
      <c r="CL46" s="127"/>
      <c r="CN46" s="119"/>
      <c r="CO46" s="144"/>
      <c r="CP46" s="142"/>
      <c r="CQ46" s="119"/>
      <c r="CR46" s="120"/>
      <c r="CS46" s="127"/>
      <c r="CT46" s="127"/>
      <c r="CV46" s="119"/>
      <c r="CW46" s="144"/>
      <c r="CX46" s="142"/>
      <c r="CY46" s="119"/>
      <c r="CZ46" s="120"/>
      <c r="DA46" s="127"/>
      <c r="DB46" s="127"/>
      <c r="DD46" s="119"/>
      <c r="DE46" s="144"/>
      <c r="DF46" s="142"/>
      <c r="DG46" s="119"/>
      <c r="DH46" s="120"/>
      <c r="DI46" s="127"/>
      <c r="DJ46" s="127"/>
    </row>
    <row r="47" spans="1:114" x14ac:dyDescent="0.25">
      <c r="A47" s="123" t="str">
        <f>IF(Listes!A45="","",Listes!A45)</f>
        <v/>
      </c>
      <c r="B4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7" s="119"/>
      <c r="E47" s="144"/>
      <c r="F47" s="142"/>
      <c r="G47" s="119"/>
      <c r="H47" s="120"/>
      <c r="I47" s="127"/>
      <c r="J47" s="127"/>
      <c r="L47" s="119"/>
      <c r="M47" s="144"/>
      <c r="N47" s="142"/>
      <c r="O47" s="119"/>
      <c r="P47" s="120"/>
      <c r="Q47" s="127"/>
      <c r="R47" s="127"/>
      <c r="S47"/>
      <c r="T47" s="119"/>
      <c r="U47" s="144"/>
      <c r="V47" s="142"/>
      <c r="W47" s="119"/>
      <c r="X47" s="120"/>
      <c r="Y47" s="127"/>
      <c r="Z47" s="127"/>
      <c r="AA47"/>
      <c r="AB47" s="119"/>
      <c r="AC47" s="144"/>
      <c r="AD47" s="142"/>
      <c r="AE47" s="119"/>
      <c r="AF47" s="120"/>
      <c r="AG47" s="127"/>
      <c r="AH47" s="127"/>
      <c r="AI47"/>
      <c r="AJ47" s="119"/>
      <c r="AK47" s="144"/>
      <c r="AL47" s="142"/>
      <c r="AM47" s="119"/>
      <c r="AN47" s="120"/>
      <c r="AO47" s="127"/>
      <c r="AP47" s="127"/>
      <c r="AQ47"/>
      <c r="AR47" s="119"/>
      <c r="AS47" s="144"/>
      <c r="AT47" s="142"/>
      <c r="AU47" s="119"/>
      <c r="AV47" s="120"/>
      <c r="AW47" s="127"/>
      <c r="AX47" s="127"/>
      <c r="AY47"/>
      <c r="AZ47" s="119"/>
      <c r="BA47" s="144"/>
      <c r="BB47" s="142"/>
      <c r="BC47" s="119"/>
      <c r="BD47" s="120"/>
      <c r="BE47" s="127"/>
      <c r="BF47" s="127"/>
      <c r="BG47"/>
      <c r="BH47" s="119"/>
      <c r="BI47" s="144"/>
      <c r="BJ47" s="142"/>
      <c r="BK47" s="119"/>
      <c r="BL47" s="120"/>
      <c r="BM47" s="127"/>
      <c r="BN47" s="127"/>
      <c r="BO47"/>
      <c r="BP47" s="119"/>
      <c r="BQ47" s="144"/>
      <c r="BR47" s="142"/>
      <c r="BS47" s="119"/>
      <c r="BT47" s="120"/>
      <c r="BU47" s="127"/>
      <c r="BV47" s="127"/>
      <c r="BW47"/>
      <c r="BX47" s="119"/>
      <c r="BY47" s="144"/>
      <c r="BZ47" s="142"/>
      <c r="CA47" s="119"/>
      <c r="CB47" s="120"/>
      <c r="CC47" s="127"/>
      <c r="CD47" s="127"/>
      <c r="CE47"/>
      <c r="CF47" s="119"/>
      <c r="CG47" s="144"/>
      <c r="CH47" s="142"/>
      <c r="CI47" s="119"/>
      <c r="CJ47" s="120"/>
      <c r="CK47" s="127"/>
      <c r="CL47" s="127"/>
      <c r="CN47" s="119"/>
      <c r="CO47" s="144"/>
      <c r="CP47" s="142"/>
      <c r="CQ47" s="119"/>
      <c r="CR47" s="120"/>
      <c r="CS47" s="127"/>
      <c r="CT47" s="127"/>
      <c r="CV47" s="119"/>
      <c r="CW47" s="144"/>
      <c r="CX47" s="142"/>
      <c r="CY47" s="119"/>
      <c r="CZ47" s="120"/>
      <c r="DA47" s="127"/>
      <c r="DB47" s="127"/>
      <c r="DD47" s="119"/>
      <c r="DE47" s="144"/>
      <c r="DF47" s="142"/>
      <c r="DG47" s="119"/>
      <c r="DH47" s="120"/>
      <c r="DI47" s="127"/>
      <c r="DJ47" s="127"/>
    </row>
    <row r="48" spans="1:114" x14ac:dyDescent="0.25">
      <c r="A48" s="123" t="str">
        <f>IF(Listes!A46="","",Listes!A46)</f>
        <v/>
      </c>
      <c r="B4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8" s="119"/>
      <c r="E48" s="144"/>
      <c r="F48" s="142"/>
      <c r="G48" s="119"/>
      <c r="H48" s="120"/>
      <c r="I48" s="127"/>
      <c r="J48" s="127"/>
      <c r="L48" s="119"/>
      <c r="M48" s="144"/>
      <c r="N48" s="142"/>
      <c r="O48" s="119"/>
      <c r="P48" s="120"/>
      <c r="Q48" s="127"/>
      <c r="R48" s="127"/>
      <c r="S48"/>
      <c r="T48" s="119"/>
      <c r="U48" s="144"/>
      <c r="V48" s="142"/>
      <c r="W48" s="119"/>
      <c r="X48" s="120"/>
      <c r="Y48" s="127"/>
      <c r="Z48" s="127"/>
      <c r="AA48"/>
      <c r="AB48" s="119"/>
      <c r="AC48" s="144"/>
      <c r="AD48" s="142"/>
      <c r="AE48" s="119"/>
      <c r="AF48" s="120"/>
      <c r="AG48" s="127"/>
      <c r="AH48" s="127"/>
      <c r="AI48"/>
      <c r="AJ48" s="119"/>
      <c r="AK48" s="144"/>
      <c r="AL48" s="142"/>
      <c r="AM48" s="119"/>
      <c r="AN48" s="120"/>
      <c r="AO48" s="127"/>
      <c r="AP48" s="127"/>
      <c r="AQ48"/>
      <c r="AR48" s="119"/>
      <c r="AS48" s="144"/>
      <c r="AT48" s="142"/>
      <c r="AU48" s="119"/>
      <c r="AV48" s="120"/>
      <c r="AW48" s="127"/>
      <c r="AX48" s="127"/>
      <c r="AY48"/>
      <c r="AZ48" s="119"/>
      <c r="BA48" s="144"/>
      <c r="BB48" s="142"/>
      <c r="BC48" s="119"/>
      <c r="BD48" s="120"/>
      <c r="BE48" s="127"/>
      <c r="BF48" s="127"/>
      <c r="BG48"/>
      <c r="BH48" s="119"/>
      <c r="BI48" s="144"/>
      <c r="BJ48" s="142"/>
      <c r="BK48" s="119"/>
      <c r="BL48" s="120"/>
      <c r="BM48" s="127"/>
      <c r="BN48" s="127"/>
      <c r="BO48"/>
      <c r="BP48" s="119"/>
      <c r="BQ48" s="144"/>
      <c r="BR48" s="142"/>
      <c r="BS48" s="119"/>
      <c r="BT48" s="120"/>
      <c r="BU48" s="127"/>
      <c r="BV48" s="127"/>
      <c r="BW48"/>
      <c r="BX48" s="119"/>
      <c r="BY48" s="144"/>
      <c r="BZ48" s="142"/>
      <c r="CA48" s="119"/>
      <c r="CB48" s="120"/>
      <c r="CC48" s="127"/>
      <c r="CD48" s="127"/>
      <c r="CE48"/>
      <c r="CF48" s="119"/>
      <c r="CG48" s="144"/>
      <c r="CH48" s="142"/>
      <c r="CI48" s="119"/>
      <c r="CJ48" s="120"/>
      <c r="CK48" s="127"/>
      <c r="CL48" s="127"/>
      <c r="CN48" s="119"/>
      <c r="CO48" s="144"/>
      <c r="CP48" s="142"/>
      <c r="CQ48" s="119"/>
      <c r="CR48" s="120"/>
      <c r="CS48" s="127"/>
      <c r="CT48" s="127"/>
      <c r="CV48" s="119"/>
      <c r="CW48" s="144"/>
      <c r="CX48" s="142"/>
      <c r="CY48" s="119"/>
      <c r="CZ48" s="120"/>
      <c r="DA48" s="127"/>
      <c r="DB48" s="127"/>
      <c r="DD48" s="119"/>
      <c r="DE48" s="144"/>
      <c r="DF48" s="142"/>
      <c r="DG48" s="119"/>
      <c r="DH48" s="120"/>
      <c r="DI48" s="127"/>
      <c r="DJ48" s="127"/>
    </row>
    <row r="49" spans="1:114" x14ac:dyDescent="0.25">
      <c r="A49" s="123" t="str">
        <f>IF(Listes!A47="","",Listes!A47)</f>
        <v/>
      </c>
      <c r="B4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49" s="119"/>
      <c r="E49" s="144"/>
      <c r="F49" s="142"/>
      <c r="G49" s="119"/>
      <c r="H49" s="120"/>
      <c r="I49" s="127"/>
      <c r="J49" s="127"/>
      <c r="L49" s="119"/>
      <c r="M49" s="144"/>
      <c r="N49" s="142"/>
      <c r="O49" s="119"/>
      <c r="P49" s="120"/>
      <c r="Q49" s="127"/>
      <c r="R49" s="127"/>
      <c r="S49"/>
      <c r="T49" s="119"/>
      <c r="U49" s="144"/>
      <c r="V49" s="142"/>
      <c r="W49" s="119"/>
      <c r="X49" s="120"/>
      <c r="Y49" s="127"/>
      <c r="Z49" s="127"/>
      <c r="AA49"/>
      <c r="AB49" s="119"/>
      <c r="AC49" s="144"/>
      <c r="AD49" s="142"/>
      <c r="AE49" s="119"/>
      <c r="AF49" s="120"/>
      <c r="AG49" s="127"/>
      <c r="AH49" s="127"/>
      <c r="AI49"/>
      <c r="AJ49" s="119"/>
      <c r="AK49" s="144"/>
      <c r="AL49" s="142"/>
      <c r="AM49" s="119"/>
      <c r="AN49" s="120"/>
      <c r="AO49" s="127"/>
      <c r="AP49" s="127"/>
      <c r="AQ49"/>
      <c r="AR49" s="119"/>
      <c r="AS49" s="144"/>
      <c r="AT49" s="142"/>
      <c r="AU49" s="119"/>
      <c r="AV49" s="120"/>
      <c r="AW49" s="127"/>
      <c r="AX49" s="127"/>
      <c r="AY49"/>
      <c r="AZ49" s="119"/>
      <c r="BA49" s="144"/>
      <c r="BB49" s="142"/>
      <c r="BC49" s="119"/>
      <c r="BD49" s="120"/>
      <c r="BE49" s="127"/>
      <c r="BF49" s="127"/>
      <c r="BG49"/>
      <c r="BH49" s="119"/>
      <c r="BI49" s="144"/>
      <c r="BJ49" s="142"/>
      <c r="BK49" s="119"/>
      <c r="BL49" s="120"/>
      <c r="BM49" s="127"/>
      <c r="BN49" s="127"/>
      <c r="BO49"/>
      <c r="BP49" s="119"/>
      <c r="BQ49" s="144"/>
      <c r="BR49" s="142"/>
      <c r="BS49" s="119"/>
      <c r="BT49" s="120"/>
      <c r="BU49" s="127"/>
      <c r="BV49" s="127"/>
      <c r="BW49"/>
      <c r="BX49" s="119"/>
      <c r="BY49" s="144"/>
      <c r="BZ49" s="142"/>
      <c r="CA49" s="119"/>
      <c r="CB49" s="120"/>
      <c r="CC49" s="127"/>
      <c r="CD49" s="127"/>
      <c r="CE49"/>
      <c r="CF49" s="119"/>
      <c r="CG49" s="144"/>
      <c r="CH49" s="142"/>
      <c r="CI49" s="119"/>
      <c r="CJ49" s="120"/>
      <c r="CK49" s="127"/>
      <c r="CL49" s="127"/>
      <c r="CN49" s="119"/>
      <c r="CO49" s="144"/>
      <c r="CP49" s="142"/>
      <c r="CQ49" s="119"/>
      <c r="CR49" s="120"/>
      <c r="CS49" s="127"/>
      <c r="CT49" s="127"/>
      <c r="CV49" s="119"/>
      <c r="CW49" s="144"/>
      <c r="CX49" s="142"/>
      <c r="CY49" s="119"/>
      <c r="CZ49" s="120"/>
      <c r="DA49" s="127"/>
      <c r="DB49" s="127"/>
      <c r="DD49" s="119"/>
      <c r="DE49" s="144"/>
      <c r="DF49" s="142"/>
      <c r="DG49" s="119"/>
      <c r="DH49" s="120"/>
      <c r="DI49" s="127"/>
      <c r="DJ49" s="127"/>
    </row>
    <row r="50" spans="1:114" x14ac:dyDescent="0.25">
      <c r="A50" s="123" t="str">
        <f>IF(Listes!A48="","",Listes!A48)</f>
        <v/>
      </c>
      <c r="B5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0" s="119"/>
      <c r="E50" s="144"/>
      <c r="F50" s="142"/>
      <c r="G50" s="119"/>
      <c r="H50" s="120"/>
      <c r="I50" s="127"/>
      <c r="J50" s="127"/>
      <c r="L50" s="119"/>
      <c r="M50" s="144"/>
      <c r="N50" s="142"/>
      <c r="O50" s="119"/>
      <c r="P50" s="120"/>
      <c r="Q50" s="127"/>
      <c r="R50" s="127"/>
      <c r="S50"/>
      <c r="T50" s="119"/>
      <c r="U50" s="144"/>
      <c r="V50" s="142"/>
      <c r="W50" s="119"/>
      <c r="X50" s="120"/>
      <c r="Y50" s="127"/>
      <c r="Z50" s="127"/>
      <c r="AA50"/>
      <c r="AB50" s="119"/>
      <c r="AC50" s="144"/>
      <c r="AD50" s="142"/>
      <c r="AE50" s="119"/>
      <c r="AF50" s="120"/>
      <c r="AG50" s="127"/>
      <c r="AH50" s="127"/>
      <c r="AI50"/>
      <c r="AJ50" s="119"/>
      <c r="AK50" s="144"/>
      <c r="AL50" s="142"/>
      <c r="AM50" s="119"/>
      <c r="AN50" s="120"/>
      <c r="AO50" s="127"/>
      <c r="AP50" s="127"/>
      <c r="AQ50"/>
      <c r="AR50" s="119"/>
      <c r="AS50" s="144"/>
      <c r="AT50" s="142"/>
      <c r="AU50" s="119"/>
      <c r="AV50" s="120"/>
      <c r="AW50" s="127"/>
      <c r="AX50" s="127"/>
      <c r="AY50"/>
      <c r="AZ50" s="119"/>
      <c r="BA50" s="144"/>
      <c r="BB50" s="142"/>
      <c r="BC50" s="119"/>
      <c r="BD50" s="120"/>
      <c r="BE50" s="127"/>
      <c r="BF50" s="127"/>
      <c r="BG50"/>
      <c r="BH50" s="119"/>
      <c r="BI50" s="144"/>
      <c r="BJ50" s="142"/>
      <c r="BK50" s="119"/>
      <c r="BL50" s="120"/>
      <c r="BM50" s="127"/>
      <c r="BN50" s="127"/>
      <c r="BO50"/>
      <c r="BP50" s="119"/>
      <c r="BQ50" s="144"/>
      <c r="BR50" s="142"/>
      <c r="BS50" s="119"/>
      <c r="BT50" s="120"/>
      <c r="BU50" s="127"/>
      <c r="BV50" s="127"/>
      <c r="BW50"/>
      <c r="BX50" s="119"/>
      <c r="BY50" s="144"/>
      <c r="BZ50" s="142"/>
      <c r="CA50" s="119"/>
      <c r="CB50" s="120"/>
      <c r="CC50" s="127"/>
      <c r="CD50" s="127"/>
      <c r="CE50"/>
      <c r="CF50" s="119"/>
      <c r="CG50" s="144"/>
      <c r="CH50" s="142"/>
      <c r="CI50" s="119"/>
      <c r="CJ50" s="120"/>
      <c r="CK50" s="127"/>
      <c r="CL50" s="127"/>
      <c r="CN50" s="119"/>
      <c r="CO50" s="144"/>
      <c r="CP50" s="142"/>
      <c r="CQ50" s="119"/>
      <c r="CR50" s="120"/>
      <c r="CS50" s="127"/>
      <c r="CT50" s="127"/>
      <c r="CV50" s="119"/>
      <c r="CW50" s="144"/>
      <c r="CX50" s="142"/>
      <c r="CY50" s="119"/>
      <c r="CZ50" s="120"/>
      <c r="DA50" s="127"/>
      <c r="DB50" s="127"/>
      <c r="DD50" s="119"/>
      <c r="DE50" s="144"/>
      <c r="DF50" s="142"/>
      <c r="DG50" s="119"/>
      <c r="DH50" s="120"/>
      <c r="DI50" s="127"/>
      <c r="DJ50" s="127"/>
    </row>
    <row r="51" spans="1:114" x14ac:dyDescent="0.25">
      <c r="A51" s="123" t="str">
        <f>IF(Listes!A49="","",Listes!A49)</f>
        <v/>
      </c>
      <c r="B51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1" s="119"/>
      <c r="E51" s="144"/>
      <c r="F51" s="142"/>
      <c r="G51" s="119"/>
      <c r="H51" s="120"/>
      <c r="I51" s="127"/>
      <c r="J51" s="127"/>
      <c r="L51" s="119"/>
      <c r="M51" s="144"/>
      <c r="N51" s="142"/>
      <c r="O51" s="119"/>
      <c r="P51" s="120"/>
      <c r="Q51" s="127"/>
      <c r="R51" s="127"/>
      <c r="S51"/>
      <c r="T51" s="119"/>
      <c r="U51" s="144"/>
      <c r="V51" s="142"/>
      <c r="W51" s="119"/>
      <c r="X51" s="120"/>
      <c r="Y51" s="127"/>
      <c r="Z51" s="127"/>
      <c r="AA51"/>
      <c r="AB51" s="119"/>
      <c r="AC51" s="144"/>
      <c r="AD51" s="142"/>
      <c r="AE51" s="119"/>
      <c r="AF51" s="120"/>
      <c r="AG51" s="127"/>
      <c r="AH51" s="127"/>
      <c r="AI51"/>
      <c r="AJ51" s="119"/>
      <c r="AK51" s="144"/>
      <c r="AL51" s="142"/>
      <c r="AM51" s="119"/>
      <c r="AN51" s="120"/>
      <c r="AO51" s="127"/>
      <c r="AP51" s="127"/>
      <c r="AQ51"/>
      <c r="AR51" s="119"/>
      <c r="AS51" s="144"/>
      <c r="AT51" s="142"/>
      <c r="AU51" s="119"/>
      <c r="AV51" s="120"/>
      <c r="AW51" s="127"/>
      <c r="AX51" s="127"/>
      <c r="AY51"/>
      <c r="AZ51" s="119"/>
      <c r="BA51" s="144"/>
      <c r="BB51" s="142"/>
      <c r="BC51" s="119"/>
      <c r="BD51" s="120"/>
      <c r="BE51" s="127"/>
      <c r="BF51" s="127"/>
      <c r="BG51"/>
      <c r="BH51" s="119"/>
      <c r="BI51" s="144"/>
      <c r="BJ51" s="142"/>
      <c r="BK51" s="119"/>
      <c r="BL51" s="120"/>
      <c r="BM51" s="127"/>
      <c r="BN51" s="127"/>
      <c r="BO51"/>
      <c r="BP51" s="119"/>
      <c r="BQ51" s="144"/>
      <c r="BR51" s="142"/>
      <c r="BS51" s="119"/>
      <c r="BT51" s="120"/>
      <c r="BU51" s="127"/>
      <c r="BV51" s="127"/>
      <c r="BW51"/>
      <c r="BX51" s="119"/>
      <c r="BY51" s="144"/>
      <c r="BZ51" s="142"/>
      <c r="CA51" s="119"/>
      <c r="CB51" s="120"/>
      <c r="CC51" s="127"/>
      <c r="CD51" s="127"/>
      <c r="CE51"/>
      <c r="CF51" s="119"/>
      <c r="CG51" s="144"/>
      <c r="CH51" s="142"/>
      <c r="CI51" s="119"/>
      <c r="CJ51" s="120"/>
      <c r="CK51" s="127"/>
      <c r="CL51" s="127"/>
      <c r="CN51" s="119"/>
      <c r="CO51" s="144"/>
      <c r="CP51" s="142"/>
      <c r="CQ51" s="119"/>
      <c r="CR51" s="120"/>
      <c r="CS51" s="127"/>
      <c r="CT51" s="127"/>
      <c r="CV51" s="119"/>
      <c r="CW51" s="144"/>
      <c r="CX51" s="142"/>
      <c r="CY51" s="119"/>
      <c r="CZ51" s="120"/>
      <c r="DA51" s="127"/>
      <c r="DB51" s="127"/>
      <c r="DD51" s="119"/>
      <c r="DE51" s="144"/>
      <c r="DF51" s="142"/>
      <c r="DG51" s="119"/>
      <c r="DH51" s="120"/>
      <c r="DI51" s="127"/>
      <c r="DJ51" s="127"/>
    </row>
    <row r="52" spans="1:114" x14ac:dyDescent="0.25">
      <c r="A52" s="123" t="str">
        <f>IF(Listes!A50="","",Listes!A50)</f>
        <v/>
      </c>
      <c r="B52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2" s="119"/>
      <c r="E52" s="144"/>
      <c r="F52" s="142"/>
      <c r="G52" s="119"/>
      <c r="H52" s="120"/>
      <c r="I52" s="127"/>
      <c r="J52" s="127"/>
      <c r="L52" s="119"/>
      <c r="M52" s="144"/>
      <c r="N52" s="142"/>
      <c r="O52" s="119"/>
      <c r="P52" s="120"/>
      <c r="Q52" s="127"/>
      <c r="R52" s="127"/>
      <c r="S52"/>
      <c r="T52" s="119"/>
      <c r="U52" s="144"/>
      <c r="V52" s="142"/>
      <c r="W52" s="119"/>
      <c r="X52" s="120"/>
      <c r="Y52" s="127"/>
      <c r="Z52" s="127"/>
      <c r="AA52"/>
      <c r="AB52" s="119"/>
      <c r="AC52" s="144"/>
      <c r="AD52" s="142"/>
      <c r="AE52" s="119"/>
      <c r="AF52" s="120"/>
      <c r="AG52" s="127"/>
      <c r="AH52" s="127"/>
      <c r="AI52"/>
      <c r="AJ52" s="119"/>
      <c r="AK52" s="144"/>
      <c r="AL52" s="142"/>
      <c r="AM52" s="119"/>
      <c r="AN52" s="120"/>
      <c r="AO52" s="127"/>
      <c r="AP52" s="127"/>
      <c r="AQ52"/>
      <c r="AR52" s="119"/>
      <c r="AS52" s="144"/>
      <c r="AT52" s="142"/>
      <c r="AU52" s="119"/>
      <c r="AV52" s="120"/>
      <c r="AW52" s="127"/>
      <c r="AX52" s="127"/>
      <c r="AY52"/>
      <c r="AZ52" s="119"/>
      <c r="BA52" s="144"/>
      <c r="BB52" s="142"/>
      <c r="BC52" s="119"/>
      <c r="BD52" s="120"/>
      <c r="BE52" s="127"/>
      <c r="BF52" s="127"/>
      <c r="BG52"/>
      <c r="BH52" s="119"/>
      <c r="BI52" s="144"/>
      <c r="BJ52" s="142"/>
      <c r="BK52" s="119"/>
      <c r="BL52" s="120"/>
      <c r="BM52" s="127"/>
      <c r="BN52" s="127"/>
      <c r="BO52"/>
      <c r="BP52" s="119"/>
      <c r="BQ52" s="144"/>
      <c r="BR52" s="142"/>
      <c r="BS52" s="119"/>
      <c r="BT52" s="120"/>
      <c r="BU52" s="127"/>
      <c r="BV52" s="127"/>
      <c r="BW52"/>
      <c r="BX52" s="119"/>
      <c r="BY52" s="144"/>
      <c r="BZ52" s="142"/>
      <c r="CA52" s="119"/>
      <c r="CB52" s="120"/>
      <c r="CC52" s="127"/>
      <c r="CD52" s="127"/>
      <c r="CE52"/>
      <c r="CF52" s="119"/>
      <c r="CG52" s="144"/>
      <c r="CH52" s="142"/>
      <c r="CI52" s="119"/>
      <c r="CJ52" s="120"/>
      <c r="CK52" s="127"/>
      <c r="CL52" s="127"/>
      <c r="CN52" s="119"/>
      <c r="CO52" s="144"/>
      <c r="CP52" s="142"/>
      <c r="CQ52" s="119"/>
      <c r="CR52" s="120"/>
      <c r="CS52" s="127"/>
      <c r="CT52" s="127"/>
      <c r="CV52" s="119"/>
      <c r="CW52" s="144"/>
      <c r="CX52" s="142"/>
      <c r="CY52" s="119"/>
      <c r="CZ52" s="120"/>
      <c r="DA52" s="127"/>
      <c r="DB52" s="127"/>
      <c r="DD52" s="119"/>
      <c r="DE52" s="144"/>
      <c r="DF52" s="142"/>
      <c r="DG52" s="119"/>
      <c r="DH52" s="120"/>
      <c r="DI52" s="127"/>
      <c r="DJ52" s="127"/>
    </row>
    <row r="53" spans="1:114" x14ac:dyDescent="0.25">
      <c r="A53" s="123" t="str">
        <f>IF(Listes!A51="","",Listes!A51)</f>
        <v/>
      </c>
      <c r="B5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3" s="119"/>
      <c r="E53" s="144"/>
      <c r="F53" s="142"/>
      <c r="G53" s="119"/>
      <c r="H53" s="120"/>
      <c r="I53" s="127"/>
      <c r="J53" s="127"/>
      <c r="L53" s="119"/>
      <c r="M53" s="144"/>
      <c r="N53" s="142"/>
      <c r="O53" s="119"/>
      <c r="P53" s="120"/>
      <c r="Q53" s="127"/>
      <c r="R53" s="127"/>
      <c r="S53"/>
      <c r="T53" s="119"/>
      <c r="U53" s="144"/>
      <c r="V53" s="142"/>
      <c r="W53" s="119"/>
      <c r="X53" s="120"/>
      <c r="Y53" s="127"/>
      <c r="Z53" s="127"/>
      <c r="AA53"/>
      <c r="AB53" s="119"/>
      <c r="AC53" s="144"/>
      <c r="AD53" s="142"/>
      <c r="AE53" s="119"/>
      <c r="AF53" s="120"/>
      <c r="AG53" s="127"/>
      <c r="AH53" s="127"/>
      <c r="AI53"/>
      <c r="AJ53" s="119"/>
      <c r="AK53" s="144"/>
      <c r="AL53" s="142"/>
      <c r="AM53" s="119"/>
      <c r="AN53" s="120"/>
      <c r="AO53" s="127"/>
      <c r="AP53" s="127"/>
      <c r="AQ53"/>
      <c r="AR53" s="119"/>
      <c r="AS53" s="144"/>
      <c r="AT53" s="142"/>
      <c r="AU53" s="119"/>
      <c r="AV53" s="120"/>
      <c r="AW53" s="127"/>
      <c r="AX53" s="127"/>
      <c r="AY53"/>
      <c r="AZ53" s="119"/>
      <c r="BA53" s="144"/>
      <c r="BB53" s="142"/>
      <c r="BC53" s="119"/>
      <c r="BD53" s="120"/>
      <c r="BE53" s="127"/>
      <c r="BF53" s="127"/>
      <c r="BG53"/>
      <c r="BH53" s="119"/>
      <c r="BI53" s="144"/>
      <c r="BJ53" s="142"/>
      <c r="BK53" s="119"/>
      <c r="BL53" s="120"/>
      <c r="BM53" s="127"/>
      <c r="BN53" s="127"/>
      <c r="BO53"/>
      <c r="BP53" s="119"/>
      <c r="BQ53" s="144"/>
      <c r="BR53" s="142"/>
      <c r="BS53" s="119"/>
      <c r="BT53" s="120"/>
      <c r="BU53" s="127"/>
      <c r="BV53" s="127"/>
      <c r="BW53"/>
      <c r="BX53" s="119"/>
      <c r="BY53" s="144"/>
      <c r="BZ53" s="142"/>
      <c r="CA53" s="119"/>
      <c r="CB53" s="120"/>
      <c r="CC53" s="127"/>
      <c r="CD53" s="127"/>
      <c r="CE53"/>
      <c r="CF53" s="119"/>
      <c r="CG53" s="144"/>
      <c r="CH53" s="142"/>
      <c r="CI53" s="119"/>
      <c r="CJ53" s="120"/>
      <c r="CK53" s="127"/>
      <c r="CL53" s="127"/>
      <c r="CN53" s="119"/>
      <c r="CO53" s="144"/>
      <c r="CP53" s="142"/>
      <c r="CQ53" s="119"/>
      <c r="CR53" s="120"/>
      <c r="CS53" s="127"/>
      <c r="CT53" s="127"/>
      <c r="CV53" s="119"/>
      <c r="CW53" s="144"/>
      <c r="CX53" s="142"/>
      <c r="CY53" s="119"/>
      <c r="CZ53" s="120"/>
      <c r="DA53" s="127"/>
      <c r="DB53" s="127"/>
      <c r="DD53" s="119"/>
      <c r="DE53" s="144"/>
      <c r="DF53" s="142"/>
      <c r="DG53" s="119"/>
      <c r="DH53" s="120"/>
      <c r="DI53" s="127"/>
      <c r="DJ53" s="127"/>
    </row>
    <row r="54" spans="1:114" x14ac:dyDescent="0.25">
      <c r="A54" s="123" t="str">
        <f>IF(Listes!A52="","",Listes!A52)</f>
        <v/>
      </c>
      <c r="B5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4" s="119"/>
      <c r="E54" s="144"/>
      <c r="F54" s="142"/>
      <c r="G54" s="119"/>
      <c r="H54" s="120"/>
      <c r="I54" s="127"/>
      <c r="J54" s="127"/>
      <c r="L54" s="119"/>
      <c r="M54" s="144"/>
      <c r="N54" s="142"/>
      <c r="O54" s="119"/>
      <c r="P54" s="120"/>
      <c r="Q54" s="127"/>
      <c r="R54" s="127"/>
      <c r="S54"/>
      <c r="T54" s="119"/>
      <c r="U54" s="144"/>
      <c r="V54" s="142"/>
      <c r="W54" s="119"/>
      <c r="X54" s="120"/>
      <c r="Y54" s="127"/>
      <c r="Z54" s="127"/>
      <c r="AA54"/>
      <c r="AB54" s="119"/>
      <c r="AC54" s="144"/>
      <c r="AD54" s="142"/>
      <c r="AE54" s="119"/>
      <c r="AF54" s="120"/>
      <c r="AG54" s="127"/>
      <c r="AH54" s="127"/>
      <c r="AI54"/>
      <c r="AJ54" s="119"/>
      <c r="AK54" s="144"/>
      <c r="AL54" s="142"/>
      <c r="AM54" s="119"/>
      <c r="AN54" s="120"/>
      <c r="AO54" s="127"/>
      <c r="AP54" s="127"/>
      <c r="AQ54"/>
      <c r="AR54" s="119"/>
      <c r="AS54" s="144"/>
      <c r="AT54" s="142"/>
      <c r="AU54" s="119"/>
      <c r="AV54" s="120"/>
      <c r="AW54" s="127"/>
      <c r="AX54" s="127"/>
      <c r="AY54"/>
      <c r="AZ54" s="119"/>
      <c r="BA54" s="144"/>
      <c r="BB54" s="142"/>
      <c r="BC54" s="119"/>
      <c r="BD54" s="120"/>
      <c r="BE54" s="127"/>
      <c r="BF54" s="127"/>
      <c r="BG54"/>
      <c r="BH54" s="119"/>
      <c r="BI54" s="144"/>
      <c r="BJ54" s="142"/>
      <c r="BK54" s="119"/>
      <c r="BL54" s="120"/>
      <c r="BM54" s="127"/>
      <c r="BN54" s="127"/>
      <c r="BO54"/>
      <c r="BP54" s="119"/>
      <c r="BQ54" s="144"/>
      <c r="BR54" s="142"/>
      <c r="BS54" s="119"/>
      <c r="BT54" s="120"/>
      <c r="BU54" s="127"/>
      <c r="BV54" s="127"/>
      <c r="BW54"/>
      <c r="BX54" s="119"/>
      <c r="BY54" s="144"/>
      <c r="BZ54" s="142"/>
      <c r="CA54" s="119"/>
      <c r="CB54" s="120"/>
      <c r="CC54" s="127"/>
      <c r="CD54" s="127"/>
      <c r="CE54"/>
      <c r="CF54" s="119"/>
      <c r="CG54" s="144"/>
      <c r="CH54" s="142"/>
      <c r="CI54" s="119"/>
      <c r="CJ54" s="120"/>
      <c r="CK54" s="127"/>
      <c r="CL54" s="127"/>
      <c r="CN54" s="119"/>
      <c r="CO54" s="144"/>
      <c r="CP54" s="142"/>
      <c r="CQ54" s="119"/>
      <c r="CR54" s="120"/>
      <c r="CS54" s="127"/>
      <c r="CT54" s="127"/>
      <c r="CV54" s="119"/>
      <c r="CW54" s="144"/>
      <c r="CX54" s="142"/>
      <c r="CY54" s="119"/>
      <c r="CZ54" s="120"/>
      <c r="DA54" s="127"/>
      <c r="DB54" s="127"/>
      <c r="DD54" s="119"/>
      <c r="DE54" s="144"/>
      <c r="DF54" s="142"/>
      <c r="DG54" s="119"/>
      <c r="DH54" s="120"/>
      <c r="DI54" s="127"/>
      <c r="DJ54" s="127"/>
    </row>
    <row r="55" spans="1:114" x14ac:dyDescent="0.25">
      <c r="A55" s="123" t="str">
        <f>IF(Listes!A53="","",Listes!A53)</f>
        <v/>
      </c>
      <c r="B5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5" s="119"/>
      <c r="E55" s="144"/>
      <c r="F55" s="142"/>
      <c r="G55" s="119"/>
      <c r="H55" s="120"/>
      <c r="I55" s="127"/>
      <c r="J55" s="127"/>
      <c r="L55" s="119"/>
      <c r="M55" s="144"/>
      <c r="N55" s="142"/>
      <c r="O55" s="119"/>
      <c r="P55" s="120"/>
      <c r="Q55" s="127"/>
      <c r="R55" s="127"/>
      <c r="S55"/>
      <c r="T55" s="119"/>
      <c r="U55" s="144"/>
      <c r="V55" s="142"/>
      <c r="W55" s="119"/>
      <c r="X55" s="120"/>
      <c r="Y55" s="127"/>
      <c r="Z55" s="127"/>
      <c r="AA55"/>
      <c r="AB55" s="119"/>
      <c r="AC55" s="144"/>
      <c r="AD55" s="142"/>
      <c r="AE55" s="119"/>
      <c r="AF55" s="120"/>
      <c r="AG55" s="127"/>
      <c r="AH55" s="127"/>
      <c r="AI55"/>
      <c r="AJ55" s="119"/>
      <c r="AK55" s="144"/>
      <c r="AL55" s="142"/>
      <c r="AM55" s="119"/>
      <c r="AN55" s="120"/>
      <c r="AO55" s="127"/>
      <c r="AP55" s="127"/>
      <c r="AQ55"/>
      <c r="AR55" s="119"/>
      <c r="AS55" s="144"/>
      <c r="AT55" s="142"/>
      <c r="AU55" s="119"/>
      <c r="AV55" s="120"/>
      <c r="AW55" s="127"/>
      <c r="AX55" s="127"/>
      <c r="AY55"/>
      <c r="AZ55" s="119"/>
      <c r="BA55" s="144"/>
      <c r="BB55" s="142"/>
      <c r="BC55" s="119"/>
      <c r="BD55" s="120"/>
      <c r="BE55" s="127"/>
      <c r="BF55" s="127"/>
      <c r="BG55"/>
      <c r="BH55" s="119"/>
      <c r="BI55" s="144"/>
      <c r="BJ55" s="142"/>
      <c r="BK55" s="119"/>
      <c r="BL55" s="120"/>
      <c r="BM55" s="127"/>
      <c r="BN55" s="127"/>
      <c r="BO55"/>
      <c r="BP55" s="119"/>
      <c r="BQ55" s="144"/>
      <c r="BR55" s="142"/>
      <c r="BS55" s="119"/>
      <c r="BT55" s="120"/>
      <c r="BU55" s="127"/>
      <c r="BV55" s="127"/>
      <c r="BW55"/>
      <c r="BX55" s="119"/>
      <c r="BY55" s="144"/>
      <c r="BZ55" s="142"/>
      <c r="CA55" s="119"/>
      <c r="CB55" s="120"/>
      <c r="CC55" s="127"/>
      <c r="CD55" s="127"/>
      <c r="CE55"/>
      <c r="CF55" s="119"/>
      <c r="CG55" s="144"/>
      <c r="CH55" s="142"/>
      <c r="CI55" s="119"/>
      <c r="CJ55" s="120"/>
      <c r="CK55" s="127"/>
      <c r="CL55" s="127"/>
      <c r="CN55" s="119"/>
      <c r="CO55" s="144"/>
      <c r="CP55" s="142"/>
      <c r="CQ55" s="119"/>
      <c r="CR55" s="120"/>
      <c r="CS55" s="127"/>
      <c r="CT55" s="127"/>
      <c r="CV55" s="119"/>
      <c r="CW55" s="144"/>
      <c r="CX55" s="142"/>
      <c r="CY55" s="119"/>
      <c r="CZ55" s="120"/>
      <c r="DA55" s="127"/>
      <c r="DB55" s="127"/>
      <c r="DD55" s="119"/>
      <c r="DE55" s="144"/>
      <c r="DF55" s="142"/>
      <c r="DG55" s="119"/>
      <c r="DH55" s="120"/>
      <c r="DI55" s="127"/>
      <c r="DJ55" s="127"/>
    </row>
    <row r="56" spans="1:114" x14ac:dyDescent="0.25">
      <c r="A56" s="123" t="str">
        <f>IF(Listes!A54="","",Listes!A54)</f>
        <v/>
      </c>
      <c r="B5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6" s="119"/>
      <c r="E56" s="144"/>
      <c r="F56" s="142"/>
      <c r="G56" s="119"/>
      <c r="H56" s="120"/>
      <c r="I56" s="127"/>
      <c r="J56" s="127"/>
      <c r="L56" s="119"/>
      <c r="M56" s="144"/>
      <c r="N56" s="142"/>
      <c r="O56" s="119"/>
      <c r="P56" s="120"/>
      <c r="Q56" s="127"/>
      <c r="R56" s="127"/>
      <c r="S56"/>
      <c r="T56" s="119"/>
      <c r="U56" s="144"/>
      <c r="V56" s="142"/>
      <c r="W56" s="119"/>
      <c r="X56" s="120"/>
      <c r="Y56" s="127"/>
      <c r="Z56" s="127"/>
      <c r="AA56"/>
      <c r="AB56" s="119"/>
      <c r="AC56" s="144"/>
      <c r="AD56" s="142"/>
      <c r="AE56" s="119"/>
      <c r="AF56" s="120"/>
      <c r="AG56" s="127"/>
      <c r="AH56" s="127"/>
      <c r="AI56"/>
      <c r="AJ56" s="119"/>
      <c r="AK56" s="144"/>
      <c r="AL56" s="142"/>
      <c r="AM56" s="119"/>
      <c r="AN56" s="120"/>
      <c r="AO56" s="127"/>
      <c r="AP56" s="127"/>
      <c r="AQ56"/>
      <c r="AR56" s="119"/>
      <c r="AS56" s="144"/>
      <c r="AT56" s="142"/>
      <c r="AU56" s="119"/>
      <c r="AV56" s="120"/>
      <c r="AW56" s="127"/>
      <c r="AX56" s="127"/>
      <c r="AY56"/>
      <c r="AZ56" s="119"/>
      <c r="BA56" s="144"/>
      <c r="BB56" s="142"/>
      <c r="BC56" s="119"/>
      <c r="BD56" s="120"/>
      <c r="BE56" s="127"/>
      <c r="BF56" s="127"/>
      <c r="BG56"/>
      <c r="BH56" s="119"/>
      <c r="BI56" s="144"/>
      <c r="BJ56" s="142"/>
      <c r="BK56" s="119"/>
      <c r="BL56" s="120"/>
      <c r="BM56" s="127"/>
      <c r="BN56" s="127"/>
      <c r="BO56"/>
      <c r="BP56" s="119"/>
      <c r="BQ56" s="144"/>
      <c r="BR56" s="142"/>
      <c r="BS56" s="119"/>
      <c r="BT56" s="120"/>
      <c r="BU56" s="127"/>
      <c r="BV56" s="127"/>
      <c r="BW56"/>
      <c r="BX56" s="119"/>
      <c r="BY56" s="144"/>
      <c r="BZ56" s="142"/>
      <c r="CA56" s="119"/>
      <c r="CB56" s="120"/>
      <c r="CC56" s="127"/>
      <c r="CD56" s="127"/>
      <c r="CE56"/>
      <c r="CF56" s="119"/>
      <c r="CG56" s="144"/>
      <c r="CH56" s="142"/>
      <c r="CI56" s="119"/>
      <c r="CJ56" s="120"/>
      <c r="CK56" s="127"/>
      <c r="CL56" s="127"/>
      <c r="CN56" s="119"/>
      <c r="CO56" s="144"/>
      <c r="CP56" s="142"/>
      <c r="CQ56" s="119"/>
      <c r="CR56" s="120"/>
      <c r="CS56" s="127"/>
      <c r="CT56" s="127"/>
      <c r="CV56" s="119"/>
      <c r="CW56" s="144"/>
      <c r="CX56" s="142"/>
      <c r="CY56" s="119"/>
      <c r="CZ56" s="120"/>
      <c r="DA56" s="127"/>
      <c r="DB56" s="127"/>
      <c r="DD56" s="119"/>
      <c r="DE56" s="144"/>
      <c r="DF56" s="142"/>
      <c r="DG56" s="119"/>
      <c r="DH56" s="120"/>
      <c r="DI56" s="127"/>
      <c r="DJ56" s="127"/>
    </row>
    <row r="57" spans="1:114" x14ac:dyDescent="0.25">
      <c r="A57" s="123" t="str">
        <f>IF(Listes!A55="","",Listes!A55)</f>
        <v/>
      </c>
      <c r="B5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7" s="119"/>
      <c r="E57" s="144"/>
      <c r="F57" s="142"/>
      <c r="G57" s="119"/>
      <c r="H57" s="120"/>
      <c r="I57" s="127"/>
      <c r="J57" s="127"/>
      <c r="L57" s="119"/>
      <c r="M57" s="144"/>
      <c r="N57" s="142"/>
      <c r="O57" s="119"/>
      <c r="P57" s="120"/>
      <c r="Q57" s="127"/>
      <c r="R57" s="127"/>
      <c r="S57"/>
      <c r="T57" s="119"/>
      <c r="U57" s="144"/>
      <c r="V57" s="142"/>
      <c r="W57" s="119"/>
      <c r="X57" s="120"/>
      <c r="Y57" s="127"/>
      <c r="Z57" s="127"/>
      <c r="AA57"/>
      <c r="AB57" s="119"/>
      <c r="AC57" s="144"/>
      <c r="AD57" s="142"/>
      <c r="AE57" s="119"/>
      <c r="AF57" s="120"/>
      <c r="AG57" s="127"/>
      <c r="AH57" s="127"/>
      <c r="AI57"/>
      <c r="AJ57" s="119"/>
      <c r="AK57" s="144"/>
      <c r="AL57" s="142"/>
      <c r="AM57" s="119"/>
      <c r="AN57" s="120"/>
      <c r="AO57" s="127"/>
      <c r="AP57" s="127"/>
      <c r="AQ57"/>
      <c r="AR57" s="119"/>
      <c r="AS57" s="144"/>
      <c r="AT57" s="142"/>
      <c r="AU57" s="119"/>
      <c r="AV57" s="120"/>
      <c r="AW57" s="127"/>
      <c r="AX57" s="127"/>
      <c r="AY57"/>
      <c r="AZ57" s="119"/>
      <c r="BA57" s="144"/>
      <c r="BB57" s="142"/>
      <c r="BC57" s="119"/>
      <c r="BD57" s="120"/>
      <c r="BE57" s="127"/>
      <c r="BF57" s="127"/>
      <c r="BG57"/>
      <c r="BH57" s="119"/>
      <c r="BI57" s="144"/>
      <c r="BJ57" s="142"/>
      <c r="BK57" s="119"/>
      <c r="BL57" s="120"/>
      <c r="BM57" s="127"/>
      <c r="BN57" s="127"/>
      <c r="BO57"/>
      <c r="BP57" s="119"/>
      <c r="BQ57" s="144"/>
      <c r="BR57" s="142"/>
      <c r="BS57" s="119"/>
      <c r="BT57" s="120"/>
      <c r="BU57" s="127"/>
      <c r="BV57" s="127"/>
      <c r="BW57"/>
      <c r="BX57" s="119"/>
      <c r="BY57" s="144"/>
      <c r="BZ57" s="142"/>
      <c r="CA57" s="119"/>
      <c r="CB57" s="120"/>
      <c r="CC57" s="127"/>
      <c r="CD57" s="127"/>
      <c r="CE57"/>
      <c r="CF57" s="119"/>
      <c r="CG57" s="144"/>
      <c r="CH57" s="142"/>
      <c r="CI57" s="119"/>
      <c r="CJ57" s="120"/>
      <c r="CK57" s="127"/>
      <c r="CL57" s="127"/>
      <c r="CN57" s="119"/>
      <c r="CO57" s="144"/>
      <c r="CP57" s="142"/>
      <c r="CQ57" s="119"/>
      <c r="CR57" s="120"/>
      <c r="CS57" s="127"/>
      <c r="CT57" s="127"/>
      <c r="CV57" s="119"/>
      <c r="CW57" s="144"/>
      <c r="CX57" s="142"/>
      <c r="CY57" s="119"/>
      <c r="CZ57" s="120"/>
      <c r="DA57" s="127"/>
      <c r="DB57" s="127"/>
      <c r="DD57" s="119"/>
      <c r="DE57" s="144"/>
      <c r="DF57" s="142"/>
      <c r="DG57" s="119"/>
      <c r="DH57" s="120"/>
      <c r="DI57" s="127"/>
      <c r="DJ57" s="127"/>
    </row>
    <row r="58" spans="1:114" x14ac:dyDescent="0.25">
      <c r="A58" s="123" t="str">
        <f>IF(Listes!A56="","",Listes!A56)</f>
        <v/>
      </c>
      <c r="B5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8" s="119"/>
      <c r="E58" s="144"/>
      <c r="F58" s="142"/>
      <c r="G58" s="119"/>
      <c r="H58" s="120"/>
      <c r="I58" s="127"/>
      <c r="J58" s="127"/>
      <c r="L58" s="119"/>
      <c r="M58" s="144"/>
      <c r="N58" s="142"/>
      <c r="O58" s="119"/>
      <c r="P58" s="120"/>
      <c r="Q58" s="127"/>
      <c r="R58" s="127"/>
      <c r="S58"/>
      <c r="T58" s="119"/>
      <c r="U58" s="144"/>
      <c r="V58" s="142"/>
      <c r="W58" s="119"/>
      <c r="X58" s="120"/>
      <c r="Y58" s="127"/>
      <c r="Z58" s="127"/>
      <c r="AA58"/>
      <c r="AB58" s="119"/>
      <c r="AC58" s="144"/>
      <c r="AD58" s="142"/>
      <c r="AE58" s="119"/>
      <c r="AF58" s="120"/>
      <c r="AG58" s="127"/>
      <c r="AH58" s="127"/>
      <c r="AI58"/>
      <c r="AJ58" s="119"/>
      <c r="AK58" s="144"/>
      <c r="AL58" s="142"/>
      <c r="AM58" s="119"/>
      <c r="AN58" s="120"/>
      <c r="AO58" s="127"/>
      <c r="AP58" s="127"/>
      <c r="AQ58"/>
      <c r="AR58" s="119"/>
      <c r="AS58" s="144"/>
      <c r="AT58" s="142"/>
      <c r="AU58" s="119"/>
      <c r="AV58" s="120"/>
      <c r="AW58" s="127"/>
      <c r="AX58" s="127"/>
      <c r="AY58"/>
      <c r="AZ58" s="119"/>
      <c r="BA58" s="144"/>
      <c r="BB58" s="142"/>
      <c r="BC58" s="119"/>
      <c r="BD58" s="120"/>
      <c r="BE58" s="127"/>
      <c r="BF58" s="127"/>
      <c r="BG58"/>
      <c r="BH58" s="119"/>
      <c r="BI58" s="144"/>
      <c r="BJ58" s="142"/>
      <c r="BK58" s="119"/>
      <c r="BL58" s="120"/>
      <c r="BM58" s="127"/>
      <c r="BN58" s="127"/>
      <c r="BO58"/>
      <c r="BP58" s="119"/>
      <c r="BQ58" s="144"/>
      <c r="BR58" s="142"/>
      <c r="BS58" s="119"/>
      <c r="BT58" s="120"/>
      <c r="BU58" s="127"/>
      <c r="BV58" s="127"/>
      <c r="BW58"/>
      <c r="BX58" s="119"/>
      <c r="BY58" s="144"/>
      <c r="BZ58" s="142"/>
      <c r="CA58" s="119"/>
      <c r="CB58" s="120"/>
      <c r="CC58" s="127"/>
      <c r="CD58" s="127"/>
      <c r="CE58"/>
      <c r="CF58" s="119"/>
      <c r="CG58" s="144"/>
      <c r="CH58" s="142"/>
      <c r="CI58" s="119"/>
      <c r="CJ58" s="120"/>
      <c r="CK58" s="127"/>
      <c r="CL58" s="127"/>
      <c r="CN58" s="119"/>
      <c r="CO58" s="144"/>
      <c r="CP58" s="142"/>
      <c r="CQ58" s="119"/>
      <c r="CR58" s="120"/>
      <c r="CS58" s="127"/>
      <c r="CT58" s="127"/>
      <c r="CV58" s="119"/>
      <c r="CW58" s="144"/>
      <c r="CX58" s="142"/>
      <c r="CY58" s="119"/>
      <c r="CZ58" s="120"/>
      <c r="DA58" s="127"/>
      <c r="DB58" s="127"/>
      <c r="DD58" s="119"/>
      <c r="DE58" s="144"/>
      <c r="DF58" s="142"/>
      <c r="DG58" s="119"/>
      <c r="DH58" s="120"/>
      <c r="DI58" s="127"/>
      <c r="DJ58" s="127"/>
    </row>
    <row r="59" spans="1:114" x14ac:dyDescent="0.25">
      <c r="A59" s="123" t="str">
        <f>IF(Listes!A57="","",Listes!A57)</f>
        <v/>
      </c>
      <c r="B5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59" s="119"/>
      <c r="E59" s="144"/>
      <c r="F59" s="142"/>
      <c r="G59" s="119"/>
      <c r="H59" s="120"/>
      <c r="I59" s="127"/>
      <c r="J59" s="127"/>
      <c r="L59" s="119"/>
      <c r="M59" s="144"/>
      <c r="N59" s="142"/>
      <c r="O59" s="119"/>
      <c r="P59" s="120"/>
      <c r="Q59" s="127"/>
      <c r="R59" s="127"/>
      <c r="S59"/>
      <c r="T59" s="119"/>
      <c r="U59" s="144"/>
      <c r="V59" s="142"/>
      <c r="W59" s="119"/>
      <c r="X59" s="120"/>
      <c r="Y59" s="127"/>
      <c r="Z59" s="127"/>
      <c r="AA59"/>
      <c r="AB59" s="119"/>
      <c r="AC59" s="144"/>
      <c r="AD59" s="142"/>
      <c r="AE59" s="119"/>
      <c r="AF59" s="120"/>
      <c r="AG59" s="127"/>
      <c r="AH59" s="127"/>
      <c r="AI59"/>
      <c r="AJ59" s="119"/>
      <c r="AK59" s="144"/>
      <c r="AL59" s="142"/>
      <c r="AM59" s="119"/>
      <c r="AN59" s="120"/>
      <c r="AO59" s="127"/>
      <c r="AP59" s="127"/>
      <c r="AQ59"/>
      <c r="AR59" s="119"/>
      <c r="AS59" s="144"/>
      <c r="AT59" s="142"/>
      <c r="AU59" s="119"/>
      <c r="AV59" s="120"/>
      <c r="AW59" s="127"/>
      <c r="AX59" s="127"/>
      <c r="AY59"/>
      <c r="AZ59" s="119"/>
      <c r="BA59" s="144"/>
      <c r="BB59" s="142"/>
      <c r="BC59" s="119"/>
      <c r="BD59" s="120"/>
      <c r="BE59" s="127"/>
      <c r="BF59" s="127"/>
      <c r="BG59"/>
      <c r="BH59" s="119"/>
      <c r="BI59" s="144"/>
      <c r="BJ59" s="142"/>
      <c r="BK59" s="119"/>
      <c r="BL59" s="120"/>
      <c r="BM59" s="127"/>
      <c r="BN59" s="127"/>
      <c r="BO59"/>
      <c r="BP59" s="119"/>
      <c r="BQ59" s="144"/>
      <c r="BR59" s="142"/>
      <c r="BS59" s="119"/>
      <c r="BT59" s="120"/>
      <c r="BU59" s="127"/>
      <c r="BV59" s="127"/>
      <c r="BW59"/>
      <c r="BX59" s="119"/>
      <c r="BY59" s="144"/>
      <c r="BZ59" s="142"/>
      <c r="CA59" s="119"/>
      <c r="CB59" s="120"/>
      <c r="CC59" s="127"/>
      <c r="CD59" s="127"/>
      <c r="CE59"/>
      <c r="CF59" s="119"/>
      <c r="CG59" s="144"/>
      <c r="CH59" s="142"/>
      <c r="CI59" s="119"/>
      <c r="CJ59" s="120"/>
      <c r="CK59" s="127"/>
      <c r="CL59" s="127"/>
      <c r="CN59" s="119"/>
      <c r="CO59" s="144"/>
      <c r="CP59" s="142"/>
      <c r="CQ59" s="119"/>
      <c r="CR59" s="120"/>
      <c r="CS59" s="127"/>
      <c r="CT59" s="127"/>
      <c r="CV59" s="119"/>
      <c r="CW59" s="144"/>
      <c r="CX59" s="142"/>
      <c r="CY59" s="119"/>
      <c r="CZ59" s="120"/>
      <c r="DA59" s="127"/>
      <c r="DB59" s="127"/>
      <c r="DD59" s="119"/>
      <c r="DE59" s="144"/>
      <c r="DF59" s="142"/>
      <c r="DG59" s="119"/>
      <c r="DH59" s="120"/>
      <c r="DI59" s="127"/>
      <c r="DJ59" s="127"/>
    </row>
    <row r="60" spans="1:114" x14ac:dyDescent="0.25">
      <c r="A60" s="123" t="str">
        <f>IF(Listes!A58="","",Listes!A58)</f>
        <v/>
      </c>
      <c r="B6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0" s="119"/>
      <c r="E60" s="144"/>
      <c r="F60" s="142"/>
      <c r="G60" s="119"/>
      <c r="H60" s="120"/>
      <c r="I60" s="127"/>
      <c r="J60" s="127"/>
      <c r="L60" s="119"/>
      <c r="M60" s="144"/>
      <c r="N60" s="142"/>
      <c r="O60" s="119"/>
      <c r="P60" s="120"/>
      <c r="Q60" s="127"/>
      <c r="R60" s="127"/>
      <c r="S60"/>
      <c r="T60" s="119"/>
      <c r="U60" s="144"/>
      <c r="V60" s="142"/>
      <c r="W60" s="119"/>
      <c r="X60" s="120"/>
      <c r="Y60" s="127"/>
      <c r="Z60" s="127"/>
      <c r="AA60"/>
      <c r="AB60" s="119"/>
      <c r="AC60" s="144"/>
      <c r="AD60" s="142"/>
      <c r="AE60" s="119"/>
      <c r="AF60" s="120"/>
      <c r="AG60" s="127"/>
      <c r="AH60" s="127"/>
      <c r="AI60"/>
      <c r="AJ60" s="119"/>
      <c r="AK60" s="144"/>
      <c r="AL60" s="142"/>
      <c r="AM60" s="119"/>
      <c r="AN60" s="120"/>
      <c r="AO60" s="127"/>
      <c r="AP60" s="127"/>
      <c r="AQ60"/>
      <c r="AR60" s="119"/>
      <c r="AS60" s="144"/>
      <c r="AT60" s="142"/>
      <c r="AU60" s="119"/>
      <c r="AV60" s="120"/>
      <c r="AW60" s="127"/>
      <c r="AX60" s="127"/>
      <c r="AY60"/>
      <c r="AZ60" s="119"/>
      <c r="BA60" s="144"/>
      <c r="BB60" s="142"/>
      <c r="BC60" s="119"/>
      <c r="BD60" s="120"/>
      <c r="BE60" s="127"/>
      <c r="BF60" s="127"/>
      <c r="BG60"/>
      <c r="BH60" s="119"/>
      <c r="BI60" s="144"/>
      <c r="BJ60" s="142"/>
      <c r="BK60" s="119"/>
      <c r="BL60" s="120"/>
      <c r="BM60" s="127"/>
      <c r="BN60" s="127"/>
      <c r="BO60"/>
      <c r="BP60" s="119"/>
      <c r="BQ60" s="144"/>
      <c r="BR60" s="142"/>
      <c r="BS60" s="119"/>
      <c r="BT60" s="120"/>
      <c r="BU60" s="127"/>
      <c r="BV60" s="127"/>
      <c r="BW60"/>
      <c r="BX60" s="119"/>
      <c r="BY60" s="144"/>
      <c r="BZ60" s="142"/>
      <c r="CA60" s="119"/>
      <c r="CB60" s="120"/>
      <c r="CC60" s="127"/>
      <c r="CD60" s="127"/>
      <c r="CE60"/>
      <c r="CF60" s="119"/>
      <c r="CG60" s="144"/>
      <c r="CH60" s="142"/>
      <c r="CI60" s="119"/>
      <c r="CJ60" s="120"/>
      <c r="CK60" s="127"/>
      <c r="CL60" s="127"/>
      <c r="CN60" s="119"/>
      <c r="CO60" s="144"/>
      <c r="CP60" s="142"/>
      <c r="CQ60" s="119"/>
      <c r="CR60" s="120"/>
      <c r="CS60" s="127"/>
      <c r="CT60" s="127"/>
      <c r="CV60" s="119"/>
      <c r="CW60" s="144"/>
      <c r="CX60" s="142"/>
      <c r="CY60" s="119"/>
      <c r="CZ60" s="120"/>
      <c r="DA60" s="127"/>
      <c r="DB60" s="127"/>
      <c r="DD60" s="119"/>
      <c r="DE60" s="144"/>
      <c r="DF60" s="142"/>
      <c r="DG60" s="119"/>
      <c r="DH60" s="120"/>
      <c r="DI60" s="127"/>
      <c r="DJ60" s="127"/>
    </row>
    <row r="61" spans="1:114" x14ac:dyDescent="0.25">
      <c r="A61" s="123" t="str">
        <f>IF(Listes!A59="","",Listes!A59)</f>
        <v/>
      </c>
      <c r="B61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1" s="119"/>
      <c r="E61" s="144"/>
      <c r="F61" s="142"/>
      <c r="G61" s="119"/>
      <c r="H61" s="120"/>
      <c r="I61" s="127"/>
      <c r="J61" s="127"/>
      <c r="L61" s="119"/>
      <c r="M61" s="144"/>
      <c r="N61" s="142"/>
      <c r="O61" s="119"/>
      <c r="P61" s="120"/>
      <c r="Q61" s="127"/>
      <c r="R61" s="127"/>
      <c r="S61"/>
      <c r="T61" s="119"/>
      <c r="U61" s="144"/>
      <c r="V61" s="142"/>
      <c r="W61" s="119"/>
      <c r="X61" s="120"/>
      <c r="Y61" s="127"/>
      <c r="Z61" s="127"/>
      <c r="AA61"/>
      <c r="AB61" s="119"/>
      <c r="AC61" s="144"/>
      <c r="AD61" s="142"/>
      <c r="AE61" s="119"/>
      <c r="AF61" s="120"/>
      <c r="AG61" s="127"/>
      <c r="AH61" s="127"/>
      <c r="AI61"/>
      <c r="AJ61" s="119"/>
      <c r="AK61" s="144"/>
      <c r="AL61" s="142"/>
      <c r="AM61" s="119"/>
      <c r="AN61" s="120"/>
      <c r="AO61" s="127"/>
      <c r="AP61" s="127"/>
      <c r="AQ61"/>
      <c r="AR61" s="119"/>
      <c r="AS61" s="144"/>
      <c r="AT61" s="142"/>
      <c r="AU61" s="119"/>
      <c r="AV61" s="120"/>
      <c r="AW61" s="127"/>
      <c r="AX61" s="127"/>
      <c r="AY61"/>
      <c r="AZ61" s="119"/>
      <c r="BA61" s="144"/>
      <c r="BB61" s="142"/>
      <c r="BC61" s="119"/>
      <c r="BD61" s="120"/>
      <c r="BE61" s="127"/>
      <c r="BF61" s="127"/>
      <c r="BG61"/>
      <c r="BH61" s="119"/>
      <c r="BI61" s="144"/>
      <c r="BJ61" s="142"/>
      <c r="BK61" s="119"/>
      <c r="BL61" s="120"/>
      <c r="BM61" s="127"/>
      <c r="BN61" s="127"/>
      <c r="BO61"/>
      <c r="BP61" s="119"/>
      <c r="BQ61" s="144"/>
      <c r="BR61" s="142"/>
      <c r="BS61" s="119"/>
      <c r="BT61" s="120"/>
      <c r="BU61" s="127"/>
      <c r="BV61" s="127"/>
      <c r="BW61"/>
      <c r="BX61" s="119"/>
      <c r="BY61" s="144"/>
      <c r="BZ61" s="142"/>
      <c r="CA61" s="119"/>
      <c r="CB61" s="120"/>
      <c r="CC61" s="127"/>
      <c r="CD61" s="127"/>
      <c r="CE61"/>
      <c r="CF61" s="119"/>
      <c r="CG61" s="144"/>
      <c r="CH61" s="142"/>
      <c r="CI61" s="119"/>
      <c r="CJ61" s="120"/>
      <c r="CK61" s="127"/>
      <c r="CL61" s="127"/>
      <c r="CN61" s="119"/>
      <c r="CO61" s="144"/>
      <c r="CP61" s="142"/>
      <c r="CQ61" s="119"/>
      <c r="CR61" s="120"/>
      <c r="CS61" s="127"/>
      <c r="CT61" s="127"/>
      <c r="CV61" s="119"/>
      <c r="CW61" s="144"/>
      <c r="CX61" s="142"/>
      <c r="CY61" s="119"/>
      <c r="CZ61" s="120"/>
      <c r="DA61" s="127"/>
      <c r="DB61" s="127"/>
      <c r="DD61" s="119"/>
      <c r="DE61" s="144"/>
      <c r="DF61" s="142"/>
      <c r="DG61" s="119"/>
      <c r="DH61" s="120"/>
      <c r="DI61" s="127"/>
      <c r="DJ61" s="127"/>
    </row>
    <row r="62" spans="1:114" x14ac:dyDescent="0.25">
      <c r="A62" s="123" t="str">
        <f>IF(Listes!A60="","",Listes!A60)</f>
        <v/>
      </c>
      <c r="B62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2" s="119"/>
      <c r="E62" s="144"/>
      <c r="F62" s="142"/>
      <c r="G62" s="119"/>
      <c r="H62" s="120"/>
      <c r="I62" s="127"/>
      <c r="J62" s="127"/>
      <c r="L62" s="119"/>
      <c r="M62" s="144"/>
      <c r="N62" s="142"/>
      <c r="O62" s="119"/>
      <c r="P62" s="120"/>
      <c r="Q62" s="127"/>
      <c r="R62" s="127"/>
      <c r="S62"/>
      <c r="T62" s="119"/>
      <c r="U62" s="144"/>
      <c r="V62" s="142"/>
      <c r="W62" s="119"/>
      <c r="X62" s="120"/>
      <c r="Y62" s="127"/>
      <c r="Z62" s="127"/>
      <c r="AA62"/>
      <c r="AB62" s="119"/>
      <c r="AC62" s="144"/>
      <c r="AD62" s="142"/>
      <c r="AE62" s="119"/>
      <c r="AF62" s="120"/>
      <c r="AG62" s="127"/>
      <c r="AH62" s="127"/>
      <c r="AI62"/>
      <c r="AJ62" s="119"/>
      <c r="AK62" s="144"/>
      <c r="AL62" s="142"/>
      <c r="AM62" s="119"/>
      <c r="AN62" s="120"/>
      <c r="AO62" s="127"/>
      <c r="AP62" s="127"/>
      <c r="AQ62"/>
      <c r="AR62" s="119"/>
      <c r="AS62" s="144"/>
      <c r="AT62" s="142"/>
      <c r="AU62" s="119"/>
      <c r="AV62" s="120"/>
      <c r="AW62" s="127"/>
      <c r="AX62" s="127"/>
      <c r="AY62"/>
      <c r="AZ62" s="119"/>
      <c r="BA62" s="144"/>
      <c r="BB62" s="142"/>
      <c r="BC62" s="119"/>
      <c r="BD62" s="120"/>
      <c r="BE62" s="127"/>
      <c r="BF62" s="127"/>
      <c r="BG62"/>
      <c r="BH62" s="119"/>
      <c r="BI62" s="144"/>
      <c r="BJ62" s="142"/>
      <c r="BK62" s="119"/>
      <c r="BL62" s="120"/>
      <c r="BM62" s="127"/>
      <c r="BN62" s="127"/>
      <c r="BO62"/>
      <c r="BP62" s="119"/>
      <c r="BQ62" s="144"/>
      <c r="BR62" s="142"/>
      <c r="BS62" s="119"/>
      <c r="BT62" s="120"/>
      <c r="BU62" s="127"/>
      <c r="BV62" s="127"/>
      <c r="BW62"/>
      <c r="BX62" s="119"/>
      <c r="BY62" s="144"/>
      <c r="BZ62" s="142"/>
      <c r="CA62" s="119"/>
      <c r="CB62" s="120"/>
      <c r="CC62" s="127"/>
      <c r="CD62" s="127"/>
      <c r="CE62"/>
      <c r="CF62" s="119"/>
      <c r="CG62" s="144"/>
      <c r="CH62" s="142"/>
      <c r="CI62" s="119"/>
      <c r="CJ62" s="120"/>
      <c r="CK62" s="127"/>
      <c r="CL62" s="127"/>
      <c r="CN62" s="119"/>
      <c r="CO62" s="144"/>
      <c r="CP62" s="142"/>
      <c r="CQ62" s="119"/>
      <c r="CR62" s="120"/>
      <c r="CS62" s="127"/>
      <c r="CT62" s="127"/>
      <c r="CV62" s="119"/>
      <c r="CW62" s="144"/>
      <c r="CX62" s="142"/>
      <c r="CY62" s="119"/>
      <c r="CZ62" s="120"/>
      <c r="DA62" s="127"/>
      <c r="DB62" s="127"/>
      <c r="DD62" s="119"/>
      <c r="DE62" s="144"/>
      <c r="DF62" s="142"/>
      <c r="DG62" s="119"/>
      <c r="DH62" s="120"/>
      <c r="DI62" s="127"/>
      <c r="DJ62" s="127"/>
    </row>
    <row r="63" spans="1:114" x14ac:dyDescent="0.25">
      <c r="A63" s="123" t="str">
        <f>IF(Listes!A61="","",Listes!A61)</f>
        <v/>
      </c>
      <c r="B63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3" s="119"/>
      <c r="E63" s="144"/>
      <c r="F63" s="142"/>
      <c r="G63" s="119"/>
      <c r="H63" s="120"/>
      <c r="I63" s="127"/>
      <c r="J63" s="127"/>
      <c r="L63" s="119"/>
      <c r="M63" s="144"/>
      <c r="N63" s="142"/>
      <c r="O63" s="119"/>
      <c r="P63" s="120"/>
      <c r="Q63" s="127"/>
      <c r="R63" s="127"/>
      <c r="S63"/>
      <c r="T63" s="119"/>
      <c r="U63" s="144"/>
      <c r="V63" s="142"/>
      <c r="W63" s="119"/>
      <c r="X63" s="120"/>
      <c r="Y63" s="127"/>
      <c r="Z63" s="127"/>
      <c r="AA63"/>
      <c r="AB63" s="119"/>
      <c r="AC63" s="144"/>
      <c r="AD63" s="142"/>
      <c r="AE63" s="119"/>
      <c r="AF63" s="120"/>
      <c r="AG63" s="127"/>
      <c r="AH63" s="127"/>
      <c r="AI63"/>
      <c r="AJ63" s="119"/>
      <c r="AK63" s="144"/>
      <c r="AL63" s="142"/>
      <c r="AM63" s="119"/>
      <c r="AN63" s="120"/>
      <c r="AO63" s="127"/>
      <c r="AP63" s="127"/>
      <c r="AQ63"/>
      <c r="AR63" s="119"/>
      <c r="AS63" s="144"/>
      <c r="AT63" s="142"/>
      <c r="AU63" s="119"/>
      <c r="AV63" s="120"/>
      <c r="AW63" s="127"/>
      <c r="AX63" s="127"/>
      <c r="AY63"/>
      <c r="AZ63" s="119"/>
      <c r="BA63" s="144"/>
      <c r="BB63" s="142"/>
      <c r="BC63" s="119"/>
      <c r="BD63" s="120"/>
      <c r="BE63" s="127"/>
      <c r="BF63" s="127"/>
      <c r="BG63"/>
      <c r="BH63" s="119"/>
      <c r="BI63" s="144"/>
      <c r="BJ63" s="142"/>
      <c r="BK63" s="119"/>
      <c r="BL63" s="120"/>
      <c r="BM63" s="127"/>
      <c r="BN63" s="127"/>
      <c r="BO63"/>
      <c r="BP63" s="119"/>
      <c r="BQ63" s="144"/>
      <c r="BR63" s="142"/>
      <c r="BS63" s="119"/>
      <c r="BT63" s="120"/>
      <c r="BU63" s="127"/>
      <c r="BV63" s="127"/>
      <c r="BW63"/>
      <c r="BX63" s="119"/>
      <c r="BY63" s="144"/>
      <c r="BZ63" s="142"/>
      <c r="CA63" s="119"/>
      <c r="CB63" s="120"/>
      <c r="CC63" s="127"/>
      <c r="CD63" s="127"/>
      <c r="CE63"/>
      <c r="CF63" s="119"/>
      <c r="CG63" s="144"/>
      <c r="CH63" s="142"/>
      <c r="CI63" s="119"/>
      <c r="CJ63" s="120"/>
      <c r="CK63" s="127"/>
      <c r="CL63" s="127"/>
      <c r="CN63" s="119"/>
      <c r="CO63" s="144"/>
      <c r="CP63" s="142"/>
      <c r="CQ63" s="119"/>
      <c r="CR63" s="120"/>
      <c r="CS63" s="127"/>
      <c r="CT63" s="127"/>
      <c r="CV63" s="119"/>
      <c r="CW63" s="144"/>
      <c r="CX63" s="142"/>
      <c r="CY63" s="119"/>
      <c r="CZ63" s="120"/>
      <c r="DA63" s="127"/>
      <c r="DB63" s="127"/>
      <c r="DD63" s="119"/>
      <c r="DE63" s="144"/>
      <c r="DF63" s="142"/>
      <c r="DG63" s="119"/>
      <c r="DH63" s="120"/>
      <c r="DI63" s="127"/>
      <c r="DJ63" s="127"/>
    </row>
    <row r="64" spans="1:114" x14ac:dyDescent="0.25">
      <c r="A64" s="123" t="str">
        <f>IF(Listes!A62="","",Listes!A62)</f>
        <v/>
      </c>
      <c r="B64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4" s="119"/>
      <c r="E64" s="144"/>
      <c r="F64" s="142"/>
      <c r="G64" s="119"/>
      <c r="H64" s="120"/>
      <c r="I64" s="127"/>
      <c r="J64" s="127"/>
      <c r="L64" s="119"/>
      <c r="M64" s="144"/>
      <c r="N64" s="142"/>
      <c r="O64" s="119"/>
      <c r="P64" s="120"/>
      <c r="Q64" s="127"/>
      <c r="R64" s="127"/>
      <c r="S64"/>
      <c r="T64" s="119"/>
      <c r="U64" s="144"/>
      <c r="V64" s="142"/>
      <c r="W64" s="119"/>
      <c r="X64" s="120"/>
      <c r="Y64" s="127"/>
      <c r="Z64" s="127"/>
      <c r="AA64"/>
      <c r="AB64" s="119"/>
      <c r="AC64" s="144"/>
      <c r="AD64" s="142"/>
      <c r="AE64" s="119"/>
      <c r="AF64" s="120"/>
      <c r="AG64" s="127"/>
      <c r="AH64" s="127"/>
      <c r="AI64"/>
      <c r="AJ64" s="119"/>
      <c r="AK64" s="144"/>
      <c r="AL64" s="142"/>
      <c r="AM64" s="119"/>
      <c r="AN64" s="120"/>
      <c r="AO64" s="127"/>
      <c r="AP64" s="127"/>
      <c r="AQ64"/>
      <c r="AR64" s="119"/>
      <c r="AS64" s="144"/>
      <c r="AT64" s="142"/>
      <c r="AU64" s="119"/>
      <c r="AV64" s="120"/>
      <c r="AW64" s="127"/>
      <c r="AX64" s="127"/>
      <c r="AY64"/>
      <c r="AZ64" s="119"/>
      <c r="BA64" s="144"/>
      <c r="BB64" s="142"/>
      <c r="BC64" s="119"/>
      <c r="BD64" s="120"/>
      <c r="BE64" s="127"/>
      <c r="BF64" s="127"/>
      <c r="BG64"/>
      <c r="BH64" s="119"/>
      <c r="BI64" s="144"/>
      <c r="BJ64" s="142"/>
      <c r="BK64" s="119"/>
      <c r="BL64" s="120"/>
      <c r="BM64" s="127"/>
      <c r="BN64" s="127"/>
      <c r="BO64"/>
      <c r="BP64" s="119"/>
      <c r="BQ64" s="144"/>
      <c r="BR64" s="142"/>
      <c r="BS64" s="119"/>
      <c r="BT64" s="120"/>
      <c r="BU64" s="127"/>
      <c r="BV64" s="127"/>
      <c r="BW64"/>
      <c r="BX64" s="119"/>
      <c r="BY64" s="144"/>
      <c r="BZ64" s="142"/>
      <c r="CA64" s="119"/>
      <c r="CB64" s="120"/>
      <c r="CC64" s="127"/>
      <c r="CD64" s="127"/>
      <c r="CE64"/>
      <c r="CF64" s="119"/>
      <c r="CG64" s="144"/>
      <c r="CH64" s="142"/>
      <c r="CI64" s="119"/>
      <c r="CJ64" s="120"/>
      <c r="CK64" s="127"/>
      <c r="CL64" s="127"/>
      <c r="CN64" s="119"/>
      <c r="CO64" s="144"/>
      <c r="CP64" s="142"/>
      <c r="CQ64" s="119"/>
      <c r="CR64" s="120"/>
      <c r="CS64" s="127"/>
      <c r="CT64" s="127"/>
      <c r="CV64" s="119"/>
      <c r="CW64" s="144"/>
      <c r="CX64" s="142"/>
      <c r="CY64" s="119"/>
      <c r="CZ64" s="120"/>
      <c r="DA64" s="127"/>
      <c r="DB64" s="127"/>
      <c r="DD64" s="119"/>
      <c r="DE64" s="144"/>
      <c r="DF64" s="142"/>
      <c r="DG64" s="119"/>
      <c r="DH64" s="120"/>
      <c r="DI64" s="127"/>
      <c r="DJ64" s="127"/>
    </row>
    <row r="65" spans="1:114" x14ac:dyDescent="0.25">
      <c r="A65" s="123" t="str">
        <f>IF(Listes!A63="","",Listes!A63)</f>
        <v/>
      </c>
      <c r="B65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5" s="119"/>
      <c r="E65" s="144"/>
      <c r="F65" s="142"/>
      <c r="G65" s="119"/>
      <c r="H65" s="120"/>
      <c r="I65" s="127"/>
      <c r="J65" s="127"/>
      <c r="L65" s="119"/>
      <c r="M65" s="144"/>
      <c r="N65" s="142"/>
      <c r="O65" s="119"/>
      <c r="P65" s="120"/>
      <c r="Q65" s="127"/>
      <c r="R65" s="127"/>
      <c r="S65"/>
      <c r="T65" s="119"/>
      <c r="U65" s="144"/>
      <c r="V65" s="142"/>
      <c r="W65" s="119"/>
      <c r="X65" s="120"/>
      <c r="Y65" s="127"/>
      <c r="Z65" s="127"/>
      <c r="AA65"/>
      <c r="AB65" s="119"/>
      <c r="AC65" s="144"/>
      <c r="AD65" s="142"/>
      <c r="AE65" s="119"/>
      <c r="AF65" s="120"/>
      <c r="AG65" s="127"/>
      <c r="AH65" s="127"/>
      <c r="AI65"/>
      <c r="AJ65" s="119"/>
      <c r="AK65" s="144"/>
      <c r="AL65" s="142"/>
      <c r="AM65" s="119"/>
      <c r="AN65" s="120"/>
      <c r="AO65" s="127"/>
      <c r="AP65" s="127"/>
      <c r="AQ65"/>
      <c r="AR65" s="119"/>
      <c r="AS65" s="144"/>
      <c r="AT65" s="142"/>
      <c r="AU65" s="119"/>
      <c r="AV65" s="120"/>
      <c r="AW65" s="127"/>
      <c r="AX65" s="127"/>
      <c r="AY65"/>
      <c r="AZ65" s="119"/>
      <c r="BA65" s="144"/>
      <c r="BB65" s="142"/>
      <c r="BC65" s="119"/>
      <c r="BD65" s="120"/>
      <c r="BE65" s="127"/>
      <c r="BF65" s="127"/>
      <c r="BG65"/>
      <c r="BH65" s="119"/>
      <c r="BI65" s="144"/>
      <c r="BJ65" s="142"/>
      <c r="BK65" s="119"/>
      <c r="BL65" s="120"/>
      <c r="BM65" s="127"/>
      <c r="BN65" s="127"/>
      <c r="BO65"/>
      <c r="BP65" s="119"/>
      <c r="BQ65" s="144"/>
      <c r="BR65" s="142"/>
      <c r="BS65" s="119"/>
      <c r="BT65" s="120"/>
      <c r="BU65" s="127"/>
      <c r="BV65" s="127"/>
      <c r="BW65"/>
      <c r="BX65" s="119"/>
      <c r="BY65" s="144"/>
      <c r="BZ65" s="142"/>
      <c r="CA65" s="119"/>
      <c r="CB65" s="120"/>
      <c r="CC65" s="127"/>
      <c r="CD65" s="127"/>
      <c r="CE65"/>
      <c r="CF65" s="119"/>
      <c r="CG65" s="144"/>
      <c r="CH65" s="142"/>
      <c r="CI65" s="119"/>
      <c r="CJ65" s="120"/>
      <c r="CK65" s="127"/>
      <c r="CL65" s="127"/>
      <c r="CN65" s="119"/>
      <c r="CO65" s="144"/>
      <c r="CP65" s="142"/>
      <c r="CQ65" s="119"/>
      <c r="CR65" s="120"/>
      <c r="CS65" s="127"/>
      <c r="CT65" s="127"/>
      <c r="CV65" s="119"/>
      <c r="CW65" s="144"/>
      <c r="CX65" s="142"/>
      <c r="CY65" s="119"/>
      <c r="CZ65" s="120"/>
      <c r="DA65" s="127"/>
      <c r="DB65" s="127"/>
      <c r="DD65" s="119"/>
      <c r="DE65" s="144"/>
      <c r="DF65" s="142"/>
      <c r="DG65" s="119"/>
      <c r="DH65" s="120"/>
      <c r="DI65" s="127"/>
      <c r="DJ65" s="127"/>
    </row>
    <row r="66" spans="1:114" x14ac:dyDescent="0.25">
      <c r="A66" s="123" t="str">
        <f>IF(Listes!A64="","",Listes!A64)</f>
        <v/>
      </c>
      <c r="B66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6" s="119"/>
      <c r="E66" s="144"/>
      <c r="F66" s="142"/>
      <c r="G66" s="119"/>
      <c r="H66" s="120"/>
      <c r="I66" s="127"/>
      <c r="J66" s="127"/>
      <c r="L66" s="119"/>
      <c r="M66" s="144"/>
      <c r="N66" s="142"/>
      <c r="O66" s="119"/>
      <c r="P66" s="120"/>
      <c r="Q66" s="127"/>
      <c r="R66" s="127"/>
      <c r="S66"/>
      <c r="T66" s="119"/>
      <c r="U66" s="144"/>
      <c r="V66" s="142"/>
      <c r="W66" s="119"/>
      <c r="X66" s="120"/>
      <c r="Y66" s="127"/>
      <c r="Z66" s="127"/>
      <c r="AA66"/>
      <c r="AB66" s="119"/>
      <c r="AC66" s="144"/>
      <c r="AD66" s="142"/>
      <c r="AE66" s="119"/>
      <c r="AF66" s="120"/>
      <c r="AG66" s="127"/>
      <c r="AH66" s="127"/>
      <c r="AI66"/>
      <c r="AJ66" s="119"/>
      <c r="AK66" s="144"/>
      <c r="AL66" s="142"/>
      <c r="AM66" s="119"/>
      <c r="AN66" s="120"/>
      <c r="AO66" s="127"/>
      <c r="AP66" s="127"/>
      <c r="AQ66"/>
      <c r="AR66" s="119"/>
      <c r="AS66" s="144"/>
      <c r="AT66" s="142"/>
      <c r="AU66" s="119"/>
      <c r="AV66" s="120"/>
      <c r="AW66" s="127"/>
      <c r="AX66" s="127"/>
      <c r="AY66"/>
      <c r="AZ66" s="119"/>
      <c r="BA66" s="144"/>
      <c r="BB66" s="142"/>
      <c r="BC66" s="119"/>
      <c r="BD66" s="120"/>
      <c r="BE66" s="127"/>
      <c r="BF66" s="127"/>
      <c r="BG66"/>
      <c r="BH66" s="119"/>
      <c r="BI66" s="144"/>
      <c r="BJ66" s="142"/>
      <c r="BK66" s="119"/>
      <c r="BL66" s="120"/>
      <c r="BM66" s="127"/>
      <c r="BN66" s="127"/>
      <c r="BO66"/>
      <c r="BP66" s="119"/>
      <c r="BQ66" s="144"/>
      <c r="BR66" s="142"/>
      <c r="BS66" s="119"/>
      <c r="BT66" s="120"/>
      <c r="BU66" s="127"/>
      <c r="BV66" s="127"/>
      <c r="BW66"/>
      <c r="BX66" s="119"/>
      <c r="BY66" s="144"/>
      <c r="BZ66" s="142"/>
      <c r="CA66" s="119"/>
      <c r="CB66" s="120"/>
      <c r="CC66" s="127"/>
      <c r="CD66" s="127"/>
      <c r="CE66"/>
      <c r="CF66" s="119"/>
      <c r="CG66" s="144"/>
      <c r="CH66" s="142"/>
      <c r="CI66" s="119"/>
      <c r="CJ66" s="120"/>
      <c r="CK66" s="127"/>
      <c r="CL66" s="127"/>
      <c r="CN66" s="119"/>
      <c r="CO66" s="144"/>
      <c r="CP66" s="142"/>
      <c r="CQ66" s="119"/>
      <c r="CR66" s="120"/>
      <c r="CS66" s="127"/>
      <c r="CT66" s="127"/>
      <c r="CV66" s="119"/>
      <c r="CW66" s="144"/>
      <c r="CX66" s="142"/>
      <c r="CY66" s="119"/>
      <c r="CZ66" s="120"/>
      <c r="DA66" s="127"/>
      <c r="DB66" s="127"/>
      <c r="DD66" s="119"/>
      <c r="DE66" s="144"/>
      <c r="DF66" s="142"/>
      <c r="DG66" s="119"/>
      <c r="DH66" s="120"/>
      <c r="DI66" s="127"/>
      <c r="DJ66" s="127"/>
    </row>
    <row r="67" spans="1:114" x14ac:dyDescent="0.25">
      <c r="A67" s="123" t="str">
        <f>IF(Listes!A65="","",Listes!A65)</f>
        <v/>
      </c>
      <c r="B67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7" s="119"/>
      <c r="E67" s="144"/>
      <c r="F67" s="142"/>
      <c r="G67" s="119"/>
      <c r="H67" s="120"/>
      <c r="I67" s="127"/>
      <c r="J67" s="127"/>
      <c r="L67" s="119"/>
      <c r="M67" s="144"/>
      <c r="N67" s="142"/>
      <c r="O67" s="119"/>
      <c r="P67" s="120"/>
      <c r="Q67" s="127"/>
      <c r="R67" s="127"/>
      <c r="S67"/>
      <c r="T67" s="119"/>
      <c r="U67" s="144"/>
      <c r="V67" s="142"/>
      <c r="W67" s="119"/>
      <c r="X67" s="120"/>
      <c r="Y67" s="127"/>
      <c r="Z67" s="127"/>
      <c r="AA67"/>
      <c r="AB67" s="119"/>
      <c r="AC67" s="144"/>
      <c r="AD67" s="142"/>
      <c r="AE67" s="119"/>
      <c r="AF67" s="120"/>
      <c r="AG67" s="127"/>
      <c r="AH67" s="127"/>
      <c r="AI67"/>
      <c r="AJ67" s="119"/>
      <c r="AK67" s="144"/>
      <c r="AL67" s="142"/>
      <c r="AM67" s="119"/>
      <c r="AN67" s="120"/>
      <c r="AO67" s="127"/>
      <c r="AP67" s="127"/>
      <c r="AQ67"/>
      <c r="AR67" s="119"/>
      <c r="AS67" s="144"/>
      <c r="AT67" s="142"/>
      <c r="AU67" s="119"/>
      <c r="AV67" s="120"/>
      <c r="AW67" s="127"/>
      <c r="AX67" s="127"/>
      <c r="AY67"/>
      <c r="AZ67" s="119"/>
      <c r="BA67" s="144"/>
      <c r="BB67" s="142"/>
      <c r="BC67" s="119"/>
      <c r="BD67" s="120"/>
      <c r="BE67" s="127"/>
      <c r="BF67" s="127"/>
      <c r="BG67"/>
      <c r="BH67" s="119"/>
      <c r="BI67" s="144"/>
      <c r="BJ67" s="142"/>
      <c r="BK67" s="119"/>
      <c r="BL67" s="120"/>
      <c r="BM67" s="127"/>
      <c r="BN67" s="127"/>
      <c r="BO67"/>
      <c r="BP67" s="119"/>
      <c r="BQ67" s="144"/>
      <c r="BR67" s="142"/>
      <c r="BS67" s="119"/>
      <c r="BT67" s="120"/>
      <c r="BU67" s="127"/>
      <c r="BV67" s="127"/>
      <c r="BW67"/>
      <c r="BX67" s="119"/>
      <c r="BY67" s="144"/>
      <c r="BZ67" s="142"/>
      <c r="CA67" s="119"/>
      <c r="CB67" s="120"/>
      <c r="CC67" s="127"/>
      <c r="CD67" s="127"/>
      <c r="CE67"/>
      <c r="CF67" s="119"/>
      <c r="CG67" s="144"/>
      <c r="CH67" s="142"/>
      <c r="CI67" s="119"/>
      <c r="CJ67" s="120"/>
      <c r="CK67" s="127"/>
      <c r="CL67" s="127"/>
      <c r="CN67" s="119"/>
      <c r="CO67" s="144"/>
      <c r="CP67" s="142"/>
      <c r="CQ67" s="119"/>
      <c r="CR67" s="120"/>
      <c r="CS67" s="127"/>
      <c r="CT67" s="127"/>
      <c r="CV67" s="119"/>
      <c r="CW67" s="144"/>
      <c r="CX67" s="142"/>
      <c r="CY67" s="119"/>
      <c r="CZ67" s="120"/>
      <c r="DA67" s="127"/>
      <c r="DB67" s="127"/>
      <c r="DD67" s="119"/>
      <c r="DE67" s="144"/>
      <c r="DF67" s="142"/>
      <c r="DG67" s="119"/>
      <c r="DH67" s="120"/>
      <c r="DI67" s="127"/>
      <c r="DJ67" s="127"/>
    </row>
    <row r="68" spans="1:114" x14ac:dyDescent="0.25">
      <c r="A68" s="123" t="str">
        <f>IF(Listes!A66="","",Listes!A66)</f>
        <v/>
      </c>
      <c r="B68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8" s="119"/>
      <c r="E68" s="144"/>
      <c r="F68" s="142"/>
      <c r="G68" s="119"/>
      <c r="H68" s="120"/>
      <c r="I68" s="127"/>
      <c r="J68" s="127"/>
      <c r="L68" s="119"/>
      <c r="M68" s="144"/>
      <c r="N68" s="142"/>
      <c r="O68" s="119"/>
      <c r="P68" s="120"/>
      <c r="Q68" s="127"/>
      <c r="R68" s="127"/>
      <c r="S68"/>
      <c r="T68" s="119"/>
      <c r="U68" s="144"/>
      <c r="V68" s="142"/>
      <c r="W68" s="119"/>
      <c r="X68" s="120"/>
      <c r="Y68" s="127"/>
      <c r="Z68" s="127"/>
      <c r="AA68"/>
      <c r="AB68" s="119"/>
      <c r="AC68" s="144"/>
      <c r="AD68" s="142"/>
      <c r="AE68" s="119"/>
      <c r="AF68" s="120"/>
      <c r="AG68" s="127"/>
      <c r="AH68" s="127"/>
      <c r="AI68"/>
      <c r="AJ68" s="119"/>
      <c r="AK68" s="144"/>
      <c r="AL68" s="142"/>
      <c r="AM68" s="119"/>
      <c r="AN68" s="120"/>
      <c r="AO68" s="127"/>
      <c r="AP68" s="127"/>
      <c r="AQ68"/>
      <c r="AR68" s="119"/>
      <c r="AS68" s="144"/>
      <c r="AT68" s="142"/>
      <c r="AU68" s="119"/>
      <c r="AV68" s="120"/>
      <c r="AW68" s="127"/>
      <c r="AX68" s="127"/>
      <c r="AY68"/>
      <c r="AZ68" s="119"/>
      <c r="BA68" s="144"/>
      <c r="BB68" s="142"/>
      <c r="BC68" s="119"/>
      <c r="BD68" s="120"/>
      <c r="BE68" s="127"/>
      <c r="BF68" s="127"/>
      <c r="BG68"/>
      <c r="BH68" s="119"/>
      <c r="BI68" s="144"/>
      <c r="BJ68" s="142"/>
      <c r="BK68" s="119"/>
      <c r="BL68" s="120"/>
      <c r="BM68" s="127"/>
      <c r="BN68" s="127"/>
      <c r="BO68"/>
      <c r="BP68" s="119"/>
      <c r="BQ68" s="144"/>
      <c r="BR68" s="142"/>
      <c r="BS68" s="119"/>
      <c r="BT68" s="120"/>
      <c r="BU68" s="127"/>
      <c r="BV68" s="127"/>
      <c r="BW68"/>
      <c r="BX68" s="119"/>
      <c r="BY68" s="144"/>
      <c r="BZ68" s="142"/>
      <c r="CA68" s="119"/>
      <c r="CB68" s="120"/>
      <c r="CC68" s="127"/>
      <c r="CD68" s="127"/>
      <c r="CE68"/>
      <c r="CF68" s="119"/>
      <c r="CG68" s="144"/>
      <c r="CH68" s="142"/>
      <c r="CI68" s="119"/>
      <c r="CJ68" s="120"/>
      <c r="CK68" s="127"/>
      <c r="CL68" s="127"/>
      <c r="CN68" s="119"/>
      <c r="CO68" s="144"/>
      <c r="CP68" s="142"/>
      <c r="CQ68" s="119"/>
      <c r="CR68" s="120"/>
      <c r="CS68" s="127"/>
      <c r="CT68" s="127"/>
      <c r="CV68" s="119"/>
      <c r="CW68" s="144"/>
      <c r="CX68" s="142"/>
      <c r="CY68" s="119"/>
      <c r="CZ68" s="120"/>
      <c r="DA68" s="127"/>
      <c r="DB68" s="127"/>
      <c r="DD68" s="119"/>
      <c r="DE68" s="144"/>
      <c r="DF68" s="142"/>
      <c r="DG68" s="119"/>
      <c r="DH68" s="120"/>
      <c r="DI68" s="127"/>
      <c r="DJ68" s="127"/>
    </row>
    <row r="69" spans="1:114" x14ac:dyDescent="0.25">
      <c r="A69" s="123" t="str">
        <f>IF(Listes!A67="","",Listes!A67)</f>
        <v/>
      </c>
      <c r="B69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69" s="119"/>
      <c r="E69" s="144"/>
      <c r="F69" s="142"/>
      <c r="G69" s="119"/>
      <c r="H69" s="120"/>
      <c r="I69" s="127"/>
      <c r="J69" s="127"/>
      <c r="L69" s="119"/>
      <c r="M69" s="144"/>
      <c r="N69" s="142"/>
      <c r="O69" s="119"/>
      <c r="P69" s="120"/>
      <c r="Q69" s="127"/>
      <c r="R69" s="127"/>
      <c r="S69"/>
      <c r="T69" s="119"/>
      <c r="U69" s="144"/>
      <c r="V69" s="142"/>
      <c r="W69" s="119"/>
      <c r="X69" s="120"/>
      <c r="Y69" s="127"/>
      <c r="Z69" s="127"/>
      <c r="AA69"/>
      <c r="AB69" s="119"/>
      <c r="AC69" s="144"/>
      <c r="AD69" s="142"/>
      <c r="AE69" s="119"/>
      <c r="AF69" s="120"/>
      <c r="AG69" s="127"/>
      <c r="AH69" s="127"/>
      <c r="AI69"/>
      <c r="AJ69" s="119"/>
      <c r="AK69" s="144"/>
      <c r="AL69" s="142"/>
      <c r="AM69" s="119"/>
      <c r="AN69" s="120"/>
      <c r="AO69" s="127"/>
      <c r="AP69" s="127"/>
      <c r="AQ69"/>
      <c r="AR69" s="119"/>
      <c r="AS69" s="144"/>
      <c r="AT69" s="142"/>
      <c r="AU69" s="119"/>
      <c r="AV69" s="120"/>
      <c r="AW69" s="127"/>
      <c r="AX69" s="127"/>
      <c r="AY69"/>
      <c r="AZ69" s="119"/>
      <c r="BA69" s="144"/>
      <c r="BB69" s="142"/>
      <c r="BC69" s="119"/>
      <c r="BD69" s="120"/>
      <c r="BE69" s="127"/>
      <c r="BF69" s="127"/>
      <c r="BG69"/>
      <c r="BH69" s="119"/>
      <c r="BI69" s="144"/>
      <c r="BJ69" s="142"/>
      <c r="BK69" s="119"/>
      <c r="BL69" s="120"/>
      <c r="BM69" s="127"/>
      <c r="BN69" s="127"/>
      <c r="BO69"/>
      <c r="BP69" s="119"/>
      <c r="BQ69" s="144"/>
      <c r="BR69" s="142"/>
      <c r="BS69" s="119"/>
      <c r="BT69" s="120"/>
      <c r="BU69" s="127"/>
      <c r="BV69" s="127"/>
      <c r="BW69"/>
      <c r="BX69" s="119"/>
      <c r="BY69" s="144"/>
      <c r="BZ69" s="142"/>
      <c r="CA69" s="119"/>
      <c r="CB69" s="120"/>
      <c r="CC69" s="127"/>
      <c r="CD69" s="127"/>
      <c r="CE69"/>
      <c r="CF69" s="119"/>
      <c r="CG69" s="144"/>
      <c r="CH69" s="142"/>
      <c r="CI69" s="119"/>
      <c r="CJ69" s="120"/>
      <c r="CK69" s="127"/>
      <c r="CL69" s="127"/>
      <c r="CN69" s="119"/>
      <c r="CO69" s="144"/>
      <c r="CP69" s="142"/>
      <c r="CQ69" s="119"/>
      <c r="CR69" s="120"/>
      <c r="CS69" s="127"/>
      <c r="CT69" s="127"/>
      <c r="CV69" s="119"/>
      <c r="CW69" s="144"/>
      <c r="CX69" s="142"/>
      <c r="CY69" s="119"/>
      <c r="CZ69" s="120"/>
      <c r="DA69" s="127"/>
      <c r="DB69" s="127"/>
      <c r="DD69" s="119"/>
      <c r="DE69" s="144"/>
      <c r="DF69" s="142"/>
      <c r="DG69" s="119"/>
      <c r="DH69" s="120"/>
      <c r="DI69" s="127"/>
      <c r="DJ69" s="127"/>
    </row>
    <row r="70" spans="1:114" x14ac:dyDescent="0.25">
      <c r="A70" s="123" t="str">
        <f>IF(Listes!A68="","",Listes!A68)</f>
        <v/>
      </c>
      <c r="B70" s="124" t="str">
        <f>IF(Tableau912[[#This Row],[Liste des rubriques]]="","",IF($B$3=Stockage!$B$2,SUMIFS(Compt.!$J$5:$J$100,Compt.!$D$5:$D$100,Tableau912[[#This Row],[Liste des rubriques]],Compt.!$E$5:$E$100,Compt.!$B$4),IF($B$3=Stockage!$B$3,SUMIFS(Compt.!$R$5:$R$100,Compt.!$L$5:$L$100,Tableau912[[#This Row],[Liste des rubriques]],Compt.!$M$5:$M$100,Compt.!$B$4),IF(Compt.!$B$3=Stockage!$B$4,SUMIFS(Compt.!$Z$5:$Z$100,Compt.!$T$5:$T$100,Tableau912[[#This Row],[Liste des rubriques]],Compt.!$U$5:$U$100,Compt.!$B$4),IF(Compt.!$B$3=Stockage!$B$5,SUMIFS(Compt.!$AH$5:$AH$100,Compt.!$AB$5:$AB$100,Tableau912[[#This Row],[Liste des rubriques]],Compt.!$AC$5:$AC$100,Compt.!$B$4),IF(Compt.!$B$3=Stockage!$B$6,SUMIFS(Compt.!$AP$5:$AP$100,Compt.!$AJ$5:$AJ$100,Tableau912[[#This Row],[Liste des rubriques]],Compt.!$AK$5:$AK$100,Compt.!$B$4),IF(Compt.!$B$3=Stockage!$B$7,SUMIFS(Compt.!$AX$5:$AX$100,Compt.!$AR$5:$AR$100,Tableau912[[#This Row],[Liste des rubriques]],Compt.!$AS$5:$AS$100,Compt.!$B$4),IF(Compt.!$B$3=Stockage!$B$8,SUMIFS(Compt.!$BF$5:$BF$100,Compt.!$AZ$5:$AZ$100,Tableau912[[#This Row],[Liste des rubriques]],Compt.!$BA$5:$BA$100,Compt.!$B$4),IF(Compt.!$B$3=Stockage!$B$9,SUMIFS(Compt.!$BN$5:$BN$100,Compt.!$BH$5:$BH$100,Tableau912[[#This Row],[Liste des rubriques]],Compt.!$BI$5:$BI$100,Compt.!$B$4),IF(Compt.!$B$3=Stockage!$B$10,SUMIFS(Compt.!$BV$5:$BV$100,Compt.!$BP$5:$BP$100,Tableau912[[#This Row],[Liste des rubriques]],Compt.!$BQ$5:$BQ$100,Compt.!$B$4),IF(Compt.!$B$3=Stockage!$B$11,SUMIFS(Compt.!$CD$5:$CD$100,Compt.!$BX$5:$BX$100,Tableau912[[#This Row],[Liste des rubriques]],Compt.!$BY$5:$BY$100,Compt.!$B$4),IF(Compt.!$B$3=Stockage!$B$12,SUMIFS(Compt.!$CL$5:$CL$100,Compt.!$CF$5:$CF$100,Tableau912[[#This Row],[Liste des rubriques]],Compt.!$CG$5:$CG$100,Compt.!$B$4),IF(Compt.!$B$3=Stockage!$B$13,SUMIFS(Compt.!$CT$5:$CT$100,Compt.!$CN$5:$CN$100,Tableau912[[#This Row],[Liste des rubriques]],Compt.!$CO$5:$CO$100,Compt.!$B$4),IF(Compt.!$B$3=Stockage!$B$14,SUMIFS(Compt.!$DB$5:$DB$100,Compt.!$CV$5:$CV$100,Tableau912[[#This Row],[Liste des rubriques]],Compt.!$CW$5:$CW$100,Compt.!$B$4),IF(Compt.!$B$3=Stockage!$B$15,SUMIFS(Compt.!$DJ$5:$DJ$100,Compt.!$DD$5:$DD$100,Tableau912[[#This Row],[Liste des rubriques]],Compt.!$DE$5:$DE$100,Compt.!$B$4),"")))))))))))))))</f>
        <v/>
      </c>
      <c r="D70" s="119"/>
      <c r="E70" s="144"/>
      <c r="F70" s="142"/>
      <c r="G70" s="119"/>
      <c r="H70" s="120"/>
      <c r="I70" s="127"/>
      <c r="J70" s="127"/>
      <c r="L70" s="119"/>
      <c r="M70" s="144"/>
      <c r="N70" s="142"/>
      <c r="O70" s="119"/>
      <c r="P70" s="120"/>
      <c r="Q70" s="127"/>
      <c r="R70" s="127"/>
      <c r="S70"/>
      <c r="T70" s="119"/>
      <c r="U70" s="144"/>
      <c r="V70" s="142"/>
      <c r="W70" s="119"/>
      <c r="X70" s="120"/>
      <c r="Y70" s="127"/>
      <c r="Z70" s="127"/>
      <c r="AA70"/>
      <c r="AB70" s="119"/>
      <c r="AC70" s="144"/>
      <c r="AD70" s="142"/>
      <c r="AE70" s="119"/>
      <c r="AF70" s="120"/>
      <c r="AG70" s="127"/>
      <c r="AH70" s="127"/>
      <c r="AI70"/>
      <c r="AJ70" s="119"/>
      <c r="AK70" s="144"/>
      <c r="AL70" s="142"/>
      <c r="AM70" s="119"/>
      <c r="AN70" s="120"/>
      <c r="AO70" s="127"/>
      <c r="AP70" s="127"/>
      <c r="AQ70"/>
      <c r="AR70" s="119"/>
      <c r="AS70" s="144"/>
      <c r="AT70" s="142"/>
      <c r="AU70" s="119"/>
      <c r="AV70" s="120"/>
      <c r="AW70" s="127"/>
      <c r="AX70" s="127"/>
      <c r="AY70"/>
      <c r="AZ70" s="119"/>
      <c r="BA70" s="144"/>
      <c r="BB70" s="142"/>
      <c r="BC70" s="119"/>
      <c r="BD70" s="120"/>
      <c r="BE70" s="127"/>
      <c r="BF70" s="127"/>
      <c r="BG70"/>
      <c r="BH70" s="119"/>
      <c r="BI70" s="144"/>
      <c r="BJ70" s="142"/>
      <c r="BK70" s="119"/>
      <c r="BL70" s="120"/>
      <c r="BM70" s="127"/>
      <c r="BN70" s="127"/>
      <c r="BO70"/>
      <c r="BP70" s="119"/>
      <c r="BQ70" s="144"/>
      <c r="BR70" s="142"/>
      <c r="BS70" s="119"/>
      <c r="BT70" s="120"/>
      <c r="BU70" s="127"/>
      <c r="BV70" s="127"/>
      <c r="BW70"/>
      <c r="BX70" s="119"/>
      <c r="BY70" s="144"/>
      <c r="BZ70" s="142"/>
      <c r="CA70" s="119"/>
      <c r="CB70" s="120"/>
      <c r="CC70" s="127"/>
      <c r="CD70" s="127"/>
      <c r="CE70"/>
      <c r="CF70" s="119"/>
      <c r="CG70" s="144"/>
      <c r="CH70" s="142"/>
      <c r="CI70" s="119"/>
      <c r="CJ70" s="120"/>
      <c r="CK70" s="127"/>
      <c r="CL70" s="127"/>
      <c r="CN70" s="119"/>
      <c r="CO70" s="144"/>
      <c r="CP70" s="142"/>
      <c r="CQ70" s="119"/>
      <c r="CR70" s="120"/>
      <c r="CS70" s="127"/>
      <c r="CT70" s="127"/>
      <c r="CV70" s="119"/>
      <c r="CW70" s="144"/>
      <c r="CX70" s="142"/>
      <c r="CY70" s="119"/>
      <c r="CZ70" s="120"/>
      <c r="DA70" s="127"/>
      <c r="DB70" s="127"/>
      <c r="DD70" s="119"/>
      <c r="DE70" s="144"/>
      <c r="DF70" s="142"/>
      <c r="DG70" s="119"/>
      <c r="DH70" s="120"/>
      <c r="DI70" s="127"/>
      <c r="DJ70" s="127"/>
    </row>
    <row r="71" spans="1:114" x14ac:dyDescent="0.25">
      <c r="A71" s="116"/>
      <c r="B71" s="118"/>
      <c r="D71" s="119"/>
      <c r="E71" s="144"/>
      <c r="F71" s="142"/>
      <c r="G71" s="119"/>
      <c r="H71" s="120"/>
      <c r="I71" s="127"/>
      <c r="J71" s="127"/>
      <c r="L71" s="119"/>
      <c r="M71" s="144"/>
      <c r="N71" s="142"/>
      <c r="O71" s="119"/>
      <c r="P71" s="120"/>
      <c r="Q71" s="127"/>
      <c r="R71" s="127"/>
      <c r="S71"/>
      <c r="T71" s="119"/>
      <c r="U71" s="144"/>
      <c r="V71" s="142"/>
      <c r="W71" s="119"/>
      <c r="X71" s="120"/>
      <c r="Y71" s="127"/>
      <c r="Z71" s="127"/>
      <c r="AA71"/>
      <c r="AB71" s="119"/>
      <c r="AC71" s="144"/>
      <c r="AD71" s="142"/>
      <c r="AE71" s="119"/>
      <c r="AF71" s="120"/>
      <c r="AG71" s="127"/>
      <c r="AH71" s="127"/>
      <c r="AI71"/>
      <c r="AJ71" s="119"/>
      <c r="AK71" s="144"/>
      <c r="AL71" s="142"/>
      <c r="AM71" s="119"/>
      <c r="AN71" s="120"/>
      <c r="AO71" s="127"/>
      <c r="AP71" s="127"/>
      <c r="AQ71"/>
      <c r="AR71" s="119"/>
      <c r="AS71" s="144"/>
      <c r="AT71" s="142"/>
      <c r="AU71" s="119"/>
      <c r="AV71" s="120"/>
      <c r="AW71" s="127"/>
      <c r="AX71" s="127"/>
      <c r="AY71"/>
      <c r="AZ71" s="119"/>
      <c r="BA71" s="144"/>
      <c r="BB71" s="142"/>
      <c r="BC71" s="119"/>
      <c r="BD71" s="120"/>
      <c r="BE71" s="127"/>
      <c r="BF71" s="127"/>
      <c r="BG71"/>
      <c r="BH71" s="119"/>
      <c r="BI71" s="144"/>
      <c r="BJ71" s="142"/>
      <c r="BK71" s="119"/>
      <c r="BL71" s="120"/>
      <c r="BM71" s="127"/>
      <c r="BN71" s="127"/>
      <c r="BO71"/>
      <c r="BP71" s="119"/>
      <c r="BQ71" s="144"/>
      <c r="BR71" s="142"/>
      <c r="BS71" s="119"/>
      <c r="BT71" s="120"/>
      <c r="BU71" s="127"/>
      <c r="BV71" s="127"/>
      <c r="BW71"/>
      <c r="BX71" s="119"/>
      <c r="BY71" s="144"/>
      <c r="BZ71" s="142"/>
      <c r="CA71" s="119"/>
      <c r="CB71" s="120"/>
      <c r="CC71" s="127"/>
      <c r="CD71" s="127"/>
      <c r="CE71"/>
      <c r="CF71" s="119"/>
      <c r="CG71" s="144"/>
      <c r="CH71" s="142"/>
      <c r="CI71" s="119"/>
      <c r="CJ71" s="120"/>
      <c r="CK71" s="127"/>
      <c r="CL71" s="127"/>
      <c r="CN71" s="119"/>
      <c r="CO71" s="144"/>
      <c r="CP71" s="142"/>
      <c r="CQ71" s="119"/>
      <c r="CR71" s="120"/>
      <c r="CS71" s="127"/>
      <c r="CT71" s="127"/>
      <c r="CV71" s="119"/>
      <c r="CW71" s="144"/>
      <c r="CX71" s="142"/>
      <c r="CY71" s="119"/>
      <c r="CZ71" s="120"/>
      <c r="DA71" s="127"/>
      <c r="DB71" s="127"/>
      <c r="DD71" s="119"/>
      <c r="DE71" s="144"/>
      <c r="DF71" s="142"/>
      <c r="DG71" s="119"/>
      <c r="DH71" s="120"/>
      <c r="DI71" s="127"/>
      <c r="DJ71" s="127"/>
    </row>
    <row r="72" spans="1:114" x14ac:dyDescent="0.25">
      <c r="A72" s="116"/>
      <c r="B72" s="118"/>
      <c r="D72" s="119"/>
      <c r="E72" s="144"/>
      <c r="F72" s="142"/>
      <c r="G72" s="119"/>
      <c r="H72" s="120"/>
      <c r="I72" s="127"/>
      <c r="J72" s="127"/>
      <c r="L72" s="119"/>
      <c r="M72" s="144"/>
      <c r="N72" s="142"/>
      <c r="O72" s="119"/>
      <c r="P72" s="120"/>
      <c r="Q72" s="127"/>
      <c r="R72" s="127"/>
      <c r="S72"/>
      <c r="T72" s="119"/>
      <c r="U72" s="144"/>
      <c r="V72" s="142"/>
      <c r="W72" s="119"/>
      <c r="X72" s="120"/>
      <c r="Y72" s="127"/>
      <c r="Z72" s="127"/>
      <c r="AA72"/>
      <c r="AB72" s="119"/>
      <c r="AC72" s="144"/>
      <c r="AD72" s="142"/>
      <c r="AE72" s="119"/>
      <c r="AF72" s="120"/>
      <c r="AG72" s="127"/>
      <c r="AH72" s="127"/>
      <c r="AI72"/>
      <c r="AJ72" s="119"/>
      <c r="AK72" s="144"/>
      <c r="AL72" s="142"/>
      <c r="AM72" s="119"/>
      <c r="AN72" s="120"/>
      <c r="AO72" s="127"/>
      <c r="AP72" s="127"/>
      <c r="AQ72"/>
      <c r="AR72" s="119"/>
      <c r="AS72" s="144"/>
      <c r="AT72" s="142"/>
      <c r="AU72" s="119"/>
      <c r="AV72" s="120"/>
      <c r="AW72" s="127"/>
      <c r="AX72" s="127"/>
      <c r="AY72"/>
      <c r="AZ72" s="119"/>
      <c r="BA72" s="144"/>
      <c r="BB72" s="142"/>
      <c r="BC72" s="119"/>
      <c r="BD72" s="120"/>
      <c r="BE72" s="127"/>
      <c r="BF72" s="127"/>
      <c r="BG72"/>
      <c r="BH72" s="119"/>
      <c r="BI72" s="144"/>
      <c r="BJ72" s="142"/>
      <c r="BK72" s="119"/>
      <c r="BL72" s="120"/>
      <c r="BM72" s="127"/>
      <c r="BN72" s="127"/>
      <c r="BO72"/>
      <c r="BP72" s="119"/>
      <c r="BQ72" s="144"/>
      <c r="BR72" s="142"/>
      <c r="BS72" s="119"/>
      <c r="BT72" s="120"/>
      <c r="BU72" s="127"/>
      <c r="BV72" s="127"/>
      <c r="BW72"/>
      <c r="BX72" s="119"/>
      <c r="BY72" s="144"/>
      <c r="BZ72" s="142"/>
      <c r="CA72" s="119"/>
      <c r="CB72" s="120"/>
      <c r="CC72" s="127"/>
      <c r="CD72" s="127"/>
      <c r="CE72"/>
      <c r="CF72" s="119"/>
      <c r="CG72" s="144"/>
      <c r="CH72" s="142"/>
      <c r="CI72" s="119"/>
      <c r="CJ72" s="120"/>
      <c r="CK72" s="127"/>
      <c r="CL72" s="127"/>
      <c r="CN72" s="119"/>
      <c r="CO72" s="144"/>
      <c r="CP72" s="142"/>
      <c r="CQ72" s="119"/>
      <c r="CR72" s="120"/>
      <c r="CS72" s="127"/>
      <c r="CT72" s="127"/>
      <c r="CV72" s="119"/>
      <c r="CW72" s="144"/>
      <c r="CX72" s="142"/>
      <c r="CY72" s="119"/>
      <c r="CZ72" s="120"/>
      <c r="DA72" s="127"/>
      <c r="DB72" s="127"/>
      <c r="DD72" s="119"/>
      <c r="DE72" s="144"/>
      <c r="DF72" s="142"/>
      <c r="DG72" s="119"/>
      <c r="DH72" s="120"/>
      <c r="DI72" s="127"/>
      <c r="DJ72" s="127"/>
    </row>
    <row r="73" spans="1:114" x14ac:dyDescent="0.25">
      <c r="A73" s="116"/>
      <c r="B73" s="118"/>
      <c r="D73" s="119"/>
      <c r="E73" s="144"/>
      <c r="F73" s="142"/>
      <c r="G73" s="119"/>
      <c r="H73" s="120"/>
      <c r="I73" s="127"/>
      <c r="J73" s="127"/>
      <c r="L73" s="119"/>
      <c r="M73" s="144"/>
      <c r="N73" s="142"/>
      <c r="O73" s="119"/>
      <c r="P73" s="120"/>
      <c r="Q73" s="127"/>
      <c r="R73" s="127"/>
      <c r="S73"/>
      <c r="T73" s="119"/>
      <c r="U73" s="144"/>
      <c r="V73" s="142"/>
      <c r="W73" s="119"/>
      <c r="X73" s="120"/>
      <c r="Y73" s="127"/>
      <c r="Z73" s="127"/>
      <c r="AA73"/>
      <c r="AB73" s="119"/>
      <c r="AC73" s="144"/>
      <c r="AD73" s="142"/>
      <c r="AE73" s="119"/>
      <c r="AF73" s="120"/>
      <c r="AG73" s="127"/>
      <c r="AH73" s="127"/>
      <c r="AI73"/>
      <c r="AJ73" s="119"/>
      <c r="AK73" s="144"/>
      <c r="AL73" s="142"/>
      <c r="AM73" s="119"/>
      <c r="AN73" s="120"/>
      <c r="AO73" s="127"/>
      <c r="AP73" s="127"/>
      <c r="AQ73"/>
      <c r="AR73" s="119"/>
      <c r="AS73" s="144"/>
      <c r="AT73" s="142"/>
      <c r="AU73" s="119"/>
      <c r="AV73" s="120"/>
      <c r="AW73" s="127"/>
      <c r="AX73" s="127"/>
      <c r="AY73"/>
      <c r="AZ73" s="119"/>
      <c r="BA73" s="144"/>
      <c r="BB73" s="142"/>
      <c r="BC73" s="119"/>
      <c r="BD73" s="120"/>
      <c r="BE73" s="127"/>
      <c r="BF73" s="127"/>
      <c r="BG73"/>
      <c r="BH73" s="119"/>
      <c r="BI73" s="144"/>
      <c r="BJ73" s="142"/>
      <c r="BK73" s="119"/>
      <c r="BL73" s="120"/>
      <c r="BM73" s="127"/>
      <c r="BN73" s="127"/>
      <c r="BO73"/>
      <c r="BP73" s="119"/>
      <c r="BQ73" s="144"/>
      <c r="BR73" s="142"/>
      <c r="BS73" s="119"/>
      <c r="BT73" s="120"/>
      <c r="BU73" s="127"/>
      <c r="BV73" s="127"/>
      <c r="BW73"/>
      <c r="BX73" s="119"/>
      <c r="BY73" s="144"/>
      <c r="BZ73" s="142"/>
      <c r="CA73" s="119"/>
      <c r="CB73" s="120"/>
      <c r="CC73" s="127"/>
      <c r="CD73" s="127"/>
      <c r="CE73"/>
      <c r="CF73" s="119"/>
      <c r="CG73" s="144"/>
      <c r="CH73" s="142"/>
      <c r="CI73" s="119"/>
      <c r="CJ73" s="120"/>
      <c r="CK73" s="127"/>
      <c r="CL73" s="127"/>
      <c r="CN73" s="119"/>
      <c r="CO73" s="144"/>
      <c r="CP73" s="142"/>
      <c r="CQ73" s="119"/>
      <c r="CR73" s="120"/>
      <c r="CS73" s="127"/>
      <c r="CT73" s="127"/>
      <c r="CV73" s="119"/>
      <c r="CW73" s="144"/>
      <c r="CX73" s="142"/>
      <c r="CY73" s="119"/>
      <c r="CZ73" s="120"/>
      <c r="DA73" s="127"/>
      <c r="DB73" s="127"/>
      <c r="DD73" s="119"/>
      <c r="DE73" s="144"/>
      <c r="DF73" s="142"/>
      <c r="DG73" s="119"/>
      <c r="DH73" s="120"/>
      <c r="DI73" s="127"/>
      <c r="DJ73" s="127"/>
    </row>
    <row r="74" spans="1:114" x14ac:dyDescent="0.25">
      <c r="A74" s="116"/>
      <c r="B74" s="118"/>
      <c r="D74" s="119"/>
      <c r="E74" s="144"/>
      <c r="F74" s="142"/>
      <c r="G74" s="119"/>
      <c r="H74" s="120"/>
      <c r="I74" s="127"/>
      <c r="J74" s="127"/>
      <c r="L74" s="119"/>
      <c r="M74" s="144"/>
      <c r="N74" s="142"/>
      <c r="O74" s="119"/>
      <c r="P74" s="120"/>
      <c r="Q74" s="127"/>
      <c r="R74" s="127"/>
      <c r="S74"/>
      <c r="T74" s="119"/>
      <c r="U74" s="144"/>
      <c r="V74" s="142"/>
      <c r="W74" s="119"/>
      <c r="X74" s="120"/>
      <c r="Y74" s="127"/>
      <c r="Z74" s="127"/>
      <c r="AA74"/>
      <c r="AB74" s="119"/>
      <c r="AC74" s="144"/>
      <c r="AD74" s="142"/>
      <c r="AE74" s="119"/>
      <c r="AF74" s="120"/>
      <c r="AG74" s="127"/>
      <c r="AH74" s="127"/>
      <c r="AI74"/>
      <c r="AJ74" s="119"/>
      <c r="AK74" s="144"/>
      <c r="AL74" s="142"/>
      <c r="AM74" s="119"/>
      <c r="AN74" s="120"/>
      <c r="AO74" s="127"/>
      <c r="AP74" s="127"/>
      <c r="AQ74"/>
      <c r="AR74" s="119"/>
      <c r="AS74" s="144"/>
      <c r="AT74" s="142"/>
      <c r="AU74" s="119"/>
      <c r="AV74" s="120"/>
      <c r="AW74" s="127"/>
      <c r="AX74" s="127"/>
      <c r="AY74"/>
      <c r="AZ74" s="119"/>
      <c r="BA74" s="144"/>
      <c r="BB74" s="142"/>
      <c r="BC74" s="119"/>
      <c r="BD74" s="120"/>
      <c r="BE74" s="127"/>
      <c r="BF74" s="127"/>
      <c r="BG74"/>
      <c r="BH74" s="119"/>
      <c r="BI74" s="144"/>
      <c r="BJ74" s="142"/>
      <c r="BK74" s="119"/>
      <c r="BL74" s="120"/>
      <c r="BM74" s="127"/>
      <c r="BN74" s="127"/>
      <c r="BO74"/>
      <c r="BP74" s="119"/>
      <c r="BQ74" s="144"/>
      <c r="BR74" s="142"/>
      <c r="BS74" s="119"/>
      <c r="BT74" s="120"/>
      <c r="BU74" s="127"/>
      <c r="BV74" s="127"/>
      <c r="BW74"/>
      <c r="BX74" s="119"/>
      <c r="BY74" s="144"/>
      <c r="BZ74" s="142"/>
      <c r="CA74" s="119"/>
      <c r="CB74" s="120"/>
      <c r="CC74" s="127"/>
      <c r="CD74" s="127"/>
      <c r="CE74"/>
      <c r="CF74" s="119"/>
      <c r="CG74" s="144"/>
      <c r="CH74" s="142"/>
      <c r="CI74" s="119"/>
      <c r="CJ74" s="120"/>
      <c r="CK74" s="127"/>
      <c r="CL74" s="127"/>
      <c r="CN74" s="119"/>
      <c r="CO74" s="144"/>
      <c r="CP74" s="142"/>
      <c r="CQ74" s="119"/>
      <c r="CR74" s="120"/>
      <c r="CS74" s="127"/>
      <c r="CT74" s="127"/>
      <c r="CV74" s="119"/>
      <c r="CW74" s="144"/>
      <c r="CX74" s="142"/>
      <c r="CY74" s="119"/>
      <c r="CZ74" s="120"/>
      <c r="DA74" s="127"/>
      <c r="DB74" s="127"/>
      <c r="DD74" s="119"/>
      <c r="DE74" s="144"/>
      <c r="DF74" s="142"/>
      <c r="DG74" s="119"/>
      <c r="DH74" s="120"/>
      <c r="DI74" s="127"/>
      <c r="DJ74" s="127"/>
    </row>
    <row r="75" spans="1:114" x14ac:dyDescent="0.25">
      <c r="A75" s="116"/>
      <c r="B75" s="118"/>
      <c r="D75" s="119"/>
      <c r="E75" s="144"/>
      <c r="F75" s="142"/>
      <c r="G75" s="119"/>
      <c r="H75" s="120"/>
      <c r="I75" s="127"/>
      <c r="J75" s="127"/>
      <c r="L75" s="119"/>
      <c r="M75" s="144"/>
      <c r="N75" s="142"/>
      <c r="O75" s="119"/>
      <c r="P75" s="120"/>
      <c r="Q75" s="127"/>
      <c r="R75" s="127"/>
      <c r="S75"/>
      <c r="T75" s="119"/>
      <c r="U75" s="144"/>
      <c r="V75" s="142"/>
      <c r="W75" s="119"/>
      <c r="X75" s="120"/>
      <c r="Y75" s="127"/>
      <c r="Z75" s="127"/>
      <c r="AA75"/>
      <c r="AB75" s="119"/>
      <c r="AC75" s="144"/>
      <c r="AD75" s="142"/>
      <c r="AE75" s="119"/>
      <c r="AF75" s="120"/>
      <c r="AG75" s="127"/>
      <c r="AH75" s="127"/>
      <c r="AI75"/>
      <c r="AJ75" s="119"/>
      <c r="AK75" s="144"/>
      <c r="AL75" s="142"/>
      <c r="AM75" s="119"/>
      <c r="AN75" s="120"/>
      <c r="AO75" s="127"/>
      <c r="AP75" s="127"/>
      <c r="AQ75"/>
      <c r="AR75" s="119"/>
      <c r="AS75" s="144"/>
      <c r="AT75" s="142"/>
      <c r="AU75" s="119"/>
      <c r="AV75" s="120"/>
      <c r="AW75" s="127"/>
      <c r="AX75" s="127"/>
      <c r="AY75"/>
      <c r="AZ75" s="119"/>
      <c r="BA75" s="144"/>
      <c r="BB75" s="142"/>
      <c r="BC75" s="119"/>
      <c r="BD75" s="120"/>
      <c r="BE75" s="127"/>
      <c r="BF75" s="127"/>
      <c r="BG75"/>
      <c r="BH75" s="119"/>
      <c r="BI75" s="144"/>
      <c r="BJ75" s="142"/>
      <c r="BK75" s="119"/>
      <c r="BL75" s="120"/>
      <c r="BM75" s="127"/>
      <c r="BN75" s="127"/>
      <c r="BO75"/>
      <c r="BP75" s="119"/>
      <c r="BQ75" s="144"/>
      <c r="BR75" s="142"/>
      <c r="BS75" s="119"/>
      <c r="BT75" s="120"/>
      <c r="BU75" s="127"/>
      <c r="BV75" s="127"/>
      <c r="BW75"/>
      <c r="BX75" s="119"/>
      <c r="BY75" s="144"/>
      <c r="BZ75" s="142"/>
      <c r="CA75" s="119"/>
      <c r="CB75" s="120"/>
      <c r="CC75" s="127"/>
      <c r="CD75" s="127"/>
      <c r="CE75"/>
      <c r="CF75" s="119"/>
      <c r="CG75" s="144"/>
      <c r="CH75" s="142"/>
      <c r="CI75" s="119"/>
      <c r="CJ75" s="120"/>
      <c r="CK75" s="127"/>
      <c r="CL75" s="127"/>
      <c r="CN75" s="119"/>
      <c r="CO75" s="144"/>
      <c r="CP75" s="142"/>
      <c r="CQ75" s="119"/>
      <c r="CR75" s="120"/>
      <c r="CS75" s="127"/>
      <c r="CT75" s="127"/>
      <c r="CV75" s="119"/>
      <c r="CW75" s="144"/>
      <c r="CX75" s="142"/>
      <c r="CY75" s="119"/>
      <c r="CZ75" s="120"/>
      <c r="DA75" s="127"/>
      <c r="DB75" s="127"/>
      <c r="DD75" s="119"/>
      <c r="DE75" s="144"/>
      <c r="DF75" s="142"/>
      <c r="DG75" s="119"/>
      <c r="DH75" s="120"/>
      <c r="DI75" s="127"/>
      <c r="DJ75" s="127"/>
    </row>
    <row r="76" spans="1:114" x14ac:dyDescent="0.25">
      <c r="A76" s="116"/>
      <c r="B76" s="118"/>
      <c r="D76" s="119"/>
      <c r="E76" s="144"/>
      <c r="F76" s="142"/>
      <c r="G76" s="119"/>
      <c r="H76" s="120"/>
      <c r="I76" s="127"/>
      <c r="J76" s="127"/>
      <c r="L76" s="119"/>
      <c r="M76" s="144"/>
      <c r="N76" s="142"/>
      <c r="O76" s="119"/>
      <c r="P76" s="120"/>
      <c r="Q76" s="127"/>
      <c r="R76" s="127"/>
      <c r="S76"/>
      <c r="T76" s="119"/>
      <c r="U76" s="144"/>
      <c r="V76" s="142"/>
      <c r="W76" s="119"/>
      <c r="X76" s="120"/>
      <c r="Y76" s="127"/>
      <c r="Z76" s="127"/>
      <c r="AA76"/>
      <c r="AB76" s="119"/>
      <c r="AC76" s="144"/>
      <c r="AD76" s="142"/>
      <c r="AE76" s="119"/>
      <c r="AF76" s="120"/>
      <c r="AG76" s="127"/>
      <c r="AH76" s="127"/>
      <c r="AI76"/>
      <c r="AJ76" s="119"/>
      <c r="AK76" s="144"/>
      <c r="AL76" s="142"/>
      <c r="AM76" s="119"/>
      <c r="AN76" s="120"/>
      <c r="AO76" s="127"/>
      <c r="AP76" s="127"/>
      <c r="AQ76"/>
      <c r="AR76" s="119"/>
      <c r="AS76" s="144"/>
      <c r="AT76" s="142"/>
      <c r="AU76" s="119"/>
      <c r="AV76" s="120"/>
      <c r="AW76" s="127"/>
      <c r="AX76" s="127"/>
      <c r="AY76"/>
      <c r="AZ76" s="119"/>
      <c r="BA76" s="144"/>
      <c r="BB76" s="142"/>
      <c r="BC76" s="119"/>
      <c r="BD76" s="120"/>
      <c r="BE76" s="127"/>
      <c r="BF76" s="127"/>
      <c r="BG76"/>
      <c r="BH76" s="119"/>
      <c r="BI76" s="144"/>
      <c r="BJ76" s="142"/>
      <c r="BK76" s="119"/>
      <c r="BL76" s="120"/>
      <c r="BM76" s="127"/>
      <c r="BN76" s="127"/>
      <c r="BO76"/>
      <c r="BP76" s="119"/>
      <c r="BQ76" s="144"/>
      <c r="BR76" s="142"/>
      <c r="BS76" s="119"/>
      <c r="BT76" s="120"/>
      <c r="BU76" s="127"/>
      <c r="BV76" s="127"/>
      <c r="BW76"/>
      <c r="BX76" s="119"/>
      <c r="BY76" s="144"/>
      <c r="BZ76" s="142"/>
      <c r="CA76" s="119"/>
      <c r="CB76" s="120"/>
      <c r="CC76" s="127"/>
      <c r="CD76" s="127"/>
      <c r="CE76"/>
      <c r="CF76" s="119"/>
      <c r="CG76" s="144"/>
      <c r="CH76" s="142"/>
      <c r="CI76" s="119"/>
      <c r="CJ76" s="120"/>
      <c r="CK76" s="127"/>
      <c r="CL76" s="127"/>
      <c r="CN76" s="119"/>
      <c r="CO76" s="144"/>
      <c r="CP76" s="142"/>
      <c r="CQ76" s="119"/>
      <c r="CR76" s="120"/>
      <c r="CS76" s="127"/>
      <c r="CT76" s="127"/>
      <c r="CV76" s="119"/>
      <c r="CW76" s="144"/>
      <c r="CX76" s="142"/>
      <c r="CY76" s="119"/>
      <c r="CZ76" s="120"/>
      <c r="DA76" s="127"/>
      <c r="DB76" s="127"/>
      <c r="DD76" s="119"/>
      <c r="DE76" s="144"/>
      <c r="DF76" s="142"/>
      <c r="DG76" s="119"/>
      <c r="DH76" s="120"/>
      <c r="DI76" s="127"/>
      <c r="DJ76" s="127"/>
    </row>
    <row r="77" spans="1:114" x14ac:dyDescent="0.25">
      <c r="A77" s="116"/>
      <c r="B77" s="118"/>
      <c r="D77" s="119"/>
      <c r="E77" s="144"/>
      <c r="F77" s="142"/>
      <c r="G77" s="119"/>
      <c r="H77" s="120"/>
      <c r="I77" s="127"/>
      <c r="J77" s="127"/>
      <c r="L77" s="119"/>
      <c r="M77" s="144"/>
      <c r="N77" s="142"/>
      <c r="O77" s="119"/>
      <c r="P77" s="120"/>
      <c r="Q77" s="127"/>
      <c r="R77" s="127"/>
      <c r="S77"/>
      <c r="T77" s="119"/>
      <c r="U77" s="144"/>
      <c r="V77" s="142"/>
      <c r="W77" s="119"/>
      <c r="X77" s="120"/>
      <c r="Y77" s="127"/>
      <c r="Z77" s="127"/>
      <c r="AA77"/>
      <c r="AB77" s="119"/>
      <c r="AC77" s="144"/>
      <c r="AD77" s="142"/>
      <c r="AE77" s="119"/>
      <c r="AF77" s="120"/>
      <c r="AG77" s="127"/>
      <c r="AH77" s="127"/>
      <c r="AI77"/>
      <c r="AJ77" s="119"/>
      <c r="AK77" s="144"/>
      <c r="AL77" s="142"/>
      <c r="AM77" s="119"/>
      <c r="AN77" s="120"/>
      <c r="AO77" s="127"/>
      <c r="AP77" s="127"/>
      <c r="AQ77"/>
      <c r="AR77" s="119"/>
      <c r="AS77" s="144"/>
      <c r="AT77" s="142"/>
      <c r="AU77" s="119"/>
      <c r="AV77" s="120"/>
      <c r="AW77" s="127"/>
      <c r="AX77" s="127"/>
      <c r="AY77"/>
      <c r="AZ77" s="119"/>
      <c r="BA77" s="144"/>
      <c r="BB77" s="142"/>
      <c r="BC77" s="119"/>
      <c r="BD77" s="120"/>
      <c r="BE77" s="127"/>
      <c r="BF77" s="127"/>
      <c r="BG77"/>
      <c r="BH77" s="119"/>
      <c r="BI77" s="144"/>
      <c r="BJ77" s="142"/>
      <c r="BK77" s="119"/>
      <c r="BL77" s="120"/>
      <c r="BM77" s="127"/>
      <c r="BN77" s="127"/>
      <c r="BO77"/>
      <c r="BP77" s="119"/>
      <c r="BQ77" s="144"/>
      <c r="BR77" s="142"/>
      <c r="BS77" s="119"/>
      <c r="BT77" s="120"/>
      <c r="BU77" s="127"/>
      <c r="BV77" s="127"/>
      <c r="BW77"/>
      <c r="BX77" s="119"/>
      <c r="BY77" s="144"/>
      <c r="BZ77" s="142"/>
      <c r="CA77" s="119"/>
      <c r="CB77" s="120"/>
      <c r="CC77" s="127"/>
      <c r="CD77" s="127"/>
      <c r="CE77"/>
      <c r="CF77" s="119"/>
      <c r="CG77" s="144"/>
      <c r="CH77" s="142"/>
      <c r="CI77" s="119"/>
      <c r="CJ77" s="120"/>
      <c r="CK77" s="127"/>
      <c r="CL77" s="127"/>
      <c r="CN77" s="119"/>
      <c r="CO77" s="144"/>
      <c r="CP77" s="142"/>
      <c r="CQ77" s="119"/>
      <c r="CR77" s="120"/>
      <c r="CS77" s="127"/>
      <c r="CT77" s="127"/>
      <c r="CV77" s="119"/>
      <c r="CW77" s="144"/>
      <c r="CX77" s="142"/>
      <c r="CY77" s="119"/>
      <c r="CZ77" s="120"/>
      <c r="DA77" s="127"/>
      <c r="DB77" s="127"/>
      <c r="DD77" s="119"/>
      <c r="DE77" s="144"/>
      <c r="DF77" s="142"/>
      <c r="DG77" s="119"/>
      <c r="DH77" s="120"/>
      <c r="DI77" s="127"/>
      <c r="DJ77" s="127"/>
    </row>
    <row r="78" spans="1:114" x14ac:dyDescent="0.25">
      <c r="A78" s="116"/>
      <c r="B78" s="118"/>
      <c r="D78" s="119"/>
      <c r="E78" s="144"/>
      <c r="F78" s="142"/>
      <c r="G78" s="119"/>
      <c r="H78" s="120"/>
      <c r="I78" s="127"/>
      <c r="J78" s="127"/>
      <c r="L78" s="119"/>
      <c r="M78" s="144"/>
      <c r="N78" s="142"/>
      <c r="O78" s="119"/>
      <c r="P78" s="120"/>
      <c r="Q78" s="127"/>
      <c r="R78" s="127"/>
      <c r="S78"/>
      <c r="T78" s="119"/>
      <c r="U78" s="144"/>
      <c r="V78" s="142"/>
      <c r="W78" s="119"/>
      <c r="X78" s="120"/>
      <c r="Y78" s="127"/>
      <c r="Z78" s="127"/>
      <c r="AA78"/>
      <c r="AB78" s="119"/>
      <c r="AC78" s="144"/>
      <c r="AD78" s="142"/>
      <c r="AE78" s="119"/>
      <c r="AF78" s="120"/>
      <c r="AG78" s="127"/>
      <c r="AH78" s="127"/>
      <c r="AI78"/>
      <c r="AJ78" s="119"/>
      <c r="AK78" s="144"/>
      <c r="AL78" s="142"/>
      <c r="AM78" s="119"/>
      <c r="AN78" s="120"/>
      <c r="AO78" s="127"/>
      <c r="AP78" s="127"/>
      <c r="AQ78"/>
      <c r="AR78" s="119"/>
      <c r="AS78" s="144"/>
      <c r="AT78" s="142"/>
      <c r="AU78" s="119"/>
      <c r="AV78" s="120"/>
      <c r="AW78" s="127"/>
      <c r="AX78" s="127"/>
      <c r="AY78"/>
      <c r="AZ78" s="119"/>
      <c r="BA78" s="144"/>
      <c r="BB78" s="142"/>
      <c r="BC78" s="119"/>
      <c r="BD78" s="120"/>
      <c r="BE78" s="127"/>
      <c r="BF78" s="127"/>
      <c r="BG78"/>
      <c r="BH78" s="119"/>
      <c r="BI78" s="144"/>
      <c r="BJ78" s="142"/>
      <c r="BK78" s="119"/>
      <c r="BL78" s="120"/>
      <c r="BM78" s="127"/>
      <c r="BN78" s="127"/>
      <c r="BO78"/>
      <c r="BP78" s="119"/>
      <c r="BQ78" s="144"/>
      <c r="BR78" s="142"/>
      <c r="BS78" s="119"/>
      <c r="BT78" s="120"/>
      <c r="BU78" s="127"/>
      <c r="BV78" s="127"/>
      <c r="BW78"/>
      <c r="BX78" s="119"/>
      <c r="BY78" s="144"/>
      <c r="BZ78" s="142"/>
      <c r="CA78" s="119"/>
      <c r="CB78" s="120"/>
      <c r="CC78" s="127"/>
      <c r="CD78" s="127"/>
      <c r="CE78"/>
      <c r="CF78" s="119"/>
      <c r="CG78" s="144"/>
      <c r="CH78" s="142"/>
      <c r="CI78" s="119"/>
      <c r="CJ78" s="120"/>
      <c r="CK78" s="127"/>
      <c r="CL78" s="127"/>
      <c r="CN78" s="119"/>
      <c r="CO78" s="144"/>
      <c r="CP78" s="142"/>
      <c r="CQ78" s="119"/>
      <c r="CR78" s="120"/>
      <c r="CS78" s="127"/>
      <c r="CT78" s="127"/>
      <c r="CV78" s="119"/>
      <c r="CW78" s="144"/>
      <c r="CX78" s="142"/>
      <c r="CY78" s="119"/>
      <c r="CZ78" s="120"/>
      <c r="DA78" s="127"/>
      <c r="DB78" s="127"/>
      <c r="DD78" s="119"/>
      <c r="DE78" s="144"/>
      <c r="DF78" s="142"/>
      <c r="DG78" s="119"/>
      <c r="DH78" s="120"/>
      <c r="DI78" s="127"/>
      <c r="DJ78" s="127"/>
    </row>
    <row r="79" spans="1:114" x14ac:dyDescent="0.25">
      <c r="A79" s="116"/>
      <c r="B79" s="118"/>
      <c r="D79" s="119"/>
      <c r="E79" s="144"/>
      <c r="F79" s="142"/>
      <c r="G79" s="119"/>
      <c r="H79" s="120"/>
      <c r="I79" s="127"/>
      <c r="J79" s="127"/>
      <c r="L79" s="119"/>
      <c r="M79" s="144"/>
      <c r="N79" s="142"/>
      <c r="O79" s="119"/>
      <c r="P79" s="120"/>
      <c r="Q79" s="127"/>
      <c r="R79" s="127"/>
      <c r="S79"/>
      <c r="T79" s="119"/>
      <c r="U79" s="144"/>
      <c r="V79" s="142"/>
      <c r="W79" s="119"/>
      <c r="X79" s="120"/>
      <c r="Y79" s="127"/>
      <c r="Z79" s="127"/>
      <c r="AA79"/>
      <c r="AB79" s="119"/>
      <c r="AC79" s="144"/>
      <c r="AD79" s="142"/>
      <c r="AE79" s="119"/>
      <c r="AF79" s="120"/>
      <c r="AG79" s="127"/>
      <c r="AH79" s="127"/>
      <c r="AI79"/>
      <c r="AJ79" s="119"/>
      <c r="AK79" s="144"/>
      <c r="AL79" s="142"/>
      <c r="AM79" s="119"/>
      <c r="AN79" s="120"/>
      <c r="AO79" s="127"/>
      <c r="AP79" s="127"/>
      <c r="AQ79"/>
      <c r="AR79" s="119"/>
      <c r="AS79" s="144"/>
      <c r="AT79" s="142"/>
      <c r="AU79" s="119"/>
      <c r="AV79" s="120"/>
      <c r="AW79" s="127"/>
      <c r="AX79" s="127"/>
      <c r="AY79"/>
      <c r="AZ79" s="119"/>
      <c r="BA79" s="144"/>
      <c r="BB79" s="142"/>
      <c r="BC79" s="119"/>
      <c r="BD79" s="120"/>
      <c r="BE79" s="127"/>
      <c r="BF79" s="127"/>
      <c r="BG79"/>
      <c r="BH79" s="119"/>
      <c r="BI79" s="144"/>
      <c r="BJ79" s="142"/>
      <c r="BK79" s="119"/>
      <c r="BL79" s="120"/>
      <c r="BM79" s="127"/>
      <c r="BN79" s="127"/>
      <c r="BO79"/>
      <c r="BP79" s="119"/>
      <c r="BQ79" s="144"/>
      <c r="BR79" s="142"/>
      <c r="BS79" s="119"/>
      <c r="BT79" s="120"/>
      <c r="BU79" s="127"/>
      <c r="BV79" s="127"/>
      <c r="BW79"/>
      <c r="BX79" s="119"/>
      <c r="BY79" s="144"/>
      <c r="BZ79" s="142"/>
      <c r="CA79" s="119"/>
      <c r="CB79" s="120"/>
      <c r="CC79" s="127"/>
      <c r="CD79" s="127"/>
      <c r="CE79"/>
      <c r="CF79" s="119"/>
      <c r="CG79" s="144"/>
      <c r="CH79" s="142"/>
      <c r="CI79" s="119"/>
      <c r="CJ79" s="120"/>
      <c r="CK79" s="127"/>
      <c r="CL79" s="127"/>
      <c r="CN79" s="119"/>
      <c r="CO79" s="144"/>
      <c r="CP79" s="142"/>
      <c r="CQ79" s="119"/>
      <c r="CR79" s="120"/>
      <c r="CS79" s="127"/>
      <c r="CT79" s="127"/>
      <c r="CV79" s="119"/>
      <c r="CW79" s="144"/>
      <c r="CX79" s="142"/>
      <c r="CY79" s="119"/>
      <c r="CZ79" s="120"/>
      <c r="DA79" s="127"/>
      <c r="DB79" s="127"/>
      <c r="DD79" s="119"/>
      <c r="DE79" s="144"/>
      <c r="DF79" s="142"/>
      <c r="DG79" s="119"/>
      <c r="DH79" s="120"/>
      <c r="DI79" s="127"/>
      <c r="DJ79" s="127"/>
    </row>
    <row r="80" spans="1:114" x14ac:dyDescent="0.25">
      <c r="A80" s="116"/>
      <c r="B80" s="118"/>
      <c r="D80" s="119"/>
      <c r="E80" s="144"/>
      <c r="F80" s="142"/>
      <c r="G80" s="119"/>
      <c r="H80" s="120"/>
      <c r="I80" s="127"/>
      <c r="J80" s="127"/>
      <c r="L80" s="119"/>
      <c r="M80" s="144"/>
      <c r="N80" s="142"/>
      <c r="O80" s="119"/>
      <c r="P80" s="120"/>
      <c r="Q80" s="127"/>
      <c r="R80" s="127"/>
      <c r="S80"/>
      <c r="T80" s="119"/>
      <c r="U80" s="144"/>
      <c r="V80" s="142"/>
      <c r="W80" s="119"/>
      <c r="X80" s="120"/>
      <c r="Y80" s="127"/>
      <c r="Z80" s="127"/>
      <c r="AA80"/>
      <c r="AB80" s="119"/>
      <c r="AC80" s="144"/>
      <c r="AD80" s="142"/>
      <c r="AE80" s="119"/>
      <c r="AF80" s="120"/>
      <c r="AG80" s="127"/>
      <c r="AH80" s="127"/>
      <c r="AI80"/>
      <c r="AJ80" s="119"/>
      <c r="AK80" s="144"/>
      <c r="AL80" s="142"/>
      <c r="AM80" s="119"/>
      <c r="AN80" s="120"/>
      <c r="AO80" s="127"/>
      <c r="AP80" s="127"/>
      <c r="AQ80"/>
      <c r="AR80" s="119"/>
      <c r="AS80" s="144"/>
      <c r="AT80" s="142"/>
      <c r="AU80" s="119"/>
      <c r="AV80" s="120"/>
      <c r="AW80" s="127"/>
      <c r="AX80" s="127"/>
      <c r="AY80"/>
      <c r="AZ80" s="119"/>
      <c r="BA80" s="144"/>
      <c r="BB80" s="142"/>
      <c r="BC80" s="119"/>
      <c r="BD80" s="120"/>
      <c r="BE80" s="127"/>
      <c r="BF80" s="127"/>
      <c r="BG80"/>
      <c r="BH80" s="119"/>
      <c r="BI80" s="144"/>
      <c r="BJ80" s="142"/>
      <c r="BK80" s="119"/>
      <c r="BL80" s="120"/>
      <c r="BM80" s="127"/>
      <c r="BN80" s="127"/>
      <c r="BO80"/>
      <c r="BP80" s="119"/>
      <c r="BQ80" s="144"/>
      <c r="BR80" s="142"/>
      <c r="BS80" s="119"/>
      <c r="BT80" s="120"/>
      <c r="BU80" s="127"/>
      <c r="BV80" s="127"/>
      <c r="BW80"/>
      <c r="BX80" s="119"/>
      <c r="BY80" s="144"/>
      <c r="BZ80" s="142"/>
      <c r="CA80" s="119"/>
      <c r="CB80" s="120"/>
      <c r="CC80" s="127"/>
      <c r="CD80" s="127"/>
      <c r="CE80"/>
      <c r="CF80" s="119"/>
      <c r="CG80" s="144"/>
      <c r="CH80" s="142"/>
      <c r="CI80" s="119"/>
      <c r="CJ80" s="120"/>
      <c r="CK80" s="127"/>
      <c r="CL80" s="127"/>
      <c r="CN80" s="119"/>
      <c r="CO80" s="144"/>
      <c r="CP80" s="142"/>
      <c r="CQ80" s="119"/>
      <c r="CR80" s="120"/>
      <c r="CS80" s="127"/>
      <c r="CT80" s="127"/>
      <c r="CV80" s="119"/>
      <c r="CW80" s="144"/>
      <c r="CX80" s="142"/>
      <c r="CY80" s="119"/>
      <c r="CZ80" s="120"/>
      <c r="DA80" s="127"/>
      <c r="DB80" s="127"/>
      <c r="DD80" s="119"/>
      <c r="DE80" s="144"/>
      <c r="DF80" s="142"/>
      <c r="DG80" s="119"/>
      <c r="DH80" s="120"/>
      <c r="DI80" s="127"/>
      <c r="DJ80" s="127"/>
    </row>
    <row r="81" spans="4:114" x14ac:dyDescent="0.25">
      <c r="D81" s="119"/>
      <c r="E81" s="144"/>
      <c r="F81" s="142"/>
      <c r="G81" s="119"/>
      <c r="H81" s="120"/>
      <c r="I81" s="127"/>
      <c r="J81" s="127"/>
      <c r="L81" s="119"/>
      <c r="M81" s="144"/>
      <c r="N81" s="142"/>
      <c r="O81" s="119"/>
      <c r="P81" s="120"/>
      <c r="Q81" s="127"/>
      <c r="R81" s="127"/>
      <c r="S81"/>
      <c r="T81" s="119"/>
      <c r="U81" s="144"/>
      <c r="V81" s="142"/>
      <c r="W81" s="119"/>
      <c r="X81" s="120"/>
      <c r="Y81" s="127"/>
      <c r="Z81" s="127"/>
      <c r="AA81"/>
      <c r="AB81" s="119"/>
      <c r="AC81" s="144"/>
      <c r="AD81" s="142"/>
      <c r="AE81" s="119"/>
      <c r="AF81" s="120"/>
      <c r="AG81" s="127"/>
      <c r="AH81" s="127"/>
      <c r="AI81"/>
      <c r="AJ81" s="119"/>
      <c r="AK81" s="144"/>
      <c r="AL81" s="142"/>
      <c r="AM81" s="119"/>
      <c r="AN81" s="120"/>
      <c r="AO81" s="127"/>
      <c r="AP81" s="127"/>
      <c r="AQ81"/>
      <c r="AR81" s="119"/>
      <c r="AS81" s="144"/>
      <c r="AT81" s="142"/>
      <c r="AU81" s="119"/>
      <c r="AV81" s="120"/>
      <c r="AW81" s="127"/>
      <c r="AX81" s="127"/>
      <c r="AY81"/>
      <c r="AZ81" s="119"/>
      <c r="BA81" s="144"/>
      <c r="BB81" s="142"/>
      <c r="BC81" s="119"/>
      <c r="BD81" s="120"/>
      <c r="BE81" s="127"/>
      <c r="BF81" s="127"/>
      <c r="BG81"/>
      <c r="BH81" s="119"/>
      <c r="BI81" s="144"/>
      <c r="BJ81" s="142"/>
      <c r="BK81" s="119"/>
      <c r="BL81" s="120"/>
      <c r="BM81" s="127"/>
      <c r="BN81" s="127"/>
      <c r="BO81"/>
      <c r="BP81" s="119"/>
      <c r="BQ81" s="144"/>
      <c r="BR81" s="142"/>
      <c r="BS81" s="119"/>
      <c r="BT81" s="120"/>
      <c r="BU81" s="127"/>
      <c r="BV81" s="127"/>
      <c r="BW81"/>
      <c r="BX81" s="119"/>
      <c r="BY81" s="144"/>
      <c r="BZ81" s="142"/>
      <c r="CA81" s="119"/>
      <c r="CB81" s="120"/>
      <c r="CC81" s="127"/>
      <c r="CD81" s="127"/>
      <c r="CE81"/>
      <c r="CF81" s="119"/>
      <c r="CG81" s="144"/>
      <c r="CH81" s="142"/>
      <c r="CI81" s="119"/>
      <c r="CJ81" s="120"/>
      <c r="CK81" s="127"/>
      <c r="CL81" s="127"/>
      <c r="CN81" s="119"/>
      <c r="CO81" s="144"/>
      <c r="CP81" s="142"/>
      <c r="CQ81" s="119"/>
      <c r="CR81" s="120"/>
      <c r="CS81" s="127"/>
      <c r="CT81" s="127"/>
      <c r="CV81" s="119"/>
      <c r="CW81" s="144"/>
      <c r="CX81" s="142"/>
      <c r="CY81" s="119"/>
      <c r="CZ81" s="120"/>
      <c r="DA81" s="127"/>
      <c r="DB81" s="127"/>
      <c r="DD81" s="119"/>
      <c r="DE81" s="144"/>
      <c r="DF81" s="142"/>
      <c r="DG81" s="119"/>
      <c r="DH81" s="120"/>
      <c r="DI81" s="127"/>
      <c r="DJ81" s="127"/>
    </row>
    <row r="82" spans="4:114" x14ac:dyDescent="0.25">
      <c r="D82" s="119"/>
      <c r="E82" s="144"/>
      <c r="F82" s="142"/>
      <c r="G82" s="119"/>
      <c r="H82" s="120"/>
      <c r="I82" s="127"/>
      <c r="J82" s="127"/>
      <c r="L82" s="119"/>
      <c r="M82" s="144"/>
      <c r="N82" s="142"/>
      <c r="O82" s="119"/>
      <c r="P82" s="120"/>
      <c r="Q82" s="127"/>
      <c r="R82" s="127"/>
      <c r="S82"/>
      <c r="T82" s="119"/>
      <c r="U82" s="144"/>
      <c r="V82" s="142"/>
      <c r="W82" s="119"/>
      <c r="X82" s="120"/>
      <c r="Y82" s="127"/>
      <c r="Z82" s="127"/>
      <c r="AA82"/>
      <c r="AB82" s="119"/>
      <c r="AC82" s="144"/>
      <c r="AD82" s="142"/>
      <c r="AE82" s="119"/>
      <c r="AF82" s="120"/>
      <c r="AG82" s="127"/>
      <c r="AH82" s="127"/>
      <c r="AI82"/>
      <c r="AJ82" s="119"/>
      <c r="AK82" s="144"/>
      <c r="AL82" s="142"/>
      <c r="AM82" s="119"/>
      <c r="AN82" s="120"/>
      <c r="AO82" s="127"/>
      <c r="AP82" s="127"/>
      <c r="AQ82"/>
      <c r="AR82" s="119"/>
      <c r="AS82" s="144"/>
      <c r="AT82" s="142"/>
      <c r="AU82" s="119"/>
      <c r="AV82" s="120"/>
      <c r="AW82" s="127"/>
      <c r="AX82" s="127"/>
      <c r="AY82"/>
      <c r="AZ82" s="119"/>
      <c r="BA82" s="144"/>
      <c r="BB82" s="142"/>
      <c r="BC82" s="119"/>
      <c r="BD82" s="120"/>
      <c r="BE82" s="127"/>
      <c r="BF82" s="127"/>
      <c r="BG82"/>
      <c r="BH82" s="119"/>
      <c r="BI82" s="144"/>
      <c r="BJ82" s="142"/>
      <c r="BK82" s="119"/>
      <c r="BL82" s="120"/>
      <c r="BM82" s="127"/>
      <c r="BN82" s="127"/>
      <c r="BO82"/>
      <c r="BP82" s="119"/>
      <c r="BQ82" s="144"/>
      <c r="BR82" s="142"/>
      <c r="BS82" s="119"/>
      <c r="BT82" s="120"/>
      <c r="BU82" s="127"/>
      <c r="BV82" s="127"/>
      <c r="BW82"/>
      <c r="BX82" s="119"/>
      <c r="BY82" s="144"/>
      <c r="BZ82" s="142"/>
      <c r="CA82" s="119"/>
      <c r="CB82" s="120"/>
      <c r="CC82" s="127"/>
      <c r="CD82" s="127"/>
      <c r="CE82"/>
      <c r="CF82" s="119"/>
      <c r="CG82" s="144"/>
      <c r="CH82" s="142"/>
      <c r="CI82" s="119"/>
      <c r="CJ82" s="120"/>
      <c r="CK82" s="127"/>
      <c r="CL82" s="127"/>
      <c r="CN82" s="119"/>
      <c r="CO82" s="144"/>
      <c r="CP82" s="142"/>
      <c r="CQ82" s="119"/>
      <c r="CR82" s="120"/>
      <c r="CS82" s="127"/>
      <c r="CT82" s="127"/>
      <c r="CV82" s="119"/>
      <c r="CW82" s="144"/>
      <c r="CX82" s="142"/>
      <c r="CY82" s="119"/>
      <c r="CZ82" s="120"/>
      <c r="DA82" s="127"/>
      <c r="DB82" s="127"/>
      <c r="DD82" s="119"/>
      <c r="DE82" s="144"/>
      <c r="DF82" s="142"/>
      <c r="DG82" s="119"/>
      <c r="DH82" s="120"/>
      <c r="DI82" s="127"/>
      <c r="DJ82" s="127"/>
    </row>
    <row r="83" spans="4:114" x14ac:dyDescent="0.25">
      <c r="D83" s="119"/>
      <c r="E83" s="144"/>
      <c r="F83" s="142"/>
      <c r="G83" s="119"/>
      <c r="H83" s="120"/>
      <c r="I83" s="127"/>
      <c r="J83" s="127"/>
      <c r="L83" s="119"/>
      <c r="M83" s="144"/>
      <c r="N83" s="142"/>
      <c r="O83" s="119"/>
      <c r="P83" s="120"/>
      <c r="Q83" s="127"/>
      <c r="R83" s="127"/>
      <c r="S83"/>
      <c r="T83" s="119"/>
      <c r="U83" s="144"/>
      <c r="V83" s="142"/>
      <c r="W83" s="119"/>
      <c r="X83" s="120"/>
      <c r="Y83" s="127"/>
      <c r="Z83" s="127"/>
      <c r="AA83"/>
      <c r="AB83" s="119"/>
      <c r="AC83" s="144"/>
      <c r="AD83" s="142"/>
      <c r="AE83" s="119"/>
      <c r="AF83" s="120"/>
      <c r="AG83" s="127"/>
      <c r="AH83" s="127"/>
      <c r="AI83"/>
      <c r="AJ83" s="119"/>
      <c r="AK83" s="144"/>
      <c r="AL83" s="142"/>
      <c r="AM83" s="119"/>
      <c r="AN83" s="120"/>
      <c r="AO83" s="127"/>
      <c r="AP83" s="127"/>
      <c r="AQ83"/>
      <c r="AR83" s="119"/>
      <c r="AS83" s="144"/>
      <c r="AT83" s="142"/>
      <c r="AU83" s="119"/>
      <c r="AV83" s="120"/>
      <c r="AW83" s="127"/>
      <c r="AX83" s="127"/>
      <c r="AY83"/>
      <c r="AZ83" s="119"/>
      <c r="BA83" s="144"/>
      <c r="BB83" s="142"/>
      <c r="BC83" s="119"/>
      <c r="BD83" s="120"/>
      <c r="BE83" s="127"/>
      <c r="BF83" s="127"/>
      <c r="BG83"/>
      <c r="BH83" s="119"/>
      <c r="BI83" s="144"/>
      <c r="BJ83" s="142"/>
      <c r="BK83" s="119"/>
      <c r="BL83" s="120"/>
      <c r="BM83" s="127"/>
      <c r="BN83" s="127"/>
      <c r="BO83"/>
      <c r="BP83" s="119"/>
      <c r="BQ83" s="144"/>
      <c r="BR83" s="142"/>
      <c r="BS83" s="119"/>
      <c r="BT83" s="120"/>
      <c r="BU83" s="127"/>
      <c r="BV83" s="127"/>
      <c r="BW83"/>
      <c r="BX83" s="119"/>
      <c r="BY83" s="144"/>
      <c r="BZ83" s="142"/>
      <c r="CA83" s="119"/>
      <c r="CB83" s="120"/>
      <c r="CC83" s="127"/>
      <c r="CD83" s="127"/>
      <c r="CE83"/>
      <c r="CF83" s="119"/>
      <c r="CG83" s="144"/>
      <c r="CH83" s="142"/>
      <c r="CI83" s="119"/>
      <c r="CJ83" s="120"/>
      <c r="CK83" s="127"/>
      <c r="CL83" s="127"/>
      <c r="CN83" s="119"/>
      <c r="CO83" s="144"/>
      <c r="CP83" s="142"/>
      <c r="CQ83" s="119"/>
      <c r="CR83" s="120"/>
      <c r="CS83" s="127"/>
      <c r="CT83" s="127"/>
      <c r="CV83" s="119"/>
      <c r="CW83" s="144"/>
      <c r="CX83" s="142"/>
      <c r="CY83" s="119"/>
      <c r="CZ83" s="120"/>
      <c r="DA83" s="127"/>
      <c r="DB83" s="127"/>
      <c r="DD83" s="119"/>
      <c r="DE83" s="144"/>
      <c r="DF83" s="142"/>
      <c r="DG83" s="119"/>
      <c r="DH83" s="120"/>
      <c r="DI83" s="127"/>
      <c r="DJ83" s="127"/>
    </row>
    <row r="84" spans="4:114" x14ac:dyDescent="0.25">
      <c r="D84" s="119"/>
      <c r="E84" s="144"/>
      <c r="F84" s="142"/>
      <c r="G84" s="119"/>
      <c r="H84" s="120"/>
      <c r="I84" s="127"/>
      <c r="J84" s="127"/>
      <c r="L84" s="119"/>
      <c r="M84" s="144"/>
      <c r="N84" s="142"/>
      <c r="O84" s="119"/>
      <c r="P84" s="120"/>
      <c r="Q84" s="127"/>
      <c r="R84" s="127"/>
      <c r="S84"/>
      <c r="T84" s="119"/>
      <c r="U84" s="144"/>
      <c r="V84" s="142"/>
      <c r="W84" s="119"/>
      <c r="X84" s="120"/>
      <c r="Y84" s="127"/>
      <c r="Z84" s="127"/>
      <c r="AA84"/>
      <c r="AB84" s="119"/>
      <c r="AC84" s="144"/>
      <c r="AD84" s="142"/>
      <c r="AE84" s="119"/>
      <c r="AF84" s="120"/>
      <c r="AG84" s="127"/>
      <c r="AH84" s="127"/>
      <c r="AI84"/>
      <c r="AJ84" s="119"/>
      <c r="AK84" s="144"/>
      <c r="AL84" s="142"/>
      <c r="AM84" s="119"/>
      <c r="AN84" s="120"/>
      <c r="AO84" s="127"/>
      <c r="AP84" s="127"/>
      <c r="AQ84"/>
      <c r="AR84" s="119"/>
      <c r="AS84" s="144"/>
      <c r="AT84" s="142"/>
      <c r="AU84" s="119"/>
      <c r="AV84" s="120"/>
      <c r="AW84" s="127"/>
      <c r="AX84" s="127"/>
      <c r="AY84"/>
      <c r="AZ84" s="119"/>
      <c r="BA84" s="144"/>
      <c r="BB84" s="142"/>
      <c r="BC84" s="119"/>
      <c r="BD84" s="120"/>
      <c r="BE84" s="127"/>
      <c r="BF84" s="127"/>
      <c r="BG84"/>
      <c r="BH84" s="119"/>
      <c r="BI84" s="144"/>
      <c r="BJ84" s="142"/>
      <c r="BK84" s="119"/>
      <c r="BL84" s="120"/>
      <c r="BM84" s="127"/>
      <c r="BN84" s="127"/>
      <c r="BO84"/>
      <c r="BP84" s="119"/>
      <c r="BQ84" s="144"/>
      <c r="BR84" s="142"/>
      <c r="BS84" s="119"/>
      <c r="BT84" s="120"/>
      <c r="BU84" s="127"/>
      <c r="BV84" s="127"/>
      <c r="BW84"/>
      <c r="BX84" s="119"/>
      <c r="BY84" s="144"/>
      <c r="BZ84" s="142"/>
      <c r="CA84" s="119"/>
      <c r="CB84" s="120"/>
      <c r="CC84" s="127"/>
      <c r="CD84" s="127"/>
      <c r="CE84"/>
      <c r="CF84" s="119"/>
      <c r="CG84" s="144"/>
      <c r="CH84" s="142"/>
      <c r="CI84" s="119"/>
      <c r="CJ84" s="120"/>
      <c r="CK84" s="127"/>
      <c r="CL84" s="127"/>
      <c r="CN84" s="119"/>
      <c r="CO84" s="144"/>
      <c r="CP84" s="142"/>
      <c r="CQ84" s="119"/>
      <c r="CR84" s="120"/>
      <c r="CS84" s="127"/>
      <c r="CT84" s="127"/>
      <c r="CV84" s="119"/>
      <c r="CW84" s="144"/>
      <c r="CX84" s="142"/>
      <c r="CY84" s="119"/>
      <c r="CZ84" s="120"/>
      <c r="DA84" s="127"/>
      <c r="DB84" s="127"/>
      <c r="DD84" s="119"/>
      <c r="DE84" s="144"/>
      <c r="DF84" s="142"/>
      <c r="DG84" s="119"/>
      <c r="DH84" s="120"/>
      <c r="DI84" s="127"/>
      <c r="DJ84" s="127"/>
    </row>
    <row r="85" spans="4:114" x14ac:dyDescent="0.25">
      <c r="D85" s="119"/>
      <c r="E85" s="144"/>
      <c r="F85" s="142"/>
      <c r="G85" s="119"/>
      <c r="H85" s="120"/>
      <c r="I85" s="127"/>
      <c r="J85" s="127"/>
      <c r="L85" s="119"/>
      <c r="M85" s="144"/>
      <c r="N85" s="142"/>
      <c r="O85" s="119"/>
      <c r="P85" s="120"/>
      <c r="Q85" s="127"/>
      <c r="R85" s="127"/>
      <c r="S85"/>
      <c r="T85" s="119"/>
      <c r="U85" s="144"/>
      <c r="V85" s="142"/>
      <c r="W85" s="119"/>
      <c r="X85" s="120"/>
      <c r="Y85" s="127"/>
      <c r="Z85" s="127"/>
      <c r="AA85"/>
      <c r="AB85" s="119"/>
      <c r="AC85" s="144"/>
      <c r="AD85" s="142"/>
      <c r="AE85" s="119"/>
      <c r="AF85" s="120"/>
      <c r="AG85" s="127"/>
      <c r="AH85" s="127"/>
      <c r="AI85"/>
      <c r="AJ85" s="119"/>
      <c r="AK85" s="144"/>
      <c r="AL85" s="142"/>
      <c r="AM85" s="119"/>
      <c r="AN85" s="120"/>
      <c r="AO85" s="127"/>
      <c r="AP85" s="127"/>
      <c r="AQ85"/>
      <c r="AR85" s="119"/>
      <c r="AS85" s="144"/>
      <c r="AT85" s="142"/>
      <c r="AU85" s="119"/>
      <c r="AV85" s="120"/>
      <c r="AW85" s="127"/>
      <c r="AX85" s="127"/>
      <c r="AY85"/>
      <c r="AZ85" s="119"/>
      <c r="BA85" s="144"/>
      <c r="BB85" s="142"/>
      <c r="BC85" s="119"/>
      <c r="BD85" s="120"/>
      <c r="BE85" s="127"/>
      <c r="BF85" s="127"/>
      <c r="BG85"/>
      <c r="BH85" s="119"/>
      <c r="BI85" s="144"/>
      <c r="BJ85" s="142"/>
      <c r="BK85" s="119"/>
      <c r="BL85" s="120"/>
      <c r="BM85" s="127"/>
      <c r="BN85" s="127"/>
      <c r="BO85"/>
      <c r="BP85" s="119"/>
      <c r="BQ85" s="144"/>
      <c r="BR85" s="142"/>
      <c r="BS85" s="119"/>
      <c r="BT85" s="120"/>
      <c r="BU85" s="127"/>
      <c r="BV85" s="127"/>
      <c r="BW85"/>
      <c r="BX85" s="119"/>
      <c r="BY85" s="144"/>
      <c r="BZ85" s="142"/>
      <c r="CA85" s="119"/>
      <c r="CB85" s="120"/>
      <c r="CC85" s="127"/>
      <c r="CD85" s="127"/>
      <c r="CE85"/>
      <c r="CF85" s="119"/>
      <c r="CG85" s="144"/>
      <c r="CH85" s="142"/>
      <c r="CI85" s="119"/>
      <c r="CJ85" s="120"/>
      <c r="CK85" s="127"/>
      <c r="CL85" s="127"/>
      <c r="CN85" s="119"/>
      <c r="CO85" s="144"/>
      <c r="CP85" s="142"/>
      <c r="CQ85" s="119"/>
      <c r="CR85" s="120"/>
      <c r="CS85" s="127"/>
      <c r="CT85" s="127"/>
      <c r="CV85" s="119"/>
      <c r="CW85" s="144"/>
      <c r="CX85" s="142"/>
      <c r="CY85" s="119"/>
      <c r="CZ85" s="120"/>
      <c r="DA85" s="127"/>
      <c r="DB85" s="127"/>
      <c r="DD85" s="119"/>
      <c r="DE85" s="144"/>
      <c r="DF85" s="142"/>
      <c r="DG85" s="119"/>
      <c r="DH85" s="120"/>
      <c r="DI85" s="127"/>
      <c r="DJ85" s="127"/>
    </row>
    <row r="86" spans="4:114" x14ac:dyDescent="0.25">
      <c r="D86" s="119"/>
      <c r="E86" s="144"/>
      <c r="F86" s="142"/>
      <c r="G86" s="119"/>
      <c r="H86" s="120"/>
      <c r="I86" s="127"/>
      <c r="J86" s="127"/>
      <c r="L86" s="119"/>
      <c r="M86" s="144"/>
      <c r="N86" s="142"/>
      <c r="O86" s="119"/>
      <c r="P86" s="120"/>
      <c r="Q86" s="127"/>
      <c r="R86" s="127"/>
      <c r="S86"/>
      <c r="T86" s="119"/>
      <c r="U86" s="144"/>
      <c r="V86" s="142"/>
      <c r="W86" s="119"/>
      <c r="X86" s="120"/>
      <c r="Y86" s="127"/>
      <c r="Z86" s="127"/>
      <c r="AA86"/>
      <c r="AB86" s="119"/>
      <c r="AC86" s="144"/>
      <c r="AD86" s="142"/>
      <c r="AE86" s="119"/>
      <c r="AF86" s="120"/>
      <c r="AG86" s="127"/>
      <c r="AH86" s="127"/>
      <c r="AI86"/>
      <c r="AJ86" s="119"/>
      <c r="AK86" s="144"/>
      <c r="AL86" s="142"/>
      <c r="AM86" s="119"/>
      <c r="AN86" s="120"/>
      <c r="AO86" s="127"/>
      <c r="AP86" s="127"/>
      <c r="AQ86"/>
      <c r="AR86" s="119"/>
      <c r="AS86" s="144"/>
      <c r="AT86" s="142"/>
      <c r="AU86" s="119"/>
      <c r="AV86" s="120"/>
      <c r="AW86" s="127"/>
      <c r="AX86" s="127"/>
      <c r="AY86"/>
      <c r="AZ86" s="119"/>
      <c r="BA86" s="144"/>
      <c r="BB86" s="142"/>
      <c r="BC86" s="119"/>
      <c r="BD86" s="120"/>
      <c r="BE86" s="127"/>
      <c r="BF86" s="127"/>
      <c r="BG86"/>
      <c r="BH86" s="119"/>
      <c r="BI86" s="144"/>
      <c r="BJ86" s="142"/>
      <c r="BK86" s="119"/>
      <c r="BL86" s="120"/>
      <c r="BM86" s="127"/>
      <c r="BN86" s="127"/>
      <c r="BO86"/>
      <c r="BP86" s="119"/>
      <c r="BQ86" s="144"/>
      <c r="BR86" s="142"/>
      <c r="BS86" s="119"/>
      <c r="BT86" s="120"/>
      <c r="BU86" s="127"/>
      <c r="BV86" s="127"/>
      <c r="BW86"/>
      <c r="BX86" s="119"/>
      <c r="BY86" s="144"/>
      <c r="BZ86" s="142"/>
      <c r="CA86" s="119"/>
      <c r="CB86" s="120"/>
      <c r="CC86" s="127"/>
      <c r="CD86" s="127"/>
      <c r="CE86"/>
      <c r="CF86" s="119"/>
      <c r="CG86" s="144"/>
      <c r="CH86" s="142"/>
      <c r="CI86" s="119"/>
      <c r="CJ86" s="120"/>
      <c r="CK86" s="127"/>
      <c r="CL86" s="127"/>
      <c r="CN86" s="119"/>
      <c r="CO86" s="144"/>
      <c r="CP86" s="142"/>
      <c r="CQ86" s="119"/>
      <c r="CR86" s="120"/>
      <c r="CS86" s="127"/>
      <c r="CT86" s="127"/>
      <c r="CV86" s="119"/>
      <c r="CW86" s="144"/>
      <c r="CX86" s="142"/>
      <c r="CY86" s="119"/>
      <c r="CZ86" s="120"/>
      <c r="DA86" s="127"/>
      <c r="DB86" s="127"/>
      <c r="DD86" s="119"/>
      <c r="DE86" s="144"/>
      <c r="DF86" s="142"/>
      <c r="DG86" s="119"/>
      <c r="DH86" s="120"/>
      <c r="DI86" s="127"/>
      <c r="DJ86" s="127"/>
    </row>
    <row r="87" spans="4:114" x14ac:dyDescent="0.25">
      <c r="D87" s="119"/>
      <c r="E87" s="144"/>
      <c r="F87" s="142"/>
      <c r="G87" s="119"/>
      <c r="H87" s="120"/>
      <c r="I87" s="127"/>
      <c r="J87" s="127"/>
      <c r="K87" s="121"/>
      <c r="L87" s="119"/>
      <c r="M87" s="144"/>
      <c r="N87" s="142"/>
      <c r="O87" s="119"/>
      <c r="P87" s="120"/>
      <c r="Q87" s="127"/>
      <c r="R87" s="127"/>
      <c r="S87"/>
      <c r="T87" s="119"/>
      <c r="U87" s="144"/>
      <c r="V87" s="142"/>
      <c r="W87" s="119"/>
      <c r="X87" s="120"/>
      <c r="Y87" s="127"/>
      <c r="Z87" s="127"/>
      <c r="AA87"/>
      <c r="AB87" s="119"/>
      <c r="AC87" s="144"/>
      <c r="AD87" s="142"/>
      <c r="AE87" s="119"/>
      <c r="AF87" s="120"/>
      <c r="AG87" s="127"/>
      <c r="AH87" s="127"/>
      <c r="AI87"/>
      <c r="AJ87" s="119"/>
      <c r="AK87" s="144"/>
      <c r="AL87" s="142"/>
      <c r="AM87" s="119"/>
      <c r="AN87" s="120"/>
      <c r="AO87" s="127"/>
      <c r="AP87" s="127"/>
      <c r="AQ87"/>
      <c r="AR87" s="119"/>
      <c r="AS87" s="144"/>
      <c r="AT87" s="142"/>
      <c r="AU87" s="119"/>
      <c r="AV87" s="120"/>
      <c r="AW87" s="127"/>
      <c r="AX87" s="127"/>
      <c r="AY87"/>
      <c r="AZ87" s="119"/>
      <c r="BA87" s="144"/>
      <c r="BB87" s="142"/>
      <c r="BC87" s="119"/>
      <c r="BD87" s="120"/>
      <c r="BE87" s="127"/>
      <c r="BF87" s="127"/>
      <c r="BG87"/>
      <c r="BH87" s="119"/>
      <c r="BI87" s="144"/>
      <c r="BJ87" s="142"/>
      <c r="BK87" s="119"/>
      <c r="BL87" s="120"/>
      <c r="BM87" s="127"/>
      <c r="BN87" s="127"/>
      <c r="BO87"/>
      <c r="BP87" s="119"/>
      <c r="BQ87" s="144"/>
      <c r="BR87" s="142"/>
      <c r="BS87" s="119"/>
      <c r="BT87" s="120"/>
      <c r="BU87" s="127"/>
      <c r="BV87" s="127"/>
      <c r="BW87"/>
      <c r="BX87" s="119"/>
      <c r="BY87" s="144"/>
      <c r="BZ87" s="142"/>
      <c r="CA87" s="119"/>
      <c r="CB87" s="120"/>
      <c r="CC87" s="127"/>
      <c r="CD87" s="127"/>
      <c r="CE87"/>
      <c r="CF87" s="119"/>
      <c r="CG87" s="144"/>
      <c r="CH87" s="142"/>
      <c r="CI87" s="119"/>
      <c r="CJ87" s="120"/>
      <c r="CK87" s="127"/>
      <c r="CL87" s="127"/>
      <c r="CN87" s="119"/>
      <c r="CO87" s="144"/>
      <c r="CP87" s="142"/>
      <c r="CQ87" s="119"/>
      <c r="CR87" s="120"/>
      <c r="CS87" s="127"/>
      <c r="CT87" s="127"/>
      <c r="CV87" s="119"/>
      <c r="CW87" s="144"/>
      <c r="CX87" s="142"/>
      <c r="CY87" s="119"/>
      <c r="CZ87" s="120"/>
      <c r="DA87" s="127"/>
      <c r="DB87" s="127"/>
      <c r="DD87" s="119"/>
      <c r="DE87" s="144"/>
      <c r="DF87" s="142"/>
      <c r="DG87" s="119"/>
      <c r="DH87" s="120"/>
      <c r="DI87" s="127"/>
      <c r="DJ87" s="127"/>
    </row>
    <row r="88" spans="4:114" x14ac:dyDescent="0.25">
      <c r="D88" s="119"/>
      <c r="E88" s="144"/>
      <c r="F88" s="142"/>
      <c r="G88" s="119"/>
      <c r="H88" s="120"/>
      <c r="I88" s="127"/>
      <c r="J88" s="127"/>
      <c r="K88" s="121"/>
      <c r="L88" s="119"/>
      <c r="M88" s="144"/>
      <c r="N88" s="142"/>
      <c r="O88" s="119"/>
      <c r="P88" s="120"/>
      <c r="Q88" s="127"/>
      <c r="R88" s="127"/>
      <c r="S88"/>
      <c r="T88" s="119"/>
      <c r="U88" s="144"/>
      <c r="V88" s="142"/>
      <c r="W88" s="119"/>
      <c r="X88" s="120"/>
      <c r="Y88" s="127"/>
      <c r="Z88" s="127"/>
      <c r="AA88"/>
      <c r="AB88" s="119"/>
      <c r="AC88" s="144"/>
      <c r="AD88" s="142"/>
      <c r="AE88" s="119"/>
      <c r="AF88" s="120"/>
      <c r="AG88" s="127"/>
      <c r="AH88" s="127"/>
      <c r="AI88"/>
      <c r="AJ88" s="119"/>
      <c r="AK88" s="144"/>
      <c r="AL88" s="142"/>
      <c r="AM88" s="119"/>
      <c r="AN88" s="120"/>
      <c r="AO88" s="127"/>
      <c r="AP88" s="127"/>
      <c r="AQ88"/>
      <c r="AR88" s="119"/>
      <c r="AS88" s="144"/>
      <c r="AT88" s="142"/>
      <c r="AU88" s="119"/>
      <c r="AV88" s="120"/>
      <c r="AW88" s="127"/>
      <c r="AX88" s="127"/>
      <c r="AY88"/>
      <c r="AZ88" s="119"/>
      <c r="BA88" s="144"/>
      <c r="BB88" s="142"/>
      <c r="BC88" s="119"/>
      <c r="BD88" s="120"/>
      <c r="BE88" s="127"/>
      <c r="BF88" s="127"/>
      <c r="BG88"/>
      <c r="BH88" s="119"/>
      <c r="BI88" s="144"/>
      <c r="BJ88" s="142"/>
      <c r="BK88" s="119"/>
      <c r="BL88" s="120"/>
      <c r="BM88" s="127"/>
      <c r="BN88" s="127"/>
      <c r="BO88"/>
      <c r="BP88" s="119"/>
      <c r="BQ88" s="144"/>
      <c r="BR88" s="142"/>
      <c r="BS88" s="119"/>
      <c r="BT88" s="120"/>
      <c r="BU88" s="127"/>
      <c r="BV88" s="127"/>
      <c r="BW88"/>
      <c r="BX88" s="119"/>
      <c r="BY88" s="144"/>
      <c r="BZ88" s="142"/>
      <c r="CA88" s="119"/>
      <c r="CB88" s="120"/>
      <c r="CC88" s="127"/>
      <c r="CD88" s="127"/>
      <c r="CE88"/>
      <c r="CF88" s="119"/>
      <c r="CG88" s="144"/>
      <c r="CH88" s="142"/>
      <c r="CI88" s="119"/>
      <c r="CJ88" s="120"/>
      <c r="CK88" s="127"/>
      <c r="CL88" s="127"/>
      <c r="CN88" s="119"/>
      <c r="CO88" s="144"/>
      <c r="CP88" s="142"/>
      <c r="CQ88" s="119"/>
      <c r="CR88" s="120"/>
      <c r="CS88" s="127"/>
      <c r="CT88" s="127"/>
      <c r="CV88" s="119"/>
      <c r="CW88" s="144"/>
      <c r="CX88" s="142"/>
      <c r="CY88" s="119"/>
      <c r="CZ88" s="120"/>
      <c r="DA88" s="127"/>
      <c r="DB88" s="127"/>
      <c r="DD88" s="119"/>
      <c r="DE88" s="144"/>
      <c r="DF88" s="142"/>
      <c r="DG88" s="119"/>
      <c r="DH88" s="120"/>
      <c r="DI88" s="127"/>
      <c r="DJ88" s="127"/>
    </row>
    <row r="89" spans="4:114" x14ac:dyDescent="0.25">
      <c r="D89" s="119"/>
      <c r="E89" s="144"/>
      <c r="F89" s="142"/>
      <c r="G89" s="119"/>
      <c r="H89" s="120"/>
      <c r="I89" s="127"/>
      <c r="J89" s="127"/>
      <c r="K89" s="121"/>
      <c r="L89" s="119"/>
      <c r="M89" s="144"/>
      <c r="N89" s="142"/>
      <c r="O89" s="119"/>
      <c r="P89" s="120"/>
      <c r="Q89" s="127"/>
      <c r="R89" s="127"/>
      <c r="S89"/>
      <c r="T89" s="119"/>
      <c r="U89" s="144"/>
      <c r="V89" s="142"/>
      <c r="W89" s="119"/>
      <c r="X89" s="120"/>
      <c r="Y89" s="127"/>
      <c r="Z89" s="127"/>
      <c r="AA89"/>
      <c r="AB89" s="119"/>
      <c r="AC89" s="144"/>
      <c r="AD89" s="142"/>
      <c r="AE89" s="119"/>
      <c r="AF89" s="120"/>
      <c r="AG89" s="127"/>
      <c r="AH89" s="127"/>
      <c r="AI89"/>
      <c r="AJ89" s="119"/>
      <c r="AK89" s="144"/>
      <c r="AL89" s="142"/>
      <c r="AM89" s="119"/>
      <c r="AN89" s="120"/>
      <c r="AO89" s="127"/>
      <c r="AP89" s="127"/>
      <c r="AQ89"/>
      <c r="AR89" s="119"/>
      <c r="AS89" s="144"/>
      <c r="AT89" s="142"/>
      <c r="AU89" s="119"/>
      <c r="AV89" s="120"/>
      <c r="AW89" s="127"/>
      <c r="AX89" s="127"/>
      <c r="AY89"/>
      <c r="AZ89" s="119"/>
      <c r="BA89" s="144"/>
      <c r="BB89" s="142"/>
      <c r="BC89" s="119"/>
      <c r="BD89" s="120"/>
      <c r="BE89" s="127"/>
      <c r="BF89" s="127"/>
      <c r="BG89"/>
      <c r="BH89" s="119"/>
      <c r="BI89" s="144"/>
      <c r="BJ89" s="142"/>
      <c r="BK89" s="119"/>
      <c r="BL89" s="120"/>
      <c r="BM89" s="127"/>
      <c r="BN89" s="127"/>
      <c r="BO89"/>
      <c r="BP89" s="119"/>
      <c r="BQ89" s="144"/>
      <c r="BR89" s="142"/>
      <c r="BS89" s="119"/>
      <c r="BT89" s="120"/>
      <c r="BU89" s="127"/>
      <c r="BV89" s="127"/>
      <c r="BW89"/>
      <c r="BX89" s="119"/>
      <c r="BY89" s="144"/>
      <c r="BZ89" s="142"/>
      <c r="CA89" s="119"/>
      <c r="CB89" s="120"/>
      <c r="CC89" s="127"/>
      <c r="CD89" s="127"/>
      <c r="CE89"/>
      <c r="CF89" s="119"/>
      <c r="CG89" s="144"/>
      <c r="CH89" s="142"/>
      <c r="CI89" s="119"/>
      <c r="CJ89" s="120"/>
      <c r="CK89" s="127"/>
      <c r="CL89" s="127"/>
      <c r="CN89" s="119"/>
      <c r="CO89" s="144"/>
      <c r="CP89" s="142"/>
      <c r="CQ89" s="119"/>
      <c r="CR89" s="120"/>
      <c r="CS89" s="127"/>
      <c r="CT89" s="127"/>
      <c r="CV89" s="119"/>
      <c r="CW89" s="144"/>
      <c r="CX89" s="142"/>
      <c r="CY89" s="119"/>
      <c r="CZ89" s="120"/>
      <c r="DA89" s="127"/>
      <c r="DB89" s="127"/>
      <c r="DD89" s="119"/>
      <c r="DE89" s="144"/>
      <c r="DF89" s="142"/>
      <c r="DG89" s="119"/>
      <c r="DH89" s="120"/>
      <c r="DI89" s="127"/>
      <c r="DJ89" s="127"/>
    </row>
    <row r="90" spans="4:114" x14ac:dyDescent="0.25">
      <c r="D90" s="119"/>
      <c r="E90" s="144"/>
      <c r="F90" s="142"/>
      <c r="G90" s="119"/>
      <c r="H90" s="120"/>
      <c r="I90" s="127"/>
      <c r="J90" s="127"/>
      <c r="K90" s="121"/>
      <c r="L90" s="119"/>
      <c r="M90" s="144"/>
      <c r="N90" s="142"/>
      <c r="O90" s="119"/>
      <c r="P90" s="120"/>
      <c r="Q90" s="127"/>
      <c r="R90" s="127"/>
      <c r="S90"/>
      <c r="T90" s="119"/>
      <c r="U90" s="144"/>
      <c r="V90" s="142"/>
      <c r="W90" s="119"/>
      <c r="X90" s="120"/>
      <c r="Y90" s="127"/>
      <c r="Z90" s="127"/>
      <c r="AA90"/>
      <c r="AB90" s="119"/>
      <c r="AC90" s="144"/>
      <c r="AD90" s="142"/>
      <c r="AE90" s="119"/>
      <c r="AF90" s="120"/>
      <c r="AG90" s="127"/>
      <c r="AH90" s="127"/>
      <c r="AI90"/>
      <c r="AJ90" s="119"/>
      <c r="AK90" s="144"/>
      <c r="AL90" s="142"/>
      <c r="AM90" s="119"/>
      <c r="AN90" s="120"/>
      <c r="AO90" s="127"/>
      <c r="AP90" s="127"/>
      <c r="AQ90"/>
      <c r="AR90" s="119"/>
      <c r="AS90" s="144"/>
      <c r="AT90" s="142"/>
      <c r="AU90" s="119"/>
      <c r="AV90" s="120"/>
      <c r="AW90" s="127"/>
      <c r="AX90" s="127"/>
      <c r="AY90"/>
      <c r="AZ90" s="119"/>
      <c r="BA90" s="144"/>
      <c r="BB90" s="142"/>
      <c r="BC90" s="119"/>
      <c r="BD90" s="120"/>
      <c r="BE90" s="127"/>
      <c r="BF90" s="127"/>
      <c r="BG90"/>
      <c r="BH90" s="119"/>
      <c r="BI90" s="144"/>
      <c r="BJ90" s="142"/>
      <c r="BK90" s="119"/>
      <c r="BL90" s="120"/>
      <c r="BM90" s="127"/>
      <c r="BN90" s="127"/>
      <c r="BO90"/>
      <c r="BP90" s="119"/>
      <c r="BQ90" s="144"/>
      <c r="BR90" s="142"/>
      <c r="BS90" s="119"/>
      <c r="BT90" s="120"/>
      <c r="BU90" s="127"/>
      <c r="BV90" s="127"/>
      <c r="BW90"/>
      <c r="BX90" s="119"/>
      <c r="BY90" s="144"/>
      <c r="BZ90" s="142"/>
      <c r="CA90" s="119"/>
      <c r="CB90" s="120"/>
      <c r="CC90" s="127"/>
      <c r="CD90" s="127"/>
      <c r="CE90"/>
      <c r="CF90" s="119"/>
      <c r="CG90" s="144"/>
      <c r="CH90" s="142"/>
      <c r="CI90" s="119"/>
      <c r="CJ90" s="120"/>
      <c r="CK90" s="127"/>
      <c r="CL90" s="127"/>
      <c r="CN90" s="119"/>
      <c r="CO90" s="144"/>
      <c r="CP90" s="142"/>
      <c r="CQ90" s="119"/>
      <c r="CR90" s="120"/>
      <c r="CS90" s="127"/>
      <c r="CT90" s="127"/>
      <c r="CV90" s="119"/>
      <c r="CW90" s="144"/>
      <c r="CX90" s="142"/>
      <c r="CY90" s="119"/>
      <c r="CZ90" s="120"/>
      <c r="DA90" s="127"/>
      <c r="DB90" s="127"/>
      <c r="DD90" s="119"/>
      <c r="DE90" s="144"/>
      <c r="DF90" s="142"/>
      <c r="DG90" s="119"/>
      <c r="DH90" s="120"/>
      <c r="DI90" s="127"/>
      <c r="DJ90" s="127"/>
    </row>
    <row r="91" spans="4:114" x14ac:dyDescent="0.25">
      <c r="D91" s="119"/>
      <c r="E91" s="119"/>
      <c r="F91" s="142"/>
      <c r="G91" s="119"/>
      <c r="H91" s="120"/>
      <c r="I91" s="127"/>
      <c r="J91" s="127"/>
      <c r="K91" s="121"/>
      <c r="L91" s="164"/>
      <c r="M91" s="119"/>
      <c r="N91" s="142"/>
      <c r="O91" s="119"/>
      <c r="P91" s="120"/>
      <c r="Q91" s="127"/>
      <c r="R91" s="126"/>
      <c r="T91" s="164"/>
      <c r="U91" s="119"/>
      <c r="V91" s="142"/>
      <c r="W91" s="119"/>
      <c r="X91" s="120"/>
      <c r="Y91" s="127"/>
      <c r="Z91" s="126"/>
      <c r="AB91" s="164"/>
      <c r="AC91" s="119"/>
      <c r="AD91" s="142"/>
      <c r="AE91" s="119"/>
      <c r="AF91" s="120"/>
      <c r="AG91" s="127"/>
      <c r="AH91" s="126"/>
      <c r="AJ91" s="164"/>
      <c r="AK91" s="119"/>
      <c r="AL91" s="142"/>
      <c r="AM91" s="119"/>
      <c r="AN91" s="120"/>
      <c r="AO91" s="127"/>
      <c r="AP91" s="126"/>
      <c r="AR91" s="164"/>
      <c r="AS91" s="119"/>
      <c r="AT91" s="142"/>
      <c r="AU91" s="119"/>
      <c r="AV91" s="120"/>
      <c r="AW91" s="127"/>
      <c r="AX91" s="126"/>
      <c r="AZ91" s="164"/>
      <c r="BA91" s="119"/>
      <c r="BB91" s="142"/>
      <c r="BC91" s="119"/>
      <c r="BD91" s="120"/>
      <c r="BE91" s="127"/>
      <c r="BF91" s="126"/>
      <c r="BH91" s="164"/>
      <c r="BI91" s="119"/>
      <c r="BJ91" s="142"/>
      <c r="BK91" s="119"/>
      <c r="BL91" s="120"/>
      <c r="BM91" s="127"/>
      <c r="BN91" s="126"/>
      <c r="BP91" s="164"/>
      <c r="BQ91" s="119"/>
      <c r="BR91" s="142"/>
      <c r="BS91" s="119"/>
      <c r="BT91" s="120"/>
      <c r="BU91" s="127"/>
      <c r="BV91" s="126"/>
      <c r="BX91" s="164"/>
      <c r="BY91" s="119"/>
      <c r="BZ91" s="142"/>
      <c r="CA91" s="119"/>
      <c r="CB91" s="120"/>
      <c r="CC91" s="127"/>
      <c r="CD91" s="126"/>
      <c r="CF91" s="164"/>
      <c r="CG91" s="119"/>
      <c r="CH91" s="142"/>
      <c r="CI91" s="119"/>
      <c r="CJ91" s="120"/>
      <c r="CK91" s="127"/>
      <c r="CL91" s="126"/>
      <c r="CN91" s="164"/>
      <c r="CO91" s="119"/>
      <c r="CP91" s="142"/>
      <c r="CQ91" s="119"/>
      <c r="CR91" s="120"/>
      <c r="CS91" s="127"/>
      <c r="CT91" s="126"/>
      <c r="CV91" s="164"/>
      <c r="CW91" s="119"/>
      <c r="CX91" s="142"/>
      <c r="CY91" s="119"/>
      <c r="CZ91" s="120"/>
      <c r="DA91" s="127"/>
      <c r="DB91" s="126"/>
      <c r="DD91" s="164"/>
      <c r="DE91" s="119"/>
      <c r="DF91" s="142"/>
      <c r="DG91" s="119"/>
      <c r="DH91" s="120"/>
      <c r="DI91" s="127"/>
      <c r="DJ91" s="126"/>
    </row>
    <row r="92" spans="4:114" x14ac:dyDescent="0.25">
      <c r="D92" s="119"/>
      <c r="E92" s="119"/>
      <c r="F92" s="142"/>
      <c r="G92" s="119"/>
      <c r="H92" s="120"/>
      <c r="I92" s="127"/>
      <c r="J92" s="127"/>
      <c r="K92" s="121"/>
      <c r="L92" s="164"/>
      <c r="M92" s="119"/>
      <c r="N92" s="142"/>
      <c r="O92" s="119"/>
      <c r="P92" s="120"/>
      <c r="Q92" s="127"/>
      <c r="R92" s="126"/>
      <c r="T92" s="164"/>
      <c r="U92" s="119"/>
      <c r="V92" s="142"/>
      <c r="W92" s="119"/>
      <c r="X92" s="120"/>
      <c r="Y92" s="127"/>
      <c r="Z92" s="126"/>
      <c r="AB92" s="164"/>
      <c r="AC92" s="119"/>
      <c r="AD92" s="142"/>
      <c r="AE92" s="119"/>
      <c r="AF92" s="120"/>
      <c r="AG92" s="127"/>
      <c r="AH92" s="126"/>
      <c r="AJ92" s="164"/>
      <c r="AK92" s="119"/>
      <c r="AL92" s="142"/>
      <c r="AM92" s="119"/>
      <c r="AN92" s="120"/>
      <c r="AO92" s="127"/>
      <c r="AP92" s="126"/>
      <c r="AR92" s="164"/>
      <c r="AS92" s="119"/>
      <c r="AT92" s="142"/>
      <c r="AU92" s="119"/>
      <c r="AV92" s="120"/>
      <c r="AW92" s="127"/>
      <c r="AX92" s="126"/>
      <c r="AZ92" s="164"/>
      <c r="BA92" s="119"/>
      <c r="BB92" s="142"/>
      <c r="BC92" s="119"/>
      <c r="BD92" s="120"/>
      <c r="BE92" s="127"/>
      <c r="BF92" s="126"/>
      <c r="BH92" s="164"/>
      <c r="BI92" s="119"/>
      <c r="BJ92" s="142"/>
      <c r="BK92" s="119"/>
      <c r="BL92" s="120"/>
      <c r="BM92" s="127"/>
      <c r="BN92" s="126"/>
      <c r="BP92" s="164"/>
      <c r="BQ92" s="119"/>
      <c r="BR92" s="142"/>
      <c r="BS92" s="119"/>
      <c r="BT92" s="120"/>
      <c r="BU92" s="127"/>
      <c r="BV92" s="126"/>
      <c r="BX92" s="164"/>
      <c r="BY92" s="119"/>
      <c r="BZ92" s="142"/>
      <c r="CA92" s="119"/>
      <c r="CB92" s="120"/>
      <c r="CC92" s="127"/>
      <c r="CD92" s="126"/>
      <c r="CF92" s="164"/>
      <c r="CG92" s="119"/>
      <c r="CH92" s="142"/>
      <c r="CI92" s="119"/>
      <c r="CJ92" s="120"/>
      <c r="CK92" s="127"/>
      <c r="CL92" s="126"/>
      <c r="CN92" s="164"/>
      <c r="CO92" s="119"/>
      <c r="CP92" s="142"/>
      <c r="CQ92" s="119"/>
      <c r="CR92" s="120"/>
      <c r="CS92" s="127"/>
      <c r="CT92" s="126"/>
      <c r="CV92" s="164"/>
      <c r="CW92" s="119"/>
      <c r="CX92" s="142"/>
      <c r="CY92" s="119"/>
      <c r="CZ92" s="120"/>
      <c r="DA92" s="127"/>
      <c r="DB92" s="126"/>
      <c r="DD92" s="164"/>
      <c r="DE92" s="119"/>
      <c r="DF92" s="142"/>
      <c r="DG92" s="119"/>
      <c r="DH92" s="120"/>
      <c r="DI92" s="127"/>
      <c r="DJ92" s="126"/>
    </row>
    <row r="93" spans="4:114" x14ac:dyDescent="0.25">
      <c r="D93" s="119"/>
      <c r="E93" s="119"/>
      <c r="F93" s="142"/>
      <c r="G93" s="119"/>
      <c r="H93" s="120"/>
      <c r="I93" s="127"/>
      <c r="J93" s="127"/>
      <c r="K93" s="121"/>
      <c r="L93" s="164"/>
      <c r="M93" s="119"/>
      <c r="N93" s="142"/>
      <c r="O93" s="119"/>
      <c r="P93" s="120"/>
      <c r="Q93" s="127"/>
      <c r="R93" s="126"/>
      <c r="T93" s="164"/>
      <c r="U93" s="119"/>
      <c r="V93" s="142"/>
      <c r="W93" s="119"/>
      <c r="X93" s="120"/>
      <c r="Y93" s="127"/>
      <c r="Z93" s="126"/>
      <c r="AB93" s="164"/>
      <c r="AC93" s="119"/>
      <c r="AD93" s="142"/>
      <c r="AE93" s="119"/>
      <c r="AF93" s="120"/>
      <c r="AG93" s="127"/>
      <c r="AH93" s="126"/>
      <c r="AJ93" s="164"/>
      <c r="AK93" s="119"/>
      <c r="AL93" s="142"/>
      <c r="AM93" s="119"/>
      <c r="AN93" s="120"/>
      <c r="AO93" s="127"/>
      <c r="AP93" s="126"/>
      <c r="AR93" s="164"/>
      <c r="AS93" s="119"/>
      <c r="AT93" s="142"/>
      <c r="AU93" s="119"/>
      <c r="AV93" s="120"/>
      <c r="AW93" s="127"/>
      <c r="AX93" s="126"/>
      <c r="AZ93" s="164"/>
      <c r="BA93" s="119"/>
      <c r="BB93" s="142"/>
      <c r="BC93" s="119"/>
      <c r="BD93" s="120"/>
      <c r="BE93" s="127"/>
      <c r="BF93" s="126"/>
      <c r="BH93" s="164"/>
      <c r="BI93" s="119"/>
      <c r="BJ93" s="142"/>
      <c r="BK93" s="119"/>
      <c r="BL93" s="120"/>
      <c r="BM93" s="127"/>
      <c r="BN93" s="126"/>
      <c r="BP93" s="164"/>
      <c r="BQ93" s="119"/>
      <c r="BR93" s="142"/>
      <c r="BS93" s="119"/>
      <c r="BT93" s="120"/>
      <c r="BU93" s="127"/>
      <c r="BV93" s="126"/>
      <c r="BX93" s="164"/>
      <c r="BY93" s="119"/>
      <c r="BZ93" s="142"/>
      <c r="CA93" s="119"/>
      <c r="CB93" s="120"/>
      <c r="CC93" s="127"/>
      <c r="CD93" s="126"/>
      <c r="CF93" s="164"/>
      <c r="CG93" s="119"/>
      <c r="CH93" s="142"/>
      <c r="CI93" s="119"/>
      <c r="CJ93" s="120"/>
      <c r="CK93" s="127"/>
      <c r="CL93" s="126"/>
      <c r="CN93" s="164"/>
      <c r="CO93" s="119"/>
      <c r="CP93" s="142"/>
      <c r="CQ93" s="119"/>
      <c r="CR93" s="120"/>
      <c r="CS93" s="127"/>
      <c r="CT93" s="126"/>
      <c r="CV93" s="164"/>
      <c r="CW93" s="119"/>
      <c r="CX93" s="142"/>
      <c r="CY93" s="119"/>
      <c r="CZ93" s="120"/>
      <c r="DA93" s="127"/>
      <c r="DB93" s="126"/>
      <c r="DD93" s="164"/>
      <c r="DE93" s="119"/>
      <c r="DF93" s="142"/>
      <c r="DG93" s="119"/>
      <c r="DH93" s="120"/>
      <c r="DI93" s="127"/>
      <c r="DJ93" s="126"/>
    </row>
    <row r="94" spans="4:114" x14ac:dyDescent="0.25">
      <c r="D94" s="119"/>
      <c r="E94" s="119"/>
      <c r="F94" s="142"/>
      <c r="G94" s="119"/>
      <c r="H94" s="120"/>
      <c r="I94" s="127"/>
      <c r="J94" s="127"/>
      <c r="K94" s="121"/>
      <c r="L94" s="164"/>
      <c r="M94" s="119"/>
      <c r="N94" s="142"/>
      <c r="O94" s="119"/>
      <c r="P94" s="120"/>
      <c r="Q94" s="127"/>
      <c r="R94" s="126"/>
      <c r="T94" s="164"/>
      <c r="U94" s="119"/>
      <c r="V94" s="142"/>
      <c r="W94" s="119"/>
      <c r="X94" s="120"/>
      <c r="Y94" s="127"/>
      <c r="Z94" s="126"/>
      <c r="AB94" s="164"/>
      <c r="AC94" s="119"/>
      <c r="AD94" s="142"/>
      <c r="AE94" s="119"/>
      <c r="AF94" s="120"/>
      <c r="AG94" s="127"/>
      <c r="AH94" s="126"/>
      <c r="AJ94" s="164"/>
      <c r="AK94" s="119"/>
      <c r="AL94" s="142"/>
      <c r="AM94" s="119"/>
      <c r="AN94" s="120"/>
      <c r="AO94" s="127"/>
      <c r="AP94" s="126"/>
      <c r="AR94" s="164"/>
      <c r="AS94" s="119"/>
      <c r="AT94" s="142"/>
      <c r="AU94" s="119"/>
      <c r="AV94" s="120"/>
      <c r="AW94" s="127"/>
      <c r="AX94" s="126"/>
      <c r="AZ94" s="164"/>
      <c r="BA94" s="119"/>
      <c r="BB94" s="142"/>
      <c r="BC94" s="119"/>
      <c r="BD94" s="120"/>
      <c r="BE94" s="127"/>
      <c r="BF94" s="126"/>
      <c r="BH94" s="164"/>
      <c r="BI94" s="119"/>
      <c r="BJ94" s="142"/>
      <c r="BK94" s="119"/>
      <c r="BL94" s="120"/>
      <c r="BM94" s="127"/>
      <c r="BN94" s="126"/>
      <c r="BP94" s="164"/>
      <c r="BQ94" s="119"/>
      <c r="BR94" s="142"/>
      <c r="BS94" s="119"/>
      <c r="BT94" s="120"/>
      <c r="BU94" s="127"/>
      <c r="BV94" s="126"/>
      <c r="BX94" s="164"/>
      <c r="BY94" s="119"/>
      <c r="BZ94" s="142"/>
      <c r="CA94" s="119"/>
      <c r="CB94" s="120"/>
      <c r="CC94" s="127"/>
      <c r="CD94" s="126"/>
      <c r="CF94" s="164"/>
      <c r="CG94" s="119"/>
      <c r="CH94" s="142"/>
      <c r="CI94" s="119"/>
      <c r="CJ94" s="120"/>
      <c r="CK94" s="127"/>
      <c r="CL94" s="126"/>
      <c r="CN94" s="164"/>
      <c r="CO94" s="119"/>
      <c r="CP94" s="142"/>
      <c r="CQ94" s="119"/>
      <c r="CR94" s="120"/>
      <c r="CS94" s="127"/>
      <c r="CT94" s="126"/>
      <c r="CV94" s="164"/>
      <c r="CW94" s="119"/>
      <c r="CX94" s="142"/>
      <c r="CY94" s="119"/>
      <c r="CZ94" s="120"/>
      <c r="DA94" s="127"/>
      <c r="DB94" s="126"/>
      <c r="DD94" s="164"/>
      <c r="DE94" s="119"/>
      <c r="DF94" s="142"/>
      <c r="DG94" s="119"/>
      <c r="DH94" s="120"/>
      <c r="DI94" s="127"/>
      <c r="DJ94" s="126"/>
    </row>
    <row r="95" spans="4:114" x14ac:dyDescent="0.25">
      <c r="D95" s="119"/>
      <c r="E95" s="119"/>
      <c r="F95" s="142"/>
      <c r="G95" s="119"/>
      <c r="H95" s="120"/>
      <c r="I95" s="127"/>
      <c r="J95" s="127"/>
      <c r="K95" s="121"/>
      <c r="L95" s="164"/>
      <c r="M95" s="119"/>
      <c r="N95" s="142"/>
      <c r="O95" s="119"/>
      <c r="P95" s="120"/>
      <c r="Q95" s="127"/>
      <c r="R95" s="126"/>
      <c r="T95" s="164"/>
      <c r="U95" s="119"/>
      <c r="V95" s="142"/>
      <c r="W95" s="119"/>
      <c r="X95" s="120"/>
      <c r="Y95" s="127"/>
      <c r="Z95" s="126"/>
      <c r="AB95" s="164"/>
      <c r="AC95" s="119"/>
      <c r="AD95" s="142"/>
      <c r="AE95" s="119"/>
      <c r="AF95" s="120"/>
      <c r="AG95" s="127"/>
      <c r="AH95" s="126"/>
      <c r="AJ95" s="164"/>
      <c r="AK95" s="119"/>
      <c r="AL95" s="142"/>
      <c r="AM95" s="119"/>
      <c r="AN95" s="120"/>
      <c r="AO95" s="127"/>
      <c r="AP95" s="126"/>
      <c r="AR95" s="164"/>
      <c r="AS95" s="119"/>
      <c r="AT95" s="142"/>
      <c r="AU95" s="119"/>
      <c r="AV95" s="120"/>
      <c r="AW95" s="127"/>
      <c r="AX95" s="126"/>
      <c r="AZ95" s="164"/>
      <c r="BA95" s="119"/>
      <c r="BB95" s="142"/>
      <c r="BC95" s="119"/>
      <c r="BD95" s="120"/>
      <c r="BE95" s="127"/>
      <c r="BF95" s="126"/>
      <c r="BH95" s="164"/>
      <c r="BI95" s="119"/>
      <c r="BJ95" s="142"/>
      <c r="BK95" s="119"/>
      <c r="BL95" s="120"/>
      <c r="BM95" s="127"/>
      <c r="BN95" s="126"/>
      <c r="BP95" s="164"/>
      <c r="BQ95" s="119"/>
      <c r="BR95" s="142"/>
      <c r="BS95" s="119"/>
      <c r="BT95" s="120"/>
      <c r="BU95" s="127"/>
      <c r="BV95" s="126"/>
      <c r="BX95" s="164"/>
      <c r="BY95" s="119"/>
      <c r="BZ95" s="142"/>
      <c r="CA95" s="119"/>
      <c r="CB95" s="120"/>
      <c r="CC95" s="127"/>
      <c r="CD95" s="126"/>
      <c r="CF95" s="164"/>
      <c r="CG95" s="119"/>
      <c r="CH95" s="142"/>
      <c r="CI95" s="119"/>
      <c r="CJ95" s="120"/>
      <c r="CK95" s="127"/>
      <c r="CL95" s="126"/>
      <c r="CN95" s="164"/>
      <c r="CO95" s="119"/>
      <c r="CP95" s="142"/>
      <c r="CQ95" s="119"/>
      <c r="CR95" s="120"/>
      <c r="CS95" s="127"/>
      <c r="CT95" s="126"/>
      <c r="CV95" s="164"/>
      <c r="CW95" s="119"/>
      <c r="CX95" s="142"/>
      <c r="CY95" s="119"/>
      <c r="CZ95" s="120"/>
      <c r="DA95" s="127"/>
      <c r="DB95" s="126"/>
      <c r="DD95" s="164"/>
      <c r="DE95" s="119"/>
      <c r="DF95" s="142"/>
      <c r="DG95" s="119"/>
      <c r="DH95" s="120"/>
      <c r="DI95" s="127"/>
      <c r="DJ95" s="126"/>
    </row>
    <row r="96" spans="4:114" x14ac:dyDescent="0.25">
      <c r="D96" s="119"/>
      <c r="E96" s="119"/>
      <c r="F96" s="142"/>
      <c r="G96" s="119"/>
      <c r="H96" s="120"/>
      <c r="I96" s="127"/>
      <c r="J96" s="127"/>
      <c r="K96" s="121"/>
      <c r="L96" s="164"/>
      <c r="M96" s="119"/>
      <c r="N96" s="142"/>
      <c r="O96" s="119"/>
      <c r="P96" s="120"/>
      <c r="Q96" s="127"/>
      <c r="R96" s="126"/>
      <c r="T96" s="164"/>
      <c r="U96" s="119"/>
      <c r="V96" s="142"/>
      <c r="W96" s="119"/>
      <c r="X96" s="120"/>
      <c r="Y96" s="127"/>
      <c r="Z96" s="126"/>
      <c r="AB96" s="164"/>
      <c r="AC96" s="119"/>
      <c r="AD96" s="142"/>
      <c r="AE96" s="119"/>
      <c r="AF96" s="120"/>
      <c r="AG96" s="127"/>
      <c r="AH96" s="126"/>
      <c r="AJ96" s="164"/>
      <c r="AK96" s="119"/>
      <c r="AL96" s="142"/>
      <c r="AM96" s="119"/>
      <c r="AN96" s="120"/>
      <c r="AO96" s="127"/>
      <c r="AP96" s="126"/>
      <c r="AR96" s="164"/>
      <c r="AS96" s="119"/>
      <c r="AT96" s="142"/>
      <c r="AU96" s="119"/>
      <c r="AV96" s="120"/>
      <c r="AW96" s="127"/>
      <c r="AX96" s="126"/>
      <c r="AZ96" s="164"/>
      <c r="BA96" s="119"/>
      <c r="BB96" s="142"/>
      <c r="BC96" s="119"/>
      <c r="BD96" s="120"/>
      <c r="BE96" s="127"/>
      <c r="BF96" s="126"/>
      <c r="BH96" s="164"/>
      <c r="BI96" s="119"/>
      <c r="BJ96" s="142"/>
      <c r="BK96" s="119"/>
      <c r="BL96" s="120"/>
      <c r="BM96" s="127"/>
      <c r="BN96" s="126"/>
      <c r="BP96" s="164"/>
      <c r="BQ96" s="119"/>
      <c r="BR96" s="142"/>
      <c r="BS96" s="119"/>
      <c r="BT96" s="120"/>
      <c r="BU96" s="127"/>
      <c r="BV96" s="126"/>
      <c r="BX96" s="164"/>
      <c r="BY96" s="119"/>
      <c r="BZ96" s="142"/>
      <c r="CA96" s="119"/>
      <c r="CB96" s="120"/>
      <c r="CC96" s="127"/>
      <c r="CD96" s="126"/>
      <c r="CF96" s="164"/>
      <c r="CG96" s="119"/>
      <c r="CH96" s="142"/>
      <c r="CI96" s="119"/>
      <c r="CJ96" s="120"/>
      <c r="CK96" s="127"/>
      <c r="CL96" s="126"/>
      <c r="CN96" s="164"/>
      <c r="CO96" s="119"/>
      <c r="CP96" s="142"/>
      <c r="CQ96" s="119"/>
      <c r="CR96" s="120"/>
      <c r="CS96" s="127"/>
      <c r="CT96" s="126"/>
      <c r="CV96" s="164"/>
      <c r="CW96" s="119"/>
      <c r="CX96" s="142"/>
      <c r="CY96" s="119"/>
      <c r="CZ96" s="120"/>
      <c r="DA96" s="127"/>
      <c r="DB96" s="126"/>
      <c r="DD96" s="164"/>
      <c r="DE96" s="119"/>
      <c r="DF96" s="142"/>
      <c r="DG96" s="119"/>
      <c r="DH96" s="120"/>
      <c r="DI96" s="127"/>
      <c r="DJ96" s="126"/>
    </row>
    <row r="97" spans="4:114" x14ac:dyDescent="0.25">
      <c r="D97" s="119"/>
      <c r="E97" s="119"/>
      <c r="F97" s="142"/>
      <c r="G97" s="119"/>
      <c r="H97" s="120"/>
      <c r="I97" s="127"/>
      <c r="J97" s="127"/>
      <c r="K97" s="121"/>
      <c r="L97" s="164"/>
      <c r="M97" s="119"/>
      <c r="N97" s="142"/>
      <c r="O97" s="119"/>
      <c r="P97" s="120"/>
      <c r="Q97" s="127"/>
      <c r="R97" s="126"/>
      <c r="T97" s="164"/>
      <c r="U97" s="119"/>
      <c r="V97" s="142"/>
      <c r="W97" s="119"/>
      <c r="X97" s="120"/>
      <c r="Y97" s="127"/>
      <c r="Z97" s="126"/>
      <c r="AB97" s="164"/>
      <c r="AC97" s="119"/>
      <c r="AD97" s="142"/>
      <c r="AE97" s="119"/>
      <c r="AF97" s="120"/>
      <c r="AG97" s="127"/>
      <c r="AH97" s="126"/>
      <c r="AJ97" s="164"/>
      <c r="AK97" s="119"/>
      <c r="AL97" s="142"/>
      <c r="AM97" s="119"/>
      <c r="AN97" s="120"/>
      <c r="AO97" s="127"/>
      <c r="AP97" s="126"/>
      <c r="AR97" s="164"/>
      <c r="AS97" s="119"/>
      <c r="AT97" s="142"/>
      <c r="AU97" s="119"/>
      <c r="AV97" s="120"/>
      <c r="AW97" s="127"/>
      <c r="AX97" s="126"/>
      <c r="AZ97" s="164"/>
      <c r="BA97" s="119"/>
      <c r="BB97" s="142"/>
      <c r="BC97" s="119"/>
      <c r="BD97" s="120"/>
      <c r="BE97" s="127"/>
      <c r="BF97" s="126"/>
      <c r="BH97" s="164"/>
      <c r="BI97" s="119"/>
      <c r="BJ97" s="142"/>
      <c r="BK97" s="119"/>
      <c r="BL97" s="120"/>
      <c r="BM97" s="127"/>
      <c r="BN97" s="126"/>
      <c r="BP97" s="164"/>
      <c r="BQ97" s="119"/>
      <c r="BR97" s="142"/>
      <c r="BS97" s="119"/>
      <c r="BT97" s="120"/>
      <c r="BU97" s="127"/>
      <c r="BV97" s="126"/>
      <c r="BX97" s="164"/>
      <c r="BY97" s="119"/>
      <c r="BZ97" s="142"/>
      <c r="CA97" s="119"/>
      <c r="CB97" s="120"/>
      <c r="CC97" s="127"/>
      <c r="CD97" s="126"/>
      <c r="CF97" s="164"/>
      <c r="CG97" s="119"/>
      <c r="CH97" s="142"/>
      <c r="CI97" s="119"/>
      <c r="CJ97" s="120"/>
      <c r="CK97" s="127"/>
      <c r="CL97" s="126"/>
      <c r="CN97" s="164"/>
      <c r="CO97" s="119"/>
      <c r="CP97" s="142"/>
      <c r="CQ97" s="119"/>
      <c r="CR97" s="120"/>
      <c r="CS97" s="127"/>
      <c r="CT97" s="126"/>
      <c r="CV97" s="164"/>
      <c r="CW97" s="119"/>
      <c r="CX97" s="142"/>
      <c r="CY97" s="119"/>
      <c r="CZ97" s="120"/>
      <c r="DA97" s="127"/>
      <c r="DB97" s="126"/>
      <c r="DD97" s="164"/>
      <c r="DE97" s="119"/>
      <c r="DF97" s="142"/>
      <c r="DG97" s="119"/>
      <c r="DH97" s="120"/>
      <c r="DI97" s="127"/>
      <c r="DJ97" s="126"/>
    </row>
    <row r="98" spans="4:114" x14ac:dyDescent="0.25">
      <c r="D98" s="119"/>
      <c r="E98" s="119"/>
      <c r="F98" s="142"/>
      <c r="G98" s="119"/>
      <c r="H98" s="120"/>
      <c r="I98" s="127"/>
      <c r="J98" s="127"/>
      <c r="K98" s="121"/>
      <c r="L98" s="164"/>
      <c r="M98" s="119"/>
      <c r="N98" s="142"/>
      <c r="O98" s="119"/>
      <c r="P98" s="120"/>
      <c r="Q98" s="127"/>
      <c r="R98" s="126"/>
      <c r="T98" s="164"/>
      <c r="U98" s="119"/>
      <c r="V98" s="142"/>
      <c r="W98" s="119"/>
      <c r="X98" s="120"/>
      <c r="Y98" s="127"/>
      <c r="Z98" s="126"/>
      <c r="AB98" s="164"/>
      <c r="AC98" s="119"/>
      <c r="AD98" s="142"/>
      <c r="AE98" s="119"/>
      <c r="AF98" s="120"/>
      <c r="AG98" s="127"/>
      <c r="AH98" s="126"/>
      <c r="AJ98" s="164"/>
      <c r="AK98" s="119"/>
      <c r="AL98" s="142"/>
      <c r="AM98" s="119"/>
      <c r="AN98" s="120"/>
      <c r="AO98" s="127"/>
      <c r="AP98" s="126"/>
      <c r="AR98" s="164"/>
      <c r="AS98" s="119"/>
      <c r="AT98" s="142"/>
      <c r="AU98" s="119"/>
      <c r="AV98" s="120"/>
      <c r="AW98" s="127"/>
      <c r="AX98" s="126"/>
      <c r="AZ98" s="164"/>
      <c r="BA98" s="119"/>
      <c r="BB98" s="142"/>
      <c r="BC98" s="119"/>
      <c r="BD98" s="120"/>
      <c r="BE98" s="127"/>
      <c r="BF98" s="126"/>
      <c r="BH98" s="164"/>
      <c r="BI98" s="119"/>
      <c r="BJ98" s="142"/>
      <c r="BK98" s="119"/>
      <c r="BL98" s="120"/>
      <c r="BM98" s="127"/>
      <c r="BN98" s="126"/>
      <c r="BP98" s="164"/>
      <c r="BQ98" s="119"/>
      <c r="BR98" s="142"/>
      <c r="BS98" s="119"/>
      <c r="BT98" s="120"/>
      <c r="BU98" s="127"/>
      <c r="BV98" s="126"/>
      <c r="BX98" s="164"/>
      <c r="BY98" s="119"/>
      <c r="BZ98" s="142"/>
      <c r="CA98" s="119"/>
      <c r="CB98" s="120"/>
      <c r="CC98" s="127"/>
      <c r="CD98" s="126"/>
      <c r="CF98" s="164"/>
      <c r="CG98" s="119"/>
      <c r="CH98" s="142"/>
      <c r="CI98" s="119"/>
      <c r="CJ98" s="120"/>
      <c r="CK98" s="127"/>
      <c r="CL98" s="126"/>
      <c r="CN98" s="164"/>
      <c r="CO98" s="119"/>
      <c r="CP98" s="142"/>
      <c r="CQ98" s="119"/>
      <c r="CR98" s="120"/>
      <c r="CS98" s="127"/>
      <c r="CT98" s="126"/>
      <c r="CV98" s="164"/>
      <c r="CW98" s="119"/>
      <c r="CX98" s="142"/>
      <c r="CY98" s="119"/>
      <c r="CZ98" s="120"/>
      <c r="DA98" s="127"/>
      <c r="DB98" s="126"/>
      <c r="DD98" s="164"/>
      <c r="DE98" s="119"/>
      <c r="DF98" s="142"/>
      <c r="DG98" s="119"/>
      <c r="DH98" s="120"/>
      <c r="DI98" s="127"/>
      <c r="DJ98" s="126"/>
    </row>
    <row r="99" spans="4:114" x14ac:dyDescent="0.25">
      <c r="D99" s="119"/>
      <c r="E99" s="119"/>
      <c r="F99" s="142"/>
      <c r="G99" s="119"/>
      <c r="H99" s="120"/>
      <c r="I99" s="127"/>
      <c r="J99" s="127"/>
      <c r="K99" s="121"/>
      <c r="L99" s="164"/>
      <c r="M99" s="119"/>
      <c r="N99" s="142"/>
      <c r="O99" s="119"/>
      <c r="P99" s="120"/>
      <c r="Q99" s="127"/>
      <c r="R99" s="126"/>
      <c r="T99" s="164"/>
      <c r="U99" s="119"/>
      <c r="V99" s="142"/>
      <c r="W99" s="119"/>
      <c r="X99" s="120"/>
      <c r="Y99" s="127"/>
      <c r="Z99" s="126"/>
      <c r="AB99" s="164"/>
      <c r="AC99" s="119"/>
      <c r="AD99" s="142"/>
      <c r="AE99" s="119"/>
      <c r="AF99" s="120"/>
      <c r="AG99" s="127"/>
      <c r="AH99" s="126"/>
      <c r="AJ99" s="164"/>
      <c r="AK99" s="119"/>
      <c r="AL99" s="142"/>
      <c r="AM99" s="119"/>
      <c r="AN99" s="120"/>
      <c r="AO99" s="127"/>
      <c r="AP99" s="126"/>
      <c r="AR99" s="164"/>
      <c r="AS99" s="119"/>
      <c r="AT99" s="142"/>
      <c r="AU99" s="119"/>
      <c r="AV99" s="120"/>
      <c r="AW99" s="127"/>
      <c r="AX99" s="126"/>
      <c r="AZ99" s="164"/>
      <c r="BA99" s="119"/>
      <c r="BB99" s="142"/>
      <c r="BC99" s="119"/>
      <c r="BD99" s="120"/>
      <c r="BE99" s="127"/>
      <c r="BF99" s="126"/>
      <c r="BH99" s="164"/>
      <c r="BI99" s="119"/>
      <c r="BJ99" s="142"/>
      <c r="BK99" s="119"/>
      <c r="BL99" s="120"/>
      <c r="BM99" s="127"/>
      <c r="BN99" s="126"/>
      <c r="BP99" s="164"/>
      <c r="BQ99" s="119"/>
      <c r="BR99" s="142"/>
      <c r="BS99" s="119"/>
      <c r="BT99" s="120"/>
      <c r="BU99" s="127"/>
      <c r="BV99" s="126"/>
      <c r="BX99" s="164"/>
      <c r="BY99" s="119"/>
      <c r="BZ99" s="142"/>
      <c r="CA99" s="119"/>
      <c r="CB99" s="120"/>
      <c r="CC99" s="127"/>
      <c r="CD99" s="126"/>
      <c r="CF99" s="164"/>
      <c r="CG99" s="119"/>
      <c r="CH99" s="142"/>
      <c r="CI99" s="119"/>
      <c r="CJ99" s="120"/>
      <c r="CK99" s="127"/>
      <c r="CL99" s="126"/>
      <c r="CN99" s="164"/>
      <c r="CO99" s="119"/>
      <c r="CP99" s="142"/>
      <c r="CQ99" s="119"/>
      <c r="CR99" s="120"/>
      <c r="CS99" s="127"/>
      <c r="CT99" s="126"/>
      <c r="CV99" s="164"/>
      <c r="CW99" s="119"/>
      <c r="CX99" s="142"/>
      <c r="CY99" s="119"/>
      <c r="CZ99" s="120"/>
      <c r="DA99" s="127"/>
      <c r="DB99" s="126"/>
      <c r="DD99" s="164"/>
      <c r="DE99" s="119"/>
      <c r="DF99" s="142"/>
      <c r="DG99" s="119"/>
      <c r="DH99" s="120"/>
      <c r="DI99" s="127"/>
      <c r="DJ99" s="126"/>
    </row>
    <row r="100" spans="4:114" x14ac:dyDescent="0.25">
      <c r="D100" s="119"/>
      <c r="E100" s="119"/>
      <c r="F100" s="142"/>
      <c r="G100" s="119"/>
      <c r="H100" s="120"/>
      <c r="I100" s="127"/>
      <c r="J100" s="127"/>
      <c r="K100" s="121"/>
      <c r="L100" s="164"/>
      <c r="M100" s="119"/>
      <c r="N100" s="142"/>
      <c r="O100" s="119"/>
      <c r="P100" s="120"/>
      <c r="Q100" s="127"/>
      <c r="R100" s="126"/>
      <c r="T100" s="164"/>
      <c r="U100" s="119"/>
      <c r="V100" s="142"/>
      <c r="W100" s="119"/>
      <c r="X100" s="120"/>
      <c r="Y100" s="127"/>
      <c r="Z100" s="126"/>
      <c r="AB100" s="164"/>
      <c r="AC100" s="119"/>
      <c r="AD100" s="142"/>
      <c r="AE100" s="119"/>
      <c r="AF100" s="120"/>
      <c r="AG100" s="127"/>
      <c r="AH100" s="126"/>
      <c r="AJ100" s="164"/>
      <c r="AK100" s="119"/>
      <c r="AL100" s="142"/>
      <c r="AM100" s="119"/>
      <c r="AN100" s="120"/>
      <c r="AO100" s="127"/>
      <c r="AP100" s="126"/>
      <c r="AR100" s="164"/>
      <c r="AS100" s="119"/>
      <c r="AT100" s="142"/>
      <c r="AU100" s="119"/>
      <c r="AV100" s="120"/>
      <c r="AW100" s="127"/>
      <c r="AX100" s="126"/>
      <c r="AZ100" s="164"/>
      <c r="BA100" s="119"/>
      <c r="BB100" s="142"/>
      <c r="BC100" s="119"/>
      <c r="BD100" s="120"/>
      <c r="BE100" s="127"/>
      <c r="BF100" s="126"/>
      <c r="BH100" s="164"/>
      <c r="BI100" s="119"/>
      <c r="BJ100" s="142"/>
      <c r="BK100" s="119"/>
      <c r="BL100" s="120"/>
      <c r="BM100" s="127"/>
      <c r="BN100" s="126"/>
      <c r="BP100" s="164"/>
      <c r="BQ100" s="119"/>
      <c r="BR100" s="142"/>
      <c r="BS100" s="119"/>
      <c r="BT100" s="120"/>
      <c r="BU100" s="127"/>
      <c r="BV100" s="126"/>
      <c r="BX100" s="164"/>
      <c r="BY100" s="119"/>
      <c r="BZ100" s="142"/>
      <c r="CA100" s="119"/>
      <c r="CB100" s="120"/>
      <c r="CC100" s="127"/>
      <c r="CD100" s="126"/>
      <c r="CF100" s="164"/>
      <c r="CG100" s="119"/>
      <c r="CH100" s="142"/>
      <c r="CI100" s="119"/>
      <c r="CJ100" s="120"/>
      <c r="CK100" s="127"/>
      <c r="CL100" s="126"/>
      <c r="CN100" s="164"/>
      <c r="CO100" s="119"/>
      <c r="CP100" s="142"/>
      <c r="CQ100" s="119"/>
      <c r="CR100" s="120"/>
      <c r="CS100" s="127"/>
      <c r="CT100" s="126"/>
      <c r="CV100" s="164"/>
      <c r="CW100" s="119"/>
      <c r="CX100" s="142"/>
      <c r="CY100" s="119"/>
      <c r="CZ100" s="120"/>
      <c r="DA100" s="127"/>
      <c r="DB100" s="126"/>
      <c r="DD100" s="164"/>
      <c r="DE100" s="119"/>
      <c r="DF100" s="142"/>
      <c r="DG100" s="119"/>
      <c r="DH100" s="120"/>
      <c r="DI100" s="127"/>
      <c r="DJ100" s="126"/>
    </row>
    <row r="101" spans="4:114" x14ac:dyDescent="0.25">
      <c r="D101" s="120"/>
      <c r="E101" s="120"/>
      <c r="F101" s="120"/>
      <c r="G101" s="120"/>
      <c r="H101" s="120"/>
      <c r="I101" s="120"/>
      <c r="J101" s="120"/>
      <c r="K101" s="121"/>
    </row>
    <row r="102" spans="4:114" x14ac:dyDescent="0.25">
      <c r="D102" s="120"/>
      <c r="E102" s="120"/>
      <c r="F102" s="120"/>
      <c r="G102" s="120"/>
      <c r="H102" s="120"/>
      <c r="I102" s="120"/>
      <c r="J102" s="120"/>
      <c r="K102" s="121"/>
    </row>
    <row r="103" spans="4:114" x14ac:dyDescent="0.25">
      <c r="D103" s="120"/>
      <c r="E103" s="120"/>
      <c r="F103" s="120"/>
      <c r="G103" s="120"/>
      <c r="H103" s="120"/>
      <c r="I103" s="120"/>
      <c r="J103" s="120"/>
      <c r="K103" s="121"/>
    </row>
    <row r="104" spans="4:114" x14ac:dyDescent="0.25">
      <c r="D104" s="120"/>
      <c r="E104" s="120"/>
      <c r="F104" s="120"/>
      <c r="G104" s="120"/>
      <c r="H104" s="120"/>
      <c r="I104" s="120"/>
      <c r="J104" s="120"/>
      <c r="K104" s="121"/>
    </row>
    <row r="105" spans="4:114" x14ac:dyDescent="0.25">
      <c r="D105" s="120"/>
      <c r="E105" s="120"/>
      <c r="F105" s="120"/>
      <c r="G105" s="120"/>
      <c r="H105" s="120"/>
      <c r="I105" s="120"/>
      <c r="J105" s="120"/>
      <c r="K105" s="121"/>
    </row>
    <row r="106" spans="4:114" x14ac:dyDescent="0.25">
      <c r="D106" s="120"/>
      <c r="E106" s="120"/>
      <c r="F106" s="120"/>
      <c r="G106" s="120"/>
      <c r="H106" s="120"/>
      <c r="I106" s="120"/>
      <c r="J106" s="120"/>
      <c r="K106" s="121"/>
    </row>
    <row r="107" spans="4:114" x14ac:dyDescent="0.25">
      <c r="D107" s="120"/>
      <c r="E107" s="120"/>
      <c r="F107" s="120"/>
      <c r="G107" s="120"/>
      <c r="H107" s="120"/>
      <c r="I107" s="120"/>
      <c r="J107" s="120"/>
      <c r="K107" s="121"/>
    </row>
    <row r="108" spans="4:114" x14ac:dyDescent="0.25">
      <c r="D108" s="120"/>
      <c r="E108" s="120"/>
      <c r="F108" s="120"/>
      <c r="G108" s="120"/>
      <c r="H108" s="120"/>
      <c r="I108" s="120"/>
      <c r="J108" s="120"/>
      <c r="K108" s="121"/>
    </row>
    <row r="109" spans="4:114" x14ac:dyDescent="0.25">
      <c r="D109" s="120"/>
      <c r="E109" s="120"/>
      <c r="F109" s="120"/>
      <c r="G109" s="120"/>
      <c r="H109" s="120"/>
      <c r="I109" s="120"/>
      <c r="J109" s="120"/>
      <c r="K109" s="121"/>
    </row>
    <row r="110" spans="4:114" x14ac:dyDescent="0.25">
      <c r="D110" s="120"/>
      <c r="E110" s="120"/>
      <c r="F110" s="120"/>
      <c r="G110" s="120"/>
      <c r="H110" s="120"/>
      <c r="I110" s="120"/>
      <c r="J110" s="120"/>
      <c r="K110" s="121"/>
    </row>
    <row r="111" spans="4:114" x14ac:dyDescent="0.25">
      <c r="D111" s="120"/>
      <c r="E111" s="120"/>
      <c r="F111" s="120"/>
      <c r="G111" s="120"/>
      <c r="H111" s="120"/>
      <c r="I111" s="120"/>
      <c r="J111" s="120"/>
      <c r="K111" s="121"/>
    </row>
    <row r="112" spans="4:114" x14ac:dyDescent="0.25">
      <c r="D112" s="120"/>
      <c r="E112" s="120"/>
      <c r="F112" s="120"/>
      <c r="G112" s="120"/>
      <c r="H112" s="120"/>
      <c r="I112" s="120"/>
      <c r="J112" s="120"/>
      <c r="K112" s="121"/>
    </row>
    <row r="113" spans="4:11" x14ac:dyDescent="0.25">
      <c r="D113" s="120"/>
      <c r="E113" s="120"/>
      <c r="F113" s="120"/>
      <c r="G113" s="120"/>
      <c r="H113" s="120"/>
      <c r="I113" s="120"/>
      <c r="J113" s="120"/>
      <c r="K113" s="121"/>
    </row>
    <row r="114" spans="4:11" x14ac:dyDescent="0.25">
      <c r="D114" s="120"/>
      <c r="E114" s="120"/>
      <c r="F114" s="120"/>
      <c r="G114" s="120"/>
      <c r="H114" s="120"/>
      <c r="I114" s="120"/>
      <c r="J114" s="120"/>
      <c r="K114" s="121"/>
    </row>
    <row r="115" spans="4:11" x14ac:dyDescent="0.25">
      <c r="D115" s="120"/>
      <c r="E115" s="120"/>
      <c r="F115" s="120"/>
      <c r="G115" s="120"/>
      <c r="H115" s="120"/>
      <c r="I115" s="120"/>
      <c r="J115" s="120"/>
      <c r="K115" s="121"/>
    </row>
    <row r="116" spans="4:11" x14ac:dyDescent="0.25">
      <c r="D116" s="120"/>
      <c r="E116" s="120"/>
      <c r="F116" s="120"/>
      <c r="G116" s="120"/>
      <c r="H116" s="120"/>
      <c r="I116" s="120"/>
      <c r="J116" s="120"/>
      <c r="K116" s="121"/>
    </row>
    <row r="117" spans="4:11" x14ac:dyDescent="0.25">
      <c r="D117" s="120"/>
      <c r="E117" s="120"/>
      <c r="F117" s="120"/>
      <c r="G117" s="120"/>
      <c r="H117" s="120"/>
      <c r="I117" s="120"/>
      <c r="J117" s="120"/>
      <c r="K117" s="121"/>
    </row>
    <row r="118" spans="4:11" x14ac:dyDescent="0.25">
      <c r="D118" s="120"/>
      <c r="E118" s="120"/>
      <c r="F118" s="120"/>
      <c r="G118" s="120"/>
      <c r="H118" s="120"/>
      <c r="I118" s="120"/>
      <c r="J118" s="120"/>
      <c r="K118" s="121"/>
    </row>
    <row r="119" spans="4:11" x14ac:dyDescent="0.25">
      <c r="D119" s="120"/>
      <c r="E119" s="120"/>
      <c r="F119" s="120"/>
      <c r="G119" s="120"/>
      <c r="H119" s="120"/>
      <c r="I119" s="120"/>
      <c r="J119" s="120"/>
      <c r="K119" s="121"/>
    </row>
    <row r="120" spans="4:11" x14ac:dyDescent="0.25">
      <c r="D120" s="120"/>
      <c r="E120" s="120"/>
      <c r="F120" s="120"/>
      <c r="G120" s="120"/>
      <c r="H120" s="120"/>
      <c r="I120" s="120"/>
      <c r="J120" s="120"/>
      <c r="K120" s="121"/>
    </row>
    <row r="121" spans="4:11" x14ac:dyDescent="0.25">
      <c r="D121" s="121"/>
      <c r="E121" s="121"/>
      <c r="F121" s="121"/>
      <c r="G121" s="121"/>
      <c r="H121" s="121"/>
      <c r="I121" s="121"/>
      <c r="J121" s="121"/>
      <c r="K121" s="121"/>
    </row>
    <row r="122" spans="4:11" x14ac:dyDescent="0.25">
      <c r="D122" s="121"/>
      <c r="E122" s="121"/>
      <c r="F122" s="121"/>
      <c r="G122" s="121"/>
      <c r="H122" s="121"/>
      <c r="I122" s="121"/>
      <c r="J122" s="121"/>
      <c r="K122" s="121"/>
    </row>
  </sheetData>
  <sheetProtection algorithmName="SHA-512" hashValue="nQwS25j1YOLoSFyDeURMcosTz6YCF7tRlUdw5tjQUVP8Suma0TrH/mHTs5sLtnpEx/W+6b16G5uK04dAlsk8uQ==" saltValue="dlwFgRImC2DJypnRQa0cuw==" spinCount="100000" sheet="1" objects="1" scenarios="1"/>
  <dataValidations xWindow="531" yWindow="623" count="2">
    <dataValidation allowBlank="1" showInputMessage="1" showErrorMessage="1" errorTitle="Erreur!!!" promptTitle="Information" sqref="F4:F100 CW6:CW11 N4:N100 CO6:CO11 V4:V100 E6:E11 AD4:AD100 M6:M11 AL4:AL100 U6:U11 AT4:AT100 AC6:AC11 BB4:BB100 AK6:AK11 BJ4:BJ100 AS6:AS11 BR4:BR100 BA6:BA11 BZ4:BZ100 BI6:BI11 CH4:CH100 BQ6:BQ11 CP4:CP100 BY6:BY11 CX4:CX100 CG6:CG11 DF4:DF100 DE6:DE11"/>
    <dataValidation allowBlank="1" showInputMessage="1" showErrorMessage="1" errorTitle="Erreur!!!" error="Désolé, le projet que vous saisissez ne se trouve pas dans la liste! Déroulez la liste et essayez a nouneau." promptTitle="Information" prompt="Veuillez dérouler la liste pour choisir le projet." sqref="E5 M5 U5 AC5 AK5 AS5 BA5 BI5 BQ5 BY5 CG5 CO5 CW5 DE5"/>
  </dataValidations>
  <hyperlinks>
    <hyperlink ref="A1" location="Acceuil!A1" display="Retour dans la page d'acceuil"/>
    <hyperlink ref="A2" location="Budget!A1" display="Aller au Budget"/>
    <hyperlink ref="B1" location="Listes!A1" display="Aller à la liste"/>
  </hyperlinks>
  <pageMargins left="0.7" right="0.7" top="0.75" bottom="0.75" header="0.3" footer="0.3"/>
  <pageSetup orientation="landscape" horizontalDpi="300" verticalDpi="300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xWindow="531" yWindow="623" count="5">
        <x14:dataValidation type="list" allowBlank="1" showInputMessage="1" showErrorMessage="1" errorTitle="Erreur!!!" error="Désolé, la liste ne contient pas cet élément!" promptTitle="Information" prompt="Veuillez dérouler la liste pour trouver l'origine des fonds.">
          <x14:formula1>
            <xm:f>Stockage!$E$2:$E$3</xm:f>
          </x14:formula1>
          <xm:sqref>H5:H100 P5:P100 X5:X100 AF5:AF100 AN5:AN100 AV5:AV100 BD5:BD100 BL5:BL100 BT5:BT100 CB5:CB100 CJ5:CJ100 CR5:CR100 CZ5:CZ100 DH5:DH100</xm:sqref>
        </x14:dataValidation>
        <x14:dataValidation type="list" allowBlank="1" showInputMessage="1" showErrorMessage="1">
          <x14:formula1>
            <xm:f>Stockage!$B$2:$B$15</xm:f>
          </x14:formula1>
          <xm:sqref>B3</xm:sqref>
        </x14:dataValidation>
        <x14:dataValidation type="list" allowBlank="1" showInputMessage="1" showErrorMessage="1" errorTitle="Erreur!!!" error="Vous avez entrer une mauvaise information." promptTitle="Information">
          <x14:formula1>
            <xm:f>Listes!$C$7:$C$12</xm:f>
          </x14:formula1>
          <xm:sqref>B4</xm:sqref>
        </x14:dataValidation>
        <x14:dataValidation type="list" allowBlank="1" showInputMessage="1" showErrorMessage="1" errorTitle="Erreur!!!" error="Désolé, le projet que vous saisissez ne se trouve pas dans la liste! Déroulez la liste et essayez a nouneau." promptTitle="Information" prompt="Veuillez dérouler la liste pour choisir le projet.">
          <x14:formula1>
            <xm:f>Listes!$C$7:$C$12</xm:f>
          </x14:formula1>
          <xm:sqref>E12:E100 M12:M100 U12:U100 AC12:AC100 AK12:AK100 AS12:AS100 BA12:BA100 BI12:BI100 BQ12:BQ100 BY12:BY100 CG12:CG100 CO12:CO100 CW12:CW100 DE12:DE100</xm:sqref>
        </x14:dataValidation>
        <x14:dataValidation type="list" allowBlank="1" showInputMessage="1" showErrorMessage="1" errorTitle="Erreur!!!" error="Désolé, la rubrique que vous saisissez ne se trouve pas dans la liste! Déroulez la liste et essayez a nouneau." promptTitle="Information" prompt="Veuillez dérouler la liste pour choisir une rubrique.">
          <x14:formula1>
            <xm:f>Listes!$A$7:$A$91</xm:f>
          </x14:formula1>
          <xm:sqref>D5:D100 DD5:DD100 CV5:CV100 CN5:CN100 CF5:CF100 BX5:BX100 BP5:BP100 BH5:BH100 AZ5:AZ100 AR5:AR100 AJ5:AJ100 AB5:AB100 T5:T100 L5:L100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P80"/>
  <sheetViews>
    <sheetView topLeftCell="G1" zoomScaleNormal="100" workbookViewId="0">
      <selection activeCell="M3" sqref="M3"/>
    </sheetView>
  </sheetViews>
  <sheetFormatPr baseColWidth="10" defaultColWidth="9.140625" defaultRowHeight="15" x14ac:dyDescent="0.25"/>
  <cols>
    <col min="3" max="3" width="17.42578125" bestFit="1" customWidth="1"/>
    <col min="4" max="4" width="19.85546875" bestFit="1" customWidth="1"/>
    <col min="5" max="5" width="15.5703125" bestFit="1" customWidth="1"/>
    <col min="8" max="8" width="18.28515625" customWidth="1"/>
    <col min="9" max="9" width="19.42578125" bestFit="1" customWidth="1"/>
    <col min="10" max="10" width="18.5703125" bestFit="1" customWidth="1"/>
    <col min="11" max="11" width="17.7109375" bestFit="1" customWidth="1"/>
    <col min="12" max="12" width="15.140625" bestFit="1" customWidth="1"/>
    <col min="13" max="13" width="17.28515625" customWidth="1"/>
    <col min="14" max="14" width="20.7109375" bestFit="1" customWidth="1"/>
    <col min="15" max="15" width="24.140625" bestFit="1" customWidth="1"/>
    <col min="16" max="16" width="24.42578125" bestFit="1" customWidth="1"/>
    <col min="19" max="19" width="11.28515625" customWidth="1"/>
    <col min="20" max="20" width="10" bestFit="1" customWidth="1"/>
    <col min="35" max="35" width="11.42578125" bestFit="1" customWidth="1"/>
    <col min="51" max="51" width="11.42578125" bestFit="1" customWidth="1"/>
    <col min="52" max="52" width="10" bestFit="1" customWidth="1"/>
  </cols>
  <sheetData>
    <row r="1" spans="1:16" x14ac:dyDescent="0.25">
      <c r="A1" s="5" t="s">
        <v>0</v>
      </c>
      <c r="B1" s="5" t="s">
        <v>10</v>
      </c>
      <c r="C1" s="5" t="s">
        <v>6</v>
      </c>
      <c r="D1" s="5" t="s">
        <v>4</v>
      </c>
      <c r="E1" s="5" t="s">
        <v>94</v>
      </c>
    </row>
    <row r="2" spans="1:16" x14ac:dyDescent="0.25">
      <c r="A2" s="4" t="s">
        <v>168</v>
      </c>
      <c r="B2" s="4">
        <v>2017</v>
      </c>
      <c r="C2" s="4" t="s">
        <v>19</v>
      </c>
      <c r="D2" s="4" t="s">
        <v>51</v>
      </c>
      <c r="E2" s="4" t="s">
        <v>95</v>
      </c>
      <c r="H2" t="s">
        <v>10</v>
      </c>
      <c r="I2" t="s">
        <v>60</v>
      </c>
      <c r="J2" t="s">
        <v>36</v>
      </c>
      <c r="K2" t="s">
        <v>61</v>
      </c>
      <c r="L2" t="s">
        <v>62</v>
      </c>
      <c r="M2" t="s">
        <v>155</v>
      </c>
      <c r="N2" t="s">
        <v>63</v>
      </c>
      <c r="O2" t="s">
        <v>153</v>
      </c>
      <c r="P2" t="s">
        <v>154</v>
      </c>
    </row>
    <row r="3" spans="1:16" x14ac:dyDescent="0.25">
      <c r="A3" s="4" t="s">
        <v>167</v>
      </c>
      <c r="B3" s="4">
        <v>2018</v>
      </c>
      <c r="C3" s="4" t="s">
        <v>30</v>
      </c>
      <c r="D3" s="4" t="s">
        <v>45</v>
      </c>
      <c r="E3" s="4" t="s">
        <v>62</v>
      </c>
      <c r="H3" s="65">
        <v>2017</v>
      </c>
      <c r="I3" s="42">
        <f>Compt.!I6</f>
        <v>45270</v>
      </c>
      <c r="J3" s="42">
        <f>SUMIF(Redevance!$F$6:$F$1039998,Stockage!B2,Redevance!$G$6:$G$1039998)</f>
        <v>0</v>
      </c>
      <c r="K3" s="42">
        <f>SUMIF(Table4[Rubrique],Listes!A7,Table4[[Prix total ]])</f>
        <v>1533500</v>
      </c>
      <c r="L3" s="42">
        <f>SUMIF(Compt.!H5:H100,Stockage!E3,Compt.!I5:I100)</f>
        <v>0</v>
      </c>
      <c r="M3" s="42">
        <f>SUM(Compt.!J5:J100)</f>
        <v>166900</v>
      </c>
      <c r="N3" s="42">
        <f>(SUM(Compt.!I5:I100))-(SUM(Compt.!J5:J100))</f>
        <v>71870</v>
      </c>
      <c r="O3" s="165">
        <f t="shared" ref="O3:O16" si="0">IFERROR((J3/K3),0)</f>
        <v>0</v>
      </c>
      <c r="P3" s="165">
        <f>(COUNTIF(Redevance!$F$6:$F$1039996,Table3[[#This Row],[Année]]))/(Acceuil!$H$10+Acceuil!$H$11)</f>
        <v>0</v>
      </c>
    </row>
    <row r="4" spans="1:16" x14ac:dyDescent="0.25">
      <c r="A4" s="4"/>
      <c r="B4" s="4">
        <v>2019</v>
      </c>
      <c r="C4" s="4" t="s">
        <v>12</v>
      </c>
      <c r="D4" s="4"/>
      <c r="H4" s="65">
        <v>2018</v>
      </c>
      <c r="I4" s="42">
        <f>(SUM(Compt.!I5:I100))-(SUM(Compt.!J5:J100))</f>
        <v>71870</v>
      </c>
      <c r="J4" s="42">
        <f>SUMIF(Redevance!$F$6:$F$1039998,Stockage!B3,Redevance!$G$6:$G$1039998)</f>
        <v>0</v>
      </c>
      <c r="K4" s="42">
        <f>SUMIF(Table414[Rubrique],Listes!A7,Table414[[Prix total ]])</f>
        <v>0</v>
      </c>
      <c r="L4" s="42">
        <f>SUMIF(Compt.!P5:P100,Stockage!E3,Compt.!Q5:Q100)</f>
        <v>0</v>
      </c>
      <c r="M4" s="42">
        <f>SUM(Compt.!R5:R100)</f>
        <v>0</v>
      </c>
      <c r="N4" s="42">
        <f>(SUM(Compt.!Q5:Q100))-(SUM(Compt.!R5:R100))</f>
        <v>0</v>
      </c>
      <c r="O4" s="165">
        <f t="shared" si="0"/>
        <v>0</v>
      </c>
      <c r="P4" s="165">
        <f>(COUNTIF(Redevance!$F$6:$F$1039996,Table3[[#This Row],[Année]]))/(Acceuil!$H$10+Acceuil!$H$11)</f>
        <v>0</v>
      </c>
    </row>
    <row r="5" spans="1:16" x14ac:dyDescent="0.25">
      <c r="A5" s="4"/>
      <c r="B5" s="4">
        <v>2020</v>
      </c>
      <c r="C5" s="4" t="s">
        <v>18</v>
      </c>
      <c r="D5" s="4"/>
      <c r="H5" s="65">
        <v>2019</v>
      </c>
      <c r="I5" s="66">
        <f>(SUM(Compt.!Q5:Q100))-(SUM(Compt.!R5:R100))</f>
        <v>0</v>
      </c>
      <c r="J5" s="42">
        <f>SUMIF(Redevance!$F$6:$F$1039998,Stockage!B4,Redevance!$G$6:$G$1039998)</f>
        <v>0</v>
      </c>
      <c r="K5" s="66">
        <f>SUMIF(Table415[Rubrique],Listes!A7,Table415[[Prix total ]])</f>
        <v>0</v>
      </c>
      <c r="L5" s="66">
        <f>SUMIF(Compt.!X5:X100,Stockage!E3,Compt.!X5:X100)</f>
        <v>0</v>
      </c>
      <c r="M5" s="66">
        <f>SUM(Compt.!Z5:Z100)</f>
        <v>0</v>
      </c>
      <c r="N5" s="66">
        <f>(SUM(Compt.!Y5:Y100))-(SUM(Compt.!Z5:Z100))</f>
        <v>0</v>
      </c>
      <c r="O5" s="165">
        <f t="shared" si="0"/>
        <v>0</v>
      </c>
      <c r="P5" s="165">
        <f>(COUNTIF(Redevance!$F$6:$F$1039996,Table3[[#This Row],[Année]]))/(Acceuil!$H$10+Acceuil!$H$11)</f>
        <v>0</v>
      </c>
    </row>
    <row r="6" spans="1:16" x14ac:dyDescent="0.25">
      <c r="A6" s="4"/>
      <c r="B6" s="4">
        <v>2021</v>
      </c>
      <c r="C6" s="4"/>
      <c r="D6" s="4"/>
      <c r="H6" s="65">
        <v>2020</v>
      </c>
      <c r="I6" s="132">
        <f>(SUM(Compt.!Y5:Y100))-(SUM(Compt.!Z5:Z100))</f>
        <v>0</v>
      </c>
      <c r="J6" s="42">
        <f>SUMIF(Redevance!$F$6:$F$1039998,Stockage!B5,Redevance!$G$6:$G$1039998)</f>
        <v>0</v>
      </c>
      <c r="K6" s="132">
        <f>SUMIF(Table416[Rubrique],Listes!A7,Table416[[Prix total ]])</f>
        <v>0</v>
      </c>
      <c r="L6" s="132">
        <f>SUMIF(Compt.!AF5:AF100,Stockage!E3,Compt.!AG5:AG100)</f>
        <v>0</v>
      </c>
      <c r="M6" s="132">
        <f>SUM(Compt.!AH5:AH100)</f>
        <v>0</v>
      </c>
      <c r="N6" s="133">
        <f>(SUM(Compt.!AG5:AG100))-(SUM(Compt.!AH5:AH100))</f>
        <v>0</v>
      </c>
      <c r="O6" s="165">
        <f t="shared" si="0"/>
        <v>0</v>
      </c>
      <c r="P6" s="165">
        <f>(COUNTIF(Redevance!$F$6:$F$1039996,Table3[[#This Row],[Année]]))/(Acceuil!$H$10+Acceuil!$H$11)</f>
        <v>0</v>
      </c>
    </row>
    <row r="7" spans="1:16" x14ac:dyDescent="0.25">
      <c r="A7" s="4"/>
      <c r="B7" s="4">
        <v>2022</v>
      </c>
      <c r="D7" s="4"/>
      <c r="H7" s="65">
        <v>2021</v>
      </c>
      <c r="I7" s="132">
        <f>(SUM(Compt.!AG5:AG100))-(SUM(Compt.!AH5:AH100))</f>
        <v>0</v>
      </c>
      <c r="J7" s="42">
        <f>SUMIF(Redevance!$F$6:$F$1039998,Stockage!B6,Redevance!$G$6:$G$1039998)</f>
        <v>0</v>
      </c>
      <c r="K7" s="132">
        <f>SUMIF(Table417[Rubrique],Tableau30[[#This Row],[Code]],Table417[[Prix total ]])</f>
        <v>0</v>
      </c>
      <c r="L7" s="132">
        <f>SUMIF(Compt.!AN5:AN100,Stockage!E3,Compt.!AO5:AO100)</f>
        <v>0</v>
      </c>
      <c r="M7" s="132">
        <f>SUM(Compt.!AP5:AP100)</f>
        <v>0</v>
      </c>
      <c r="N7" s="133">
        <f>(SUM(Compt.!AO5:AO100))-(SUM(Compt.!AP5:AP100))</f>
        <v>0</v>
      </c>
      <c r="O7" s="165">
        <f t="shared" si="0"/>
        <v>0</v>
      </c>
      <c r="P7" s="165">
        <f>(COUNTIF(Redevance!$F$6:$F$1039996,Table3[[#This Row],[Année]]))/(Acceuil!$H$10+Acceuil!$H$11)</f>
        <v>0</v>
      </c>
    </row>
    <row r="8" spans="1:16" x14ac:dyDescent="0.25">
      <c r="A8" s="4"/>
      <c r="B8" s="4">
        <v>2023</v>
      </c>
      <c r="D8" s="4"/>
      <c r="H8" s="65">
        <v>2022</v>
      </c>
      <c r="I8" s="132">
        <f>(SUM(Compt.!AO5:AO100))-(SUM(Compt.!AP5:AP100))</f>
        <v>0</v>
      </c>
      <c r="J8" s="42">
        <f>SUMIF(Redevance!$F$6:$F$1039998,Stockage!B7,Redevance!$G$6:$G$1039998)</f>
        <v>0</v>
      </c>
      <c r="K8" s="132">
        <f>SUMIF(Table418[Rubrique],Listes!A7,Table418[[Prix total ]])</f>
        <v>0</v>
      </c>
      <c r="L8" s="132">
        <f>SUMIF(Compt.!AV5:AV100,Stockage!E3,Compt.!AW5:AW100)</f>
        <v>0</v>
      </c>
      <c r="M8" s="132">
        <f>SUM(Compt.!AX5:AX1000)</f>
        <v>0</v>
      </c>
      <c r="N8" s="133">
        <f>(SUM(Compt.!AW5:AW100))-(SUM(Compt.!AX5:AX100))</f>
        <v>0</v>
      </c>
      <c r="O8" s="165">
        <f t="shared" si="0"/>
        <v>0</v>
      </c>
      <c r="P8" s="165">
        <f>(COUNTIF(Redevance!$F$6:$F$1039996,Table3[[#This Row],[Année]]))/(Acceuil!$H$10+Acceuil!$H$11)</f>
        <v>0</v>
      </c>
    </row>
    <row r="9" spans="1:16" x14ac:dyDescent="0.25">
      <c r="A9" s="4"/>
      <c r="B9" s="4">
        <v>2024</v>
      </c>
      <c r="D9" s="4"/>
      <c r="H9" s="65">
        <v>2023</v>
      </c>
      <c r="I9" s="132">
        <f>(SUM(Compt.!AW5:AW100))-(SUM(Compt.!AX5:AX100))</f>
        <v>0</v>
      </c>
      <c r="J9" s="42">
        <f>SUMIF(Redevance!$F$6:$F$1039998,Stockage!B8,Redevance!$G$6:$G$1039998)</f>
        <v>0</v>
      </c>
      <c r="K9" s="132">
        <f>SUMIF(Table419[Rubrique],Listes!A7,Table419[[Prix total ]])</f>
        <v>0</v>
      </c>
      <c r="L9" s="132">
        <f ca="1">SUMIF(Compt.!BD5:BE100,Stockage!E3,Compt.!BE5:BE100)</f>
        <v>0</v>
      </c>
      <c r="M9" s="132">
        <f>SUM(Compt.!BF5:BF100)</f>
        <v>0</v>
      </c>
      <c r="N9" s="133">
        <f ca="1">(SUM(Compt.!BE5:BE100))-(SUM(Compt.!BF5:BF100))</f>
        <v>0</v>
      </c>
      <c r="O9" s="165">
        <f t="shared" si="0"/>
        <v>0</v>
      </c>
      <c r="P9" s="165">
        <f>(COUNTIF(Redevance!$F$6:$F$1039996,Table3[[#This Row],[Année]]))/(Acceuil!$H$10+Acceuil!$H$11)</f>
        <v>0</v>
      </c>
    </row>
    <row r="10" spans="1:16" x14ac:dyDescent="0.25">
      <c r="A10" s="4"/>
      <c r="B10" s="4">
        <v>2025</v>
      </c>
      <c r="C10" s="4"/>
      <c r="D10" s="4"/>
      <c r="H10" s="65">
        <v>2024</v>
      </c>
      <c r="I10" s="132">
        <f ca="1">(SUM(Compt.!BE5:BE100))-(SUM(Compt.!BF5:BF100))</f>
        <v>0</v>
      </c>
      <c r="J10" s="42">
        <f>SUMIF(Redevance!$F$6:$F$1039998,Stockage!B9,Redevance!$G$6:$G$1039998)</f>
        <v>0</v>
      </c>
      <c r="K10" s="132">
        <f>SUMIF(Table420[Rubrique],Listes!A7,Table420[[Prix total ]])</f>
        <v>0</v>
      </c>
      <c r="L10" s="132">
        <f>SUMIF(Compt.!BL5:BL100,Stockage!E3,Compt.!BM5:BM100)</f>
        <v>0</v>
      </c>
      <c r="M10" s="132">
        <f>SUM(Compt.!BN5:BN100)</f>
        <v>0</v>
      </c>
      <c r="N10" s="133">
        <f>(SUM(Compt.!BM5:BM100))-(SUM(Compt.!BN5:BN100))</f>
        <v>0</v>
      </c>
      <c r="O10" s="165">
        <f t="shared" si="0"/>
        <v>0</v>
      </c>
      <c r="P10" s="165">
        <f>(COUNTIF(Redevance!$F$6:$F$1039996,Table3[[#This Row],[Année]]))/(Acceuil!$H$10+Acceuil!$H$11)</f>
        <v>0</v>
      </c>
    </row>
    <row r="11" spans="1:16" x14ac:dyDescent="0.25">
      <c r="A11" s="4"/>
      <c r="B11" s="4">
        <v>2026</v>
      </c>
      <c r="C11" s="4"/>
      <c r="D11" s="4"/>
      <c r="H11" s="65">
        <v>2025</v>
      </c>
      <c r="I11" s="132">
        <f>(SUM(Compt.!BM5:BM100))-(SUM(Compt.!BN5:BN100))</f>
        <v>0</v>
      </c>
      <c r="J11" s="42">
        <f>SUMIF(Redevance!$F$6:$F$1039998,Stockage!B10,Redevance!$G$6:$G$1039998)</f>
        <v>0</v>
      </c>
      <c r="K11" s="132">
        <f>SUMIF(Table421[Rubrique],Listes!A7,Table421[[Prix total ]])</f>
        <v>0</v>
      </c>
      <c r="L11" s="132">
        <f>SUMIF(Compt.!BT5:BT100,Stockage!E3,Compt.!BU5:BU100)</f>
        <v>0</v>
      </c>
      <c r="M11" s="132">
        <f>SUM(Compt.!BV5:BV100)</f>
        <v>0</v>
      </c>
      <c r="N11" s="133">
        <f>(SUM(Compt.!BU5:BU100))-(SUM(Compt.!BV5:BV100))</f>
        <v>0</v>
      </c>
      <c r="O11" s="165">
        <f t="shared" si="0"/>
        <v>0</v>
      </c>
      <c r="P11" s="165">
        <f>(COUNTIF(Redevance!$F$6:$F$1039996,Table3[[#This Row],[Année]]))/(Acceuil!$H$10+Acceuil!$H$11)</f>
        <v>0</v>
      </c>
    </row>
    <row r="12" spans="1:16" x14ac:dyDescent="0.25">
      <c r="A12" s="4"/>
      <c r="B12" s="4">
        <v>2027</v>
      </c>
      <c r="C12" s="4"/>
      <c r="D12" s="4"/>
      <c r="H12" s="65">
        <v>2026</v>
      </c>
      <c r="I12" s="132">
        <f>(SUM(Compt.!BU5:BU100))-(SUM(Compt.!BV5:BV100))</f>
        <v>0</v>
      </c>
      <c r="J12" s="42">
        <f>SUMIF(Redevance!$F$6:$F$1039998,Stockage!B11,Redevance!$G$6:$G$1039998)</f>
        <v>0</v>
      </c>
      <c r="K12" s="132">
        <f>SUMIF(Table422[Rubrique],Listes!A7,Table422[[Prix total ]])</f>
        <v>0</v>
      </c>
      <c r="L12" s="132">
        <f>SUMIF(Compt.!CB5:CB100,Stockage!E3,Compt.!CC5:CC100)</f>
        <v>0</v>
      </c>
      <c r="M12" s="132">
        <f>SUM(Compt.!CD5:CD100)</f>
        <v>0</v>
      </c>
      <c r="N12" s="133">
        <f>(SUM(Compt.!CC5:CC100))-(SUM(Compt.!CD5:CD100))</f>
        <v>0</v>
      </c>
      <c r="O12" s="165">
        <f t="shared" si="0"/>
        <v>0</v>
      </c>
      <c r="P12" s="165">
        <f>(COUNTIF(Redevance!$F$6:$F$1039996,Table3[[#This Row],[Année]]))/(Acceuil!$H$10+Acceuil!$H$11)</f>
        <v>0</v>
      </c>
    </row>
    <row r="13" spans="1:16" x14ac:dyDescent="0.25">
      <c r="A13" s="4"/>
      <c r="B13" s="4">
        <v>2028</v>
      </c>
      <c r="C13" s="4"/>
      <c r="D13" s="4"/>
      <c r="H13" s="65">
        <v>2027</v>
      </c>
      <c r="I13" s="132">
        <f>(SUM(Compt.!CC5:CC100))-(SUM(Compt.!CD5:CD100))</f>
        <v>0</v>
      </c>
      <c r="J13" s="42">
        <f>SUMIF(Redevance!$F$6:$F$1039998,Stockage!B12,Redevance!$G$6:$G$1039998)</f>
        <v>0</v>
      </c>
      <c r="K13" s="132">
        <f>SUMIF(Table424[Rubrique],Listes!A7,Table424[[Prix total ]])</f>
        <v>0</v>
      </c>
      <c r="L13" s="132">
        <f>SUMIF(Compt.!CJ5:CJ100,Stockage!E3,Compt.!CK5:CK100)</f>
        <v>0</v>
      </c>
      <c r="M13" s="132">
        <f>SUM(Compt.!CL5:CL100)</f>
        <v>0</v>
      </c>
      <c r="N13" s="133">
        <f>(SUM(Compt.!CK5:CK100))-(SUM(Compt.!CL5:CL100))</f>
        <v>0</v>
      </c>
      <c r="O13" s="165">
        <f t="shared" si="0"/>
        <v>0</v>
      </c>
      <c r="P13" s="165">
        <f>(COUNTIF(Redevance!$F$6:$F$1039996,Table3[[#This Row],[Année]]))/(Acceuil!$H$10+Acceuil!$H$11)</f>
        <v>0</v>
      </c>
    </row>
    <row r="14" spans="1:16" x14ac:dyDescent="0.25">
      <c r="A14" s="4"/>
      <c r="B14" s="4">
        <v>2029</v>
      </c>
      <c r="C14" s="4"/>
      <c r="D14" s="4"/>
      <c r="H14" s="65">
        <v>2028</v>
      </c>
      <c r="I14" s="132">
        <f>(SUM(Compt.!CK5:CK100))-(SUM(Compt.!CL5:CL100))</f>
        <v>0</v>
      </c>
      <c r="J14" s="42">
        <f>SUMIF(Redevance!$F$6:$F$1039998,Stockage!B13,Redevance!$G$6:$G$1039998)</f>
        <v>0</v>
      </c>
      <c r="K14" s="132">
        <f>SUMIF(Table425[Rubrique],Listes!A7,Table425[[Prix total ]])</f>
        <v>0</v>
      </c>
      <c r="L14" s="132">
        <f>SUMIF(Compt.!CR5:CR100,Stockage!E3,Compt.!CS5:CS100)</f>
        <v>0</v>
      </c>
      <c r="M14" s="132">
        <f>SUM(Compt.!CT5:CT100)</f>
        <v>0</v>
      </c>
      <c r="N14" s="133">
        <f>(SUM(Compt.!CS5:CS100))-(SUM(Compt.!CT5:CT100))</f>
        <v>0</v>
      </c>
      <c r="O14" s="165">
        <f t="shared" si="0"/>
        <v>0</v>
      </c>
      <c r="P14" s="165">
        <f>(COUNTIF(Redevance!$F$6:$F$1039996,Table3[[#This Row],[Année]]))/(Acceuil!$H$10+Acceuil!$H$11)</f>
        <v>0</v>
      </c>
    </row>
    <row r="15" spans="1:16" x14ac:dyDescent="0.25">
      <c r="A15" s="4"/>
      <c r="B15" s="4">
        <v>2030</v>
      </c>
      <c r="C15" s="4"/>
      <c r="D15" s="4"/>
      <c r="H15" s="65">
        <v>2029</v>
      </c>
      <c r="I15" s="132">
        <f>(SUM(Compt.!CS5:CS100))-(SUM(Compt.!CT5:CT100))</f>
        <v>0</v>
      </c>
      <c r="J15" s="42">
        <f>SUMIF(Redevance!$F$6:$F$1039998,Stockage!B14,Redevance!$G$6:$G$1039998)</f>
        <v>0</v>
      </c>
      <c r="K15" s="132">
        <f>SUMIF(Table42526[Rubrique],Listes!A7,Table42526[[Prix total ]])</f>
        <v>0</v>
      </c>
      <c r="L15" s="132">
        <f>SUMIF(Compt.!CZ5:CZ100,Stockage!E3,Compt.!DA5:DA100)</f>
        <v>0</v>
      </c>
      <c r="M15" s="132">
        <f>SUM(Compt.!DB5:DB100)</f>
        <v>0</v>
      </c>
      <c r="N15" s="133">
        <f>(SUM(Compt.!DA5:DA100))-(SUM(Compt.!DB5:DB100))</f>
        <v>0</v>
      </c>
      <c r="O15" s="165">
        <f t="shared" si="0"/>
        <v>0</v>
      </c>
      <c r="P15" s="165">
        <f>(COUNTIF(Redevance!$F$6:$F$1039996,Table3[[#This Row],[Année]]))/(Acceuil!$H$10+Acceuil!$H$11)</f>
        <v>0</v>
      </c>
    </row>
    <row r="16" spans="1:16" x14ac:dyDescent="0.25">
      <c r="B16" s="4"/>
      <c r="H16" s="65">
        <v>2030</v>
      </c>
      <c r="I16" s="132">
        <f>(SUM(Compt.!DA5:DA100))-(SUM(Compt.!DB5:DB100))</f>
        <v>0</v>
      </c>
      <c r="J16" s="42">
        <f>SUMIF(Redevance!$F$6:$F$1039998,Stockage!B15,Redevance!$G$6:$G$1039998)</f>
        <v>0</v>
      </c>
      <c r="K16" s="132">
        <f>SUMIF(Table42527[Rubrique],Listes!A7,Table42527[[Prix total ]])</f>
        <v>0</v>
      </c>
      <c r="L16" s="132">
        <f>SUMIF(Compt.!DH5:DH100,Stockage!E3,Compt.!DI5:DI100)</f>
        <v>0</v>
      </c>
      <c r="M16" s="132">
        <f>SUM(Compt.!DJ5:DJ100)</f>
        <v>0</v>
      </c>
      <c r="N16" s="133">
        <f>(SUM(Compt.!DI5:DI100))-(SUM(Compt.!DJ5:DJ100))</f>
        <v>0</v>
      </c>
      <c r="O16" s="165">
        <f t="shared" si="0"/>
        <v>0</v>
      </c>
      <c r="P16" s="165">
        <f>(COUNTIF(Redevance!$F$6:$F$1039996,Table3[[#This Row],[Année]]))/(Acceuil!$H$10+Acceuil!$H$11)</f>
        <v>0</v>
      </c>
    </row>
    <row r="17" spans="2:14" x14ac:dyDescent="0.25">
      <c r="B17" s="4"/>
      <c r="H17" s="65"/>
      <c r="N17" s="133"/>
    </row>
    <row r="18" spans="2:14" x14ac:dyDescent="0.25">
      <c r="B18" s="4"/>
      <c r="H18" s="65"/>
    </row>
    <row r="19" spans="2:14" x14ac:dyDescent="0.25">
      <c r="B19" s="4"/>
      <c r="H19" s="65"/>
    </row>
    <row r="20" spans="2:14" x14ac:dyDescent="0.25">
      <c r="B20" s="4"/>
      <c r="H20" s="65"/>
    </row>
    <row r="21" spans="2:14" x14ac:dyDescent="0.25">
      <c r="B21" s="4"/>
      <c r="H21" s="65"/>
    </row>
    <row r="22" spans="2:14" x14ac:dyDescent="0.25">
      <c r="B22" s="4"/>
      <c r="H22" s="65"/>
    </row>
    <row r="23" spans="2:14" x14ac:dyDescent="0.25">
      <c r="B23" s="4"/>
      <c r="H23" s="65"/>
    </row>
    <row r="24" spans="2:14" x14ac:dyDescent="0.25">
      <c r="B24" s="4"/>
      <c r="H24" s="65"/>
    </row>
    <row r="25" spans="2:14" x14ac:dyDescent="0.25">
      <c r="B25" s="4"/>
      <c r="H25" s="65"/>
    </row>
    <row r="26" spans="2:14" x14ac:dyDescent="0.25">
      <c r="B26" s="4"/>
      <c r="H26" s="65"/>
    </row>
    <row r="27" spans="2:14" x14ac:dyDescent="0.25">
      <c r="B27" s="4"/>
      <c r="H27" s="65"/>
    </row>
    <row r="28" spans="2:14" x14ac:dyDescent="0.25">
      <c r="B28" s="4"/>
      <c r="H28" s="65"/>
    </row>
    <row r="29" spans="2:14" x14ac:dyDescent="0.25">
      <c r="B29" s="4"/>
      <c r="H29" s="65"/>
    </row>
    <row r="30" spans="2:14" x14ac:dyDescent="0.25">
      <c r="B30" s="4"/>
      <c r="H30" s="65"/>
    </row>
    <row r="31" spans="2:14" x14ac:dyDescent="0.25">
      <c r="B31" s="4"/>
      <c r="H31" s="65"/>
    </row>
    <row r="32" spans="2:14" x14ac:dyDescent="0.25">
      <c r="B32" s="4"/>
      <c r="H32" s="65"/>
    </row>
    <row r="33" spans="2:8" x14ac:dyDescent="0.25">
      <c r="B33" s="4"/>
      <c r="H33" s="65"/>
    </row>
    <row r="34" spans="2:8" x14ac:dyDescent="0.25">
      <c r="B34" s="4"/>
      <c r="H34" s="65"/>
    </row>
    <row r="35" spans="2:8" x14ac:dyDescent="0.25">
      <c r="B35" s="4"/>
      <c r="H35" s="65"/>
    </row>
    <row r="36" spans="2:8" x14ac:dyDescent="0.25">
      <c r="B36" s="4"/>
      <c r="H36" s="65"/>
    </row>
    <row r="37" spans="2:8" x14ac:dyDescent="0.25">
      <c r="B37" s="4"/>
      <c r="H37" s="65"/>
    </row>
    <row r="38" spans="2:8" x14ac:dyDescent="0.25">
      <c r="B38" s="4"/>
      <c r="H38" s="65"/>
    </row>
    <row r="39" spans="2:8" x14ac:dyDescent="0.25">
      <c r="B39" s="4"/>
      <c r="H39" s="65"/>
    </row>
    <row r="40" spans="2:8" x14ac:dyDescent="0.25">
      <c r="B40" s="4"/>
      <c r="H40" s="65"/>
    </row>
    <row r="41" spans="2:8" x14ac:dyDescent="0.25">
      <c r="B41" s="4"/>
      <c r="H41" s="65"/>
    </row>
    <row r="42" spans="2:8" x14ac:dyDescent="0.25">
      <c r="B42" s="4"/>
      <c r="H42" s="65"/>
    </row>
    <row r="43" spans="2:8" x14ac:dyDescent="0.25">
      <c r="B43" s="4"/>
      <c r="H43" s="65"/>
    </row>
    <row r="44" spans="2:8" x14ac:dyDescent="0.25">
      <c r="B44" s="4"/>
      <c r="H44" s="65"/>
    </row>
    <row r="45" spans="2:8" x14ac:dyDescent="0.25">
      <c r="B45" s="4"/>
      <c r="H45" s="65"/>
    </row>
    <row r="46" spans="2:8" x14ac:dyDescent="0.25">
      <c r="B46" s="4"/>
      <c r="H46" s="65"/>
    </row>
    <row r="47" spans="2:8" x14ac:dyDescent="0.25">
      <c r="B47" s="4"/>
      <c r="H47" s="65"/>
    </row>
    <row r="48" spans="2:8" x14ac:dyDescent="0.25">
      <c r="B48" s="4"/>
      <c r="H48" s="65"/>
    </row>
    <row r="49" spans="2:8" x14ac:dyDescent="0.25">
      <c r="B49" s="4"/>
      <c r="H49" s="65"/>
    </row>
    <row r="50" spans="2:8" x14ac:dyDescent="0.25">
      <c r="B50" s="4"/>
      <c r="H50" s="65"/>
    </row>
    <row r="51" spans="2:8" x14ac:dyDescent="0.25">
      <c r="B51" s="4"/>
      <c r="H51" s="65"/>
    </row>
    <row r="52" spans="2:8" x14ac:dyDescent="0.25">
      <c r="B52" s="4"/>
      <c r="H52" s="65"/>
    </row>
    <row r="53" spans="2:8" x14ac:dyDescent="0.25">
      <c r="B53" s="4"/>
      <c r="H53" s="65"/>
    </row>
    <row r="54" spans="2:8" x14ac:dyDescent="0.25">
      <c r="B54" s="4"/>
      <c r="H54" s="65"/>
    </row>
    <row r="55" spans="2:8" x14ac:dyDescent="0.25">
      <c r="B55" s="4"/>
      <c r="H55" s="65"/>
    </row>
    <row r="56" spans="2:8" x14ac:dyDescent="0.25">
      <c r="B56" s="4"/>
      <c r="H56" s="65"/>
    </row>
    <row r="57" spans="2:8" x14ac:dyDescent="0.25">
      <c r="B57" s="4"/>
      <c r="H57" s="65"/>
    </row>
    <row r="58" spans="2:8" x14ac:dyDescent="0.25">
      <c r="B58" s="4"/>
      <c r="H58" s="65"/>
    </row>
    <row r="59" spans="2:8" x14ac:dyDescent="0.25">
      <c r="B59" s="4"/>
      <c r="H59" s="65"/>
    </row>
    <row r="60" spans="2:8" x14ac:dyDescent="0.25">
      <c r="B60" s="4"/>
      <c r="H60" s="65"/>
    </row>
    <row r="61" spans="2:8" x14ac:dyDescent="0.25">
      <c r="B61" s="4"/>
      <c r="H61" s="65"/>
    </row>
    <row r="62" spans="2:8" x14ac:dyDescent="0.25">
      <c r="B62" s="4"/>
      <c r="H62" s="65"/>
    </row>
    <row r="63" spans="2:8" x14ac:dyDescent="0.25">
      <c r="B63" s="4"/>
      <c r="H63" s="65"/>
    </row>
    <row r="64" spans="2:8" x14ac:dyDescent="0.25">
      <c r="B64" s="4"/>
      <c r="H64" s="65"/>
    </row>
    <row r="65" spans="2:8" x14ac:dyDescent="0.25">
      <c r="B65" s="4"/>
      <c r="H65" s="65"/>
    </row>
    <row r="66" spans="2:8" x14ac:dyDescent="0.25">
      <c r="B66" s="4"/>
      <c r="H66" s="65"/>
    </row>
    <row r="67" spans="2:8" x14ac:dyDescent="0.25">
      <c r="B67" s="4"/>
      <c r="H67" s="65"/>
    </row>
    <row r="68" spans="2:8" x14ac:dyDescent="0.25">
      <c r="B68" s="4"/>
    </row>
    <row r="69" spans="2:8" x14ac:dyDescent="0.25">
      <c r="B69" s="4"/>
    </row>
    <row r="70" spans="2:8" x14ac:dyDescent="0.25">
      <c r="B70" s="4"/>
    </row>
    <row r="71" spans="2:8" x14ac:dyDescent="0.25">
      <c r="B71" s="4"/>
    </row>
    <row r="72" spans="2:8" x14ac:dyDescent="0.25">
      <c r="B72" s="4"/>
    </row>
    <row r="73" spans="2:8" x14ac:dyDescent="0.25">
      <c r="B73" s="4"/>
    </row>
    <row r="74" spans="2:8" x14ac:dyDescent="0.25">
      <c r="B74" s="4"/>
    </row>
    <row r="75" spans="2:8" x14ac:dyDescent="0.25">
      <c r="B75" s="4"/>
    </row>
    <row r="76" spans="2:8" x14ac:dyDescent="0.25">
      <c r="B76" s="4"/>
    </row>
    <row r="77" spans="2:8" x14ac:dyDescent="0.25">
      <c r="B77" s="4"/>
    </row>
    <row r="78" spans="2:8" x14ac:dyDescent="0.25">
      <c r="B78" s="4"/>
    </row>
    <row r="79" spans="2:8" x14ac:dyDescent="0.25">
      <c r="B79" s="4"/>
    </row>
    <row r="80" spans="2:8" x14ac:dyDescent="0.25">
      <c r="B80" s="4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200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1.42578125" bestFit="1" customWidth="1"/>
    <col min="2" max="2" width="17.42578125" bestFit="1" customWidth="1"/>
  </cols>
  <sheetData>
    <row r="1" spans="1:2" x14ac:dyDescent="0.25">
      <c r="A1" s="72" t="s">
        <v>52</v>
      </c>
      <c r="B1" s="73" t="s">
        <v>53</v>
      </c>
    </row>
    <row r="2" spans="1:2" x14ac:dyDescent="0.25">
      <c r="A2" s="73" t="str">
        <f>CONCATENATE(COF!E6," ",COF!F6)</f>
        <v xml:space="preserve"> </v>
      </c>
      <c r="B2" s="73">
        <f>COF!B6</f>
        <v>0</v>
      </c>
    </row>
    <row r="3" spans="1:2" x14ac:dyDescent="0.25">
      <c r="A3" s="73" t="str">
        <f>CONCATENATE(COF!E7," ",COF!F7)</f>
        <v xml:space="preserve"> </v>
      </c>
      <c r="B3" s="73">
        <f>COF!B7</f>
        <v>0</v>
      </c>
    </row>
    <row r="4" spans="1:2" x14ac:dyDescent="0.25">
      <c r="A4" s="73" t="str">
        <f>CONCATENATE(COF!E8," ",COF!F8)</f>
        <v xml:space="preserve"> </v>
      </c>
      <c r="B4" s="73">
        <f>COF!B8</f>
        <v>0</v>
      </c>
    </row>
    <row r="5" spans="1:2" x14ac:dyDescent="0.25">
      <c r="A5" s="73" t="str">
        <f>CONCATENATE(COF!E9," ",COF!F9)</f>
        <v xml:space="preserve"> </v>
      </c>
      <c r="B5" s="73">
        <f>COF!B9</f>
        <v>0</v>
      </c>
    </row>
    <row r="6" spans="1:2" x14ac:dyDescent="0.25">
      <c r="A6" s="73" t="str">
        <f>CONCATENATE(COF!E10," ",COF!F10)</f>
        <v xml:space="preserve"> </v>
      </c>
      <c r="B6" s="73">
        <f>COF!B10</f>
        <v>0</v>
      </c>
    </row>
    <row r="7" spans="1:2" x14ac:dyDescent="0.25">
      <c r="A7" s="73" t="str">
        <f>CONCATENATE(COF!E11," ",COF!F11)</f>
        <v xml:space="preserve"> </v>
      </c>
      <c r="B7" s="73">
        <f>COF!B11</f>
        <v>0</v>
      </c>
    </row>
    <row r="8" spans="1:2" x14ac:dyDescent="0.25">
      <c r="A8" s="73" t="str">
        <f>CONCATENATE(COF!E12," ",COF!F12)</f>
        <v xml:space="preserve"> </v>
      </c>
      <c r="B8" s="73">
        <f>COF!B12</f>
        <v>0</v>
      </c>
    </row>
    <row r="9" spans="1:2" x14ac:dyDescent="0.25">
      <c r="A9" s="73" t="str">
        <f>CONCATENATE(COF!E13," ",COF!F13)</f>
        <v xml:space="preserve"> </v>
      </c>
      <c r="B9" s="73">
        <f>COF!B13</f>
        <v>0</v>
      </c>
    </row>
    <row r="10" spans="1:2" x14ac:dyDescent="0.25">
      <c r="A10" s="73" t="str">
        <f>CONCATENATE(COF!E14," ",COF!F14)</f>
        <v xml:space="preserve"> </v>
      </c>
      <c r="B10" s="73">
        <f>COF!B14</f>
        <v>0</v>
      </c>
    </row>
    <row r="11" spans="1:2" x14ac:dyDescent="0.25">
      <c r="A11" s="73" t="str">
        <f>CONCATENATE(COF!E15," ",COF!F15)</f>
        <v xml:space="preserve"> </v>
      </c>
      <c r="B11" s="73">
        <f>COF!B15</f>
        <v>0</v>
      </c>
    </row>
    <row r="12" spans="1:2" x14ac:dyDescent="0.25">
      <c r="A12" s="73" t="str">
        <f>CONCATENATE(COF!E16," ",COF!F16)</f>
        <v xml:space="preserve"> </v>
      </c>
      <c r="B12" s="73">
        <f>COF!B16</f>
        <v>0</v>
      </c>
    </row>
    <row r="13" spans="1:2" x14ac:dyDescent="0.25">
      <c r="A13" s="73" t="str">
        <f>CONCATENATE(COF!E17," ",COF!F17)</f>
        <v xml:space="preserve"> </v>
      </c>
      <c r="B13" s="73">
        <f>COF!B17</f>
        <v>0</v>
      </c>
    </row>
    <row r="14" spans="1:2" x14ac:dyDescent="0.25">
      <c r="A14" s="73" t="str">
        <f>CONCATENATE(COF!E18," ",COF!F18)</f>
        <v xml:space="preserve"> </v>
      </c>
      <c r="B14" s="73">
        <f>COF!B18</f>
        <v>0</v>
      </c>
    </row>
    <row r="15" spans="1:2" x14ac:dyDescent="0.25">
      <c r="A15" s="73" t="str">
        <f>CONCATENATE(COF!E19," ",COF!F19)</f>
        <v xml:space="preserve"> </v>
      </c>
      <c r="B15" s="73">
        <f>COF!B19</f>
        <v>0</v>
      </c>
    </row>
    <row r="16" spans="1:2" x14ac:dyDescent="0.25">
      <c r="A16" s="73" t="str">
        <f>CONCATENATE(COF!E20," ",COF!F20)</f>
        <v xml:space="preserve"> </v>
      </c>
      <c r="B16" s="73">
        <f>COF!B20</f>
        <v>0</v>
      </c>
    </row>
    <row r="17" spans="1:2" x14ac:dyDescent="0.25">
      <c r="A17" s="73" t="str">
        <f>CONCATENATE(COF!E21," ",COF!F21)</f>
        <v xml:space="preserve"> </v>
      </c>
      <c r="B17" s="73">
        <f>COF!B21</f>
        <v>0</v>
      </c>
    </row>
    <row r="18" spans="1:2" x14ac:dyDescent="0.25">
      <c r="A18" s="73" t="str">
        <f>CONCATENATE(COF!E22," ",COF!F22)</f>
        <v xml:space="preserve"> </v>
      </c>
      <c r="B18" s="73">
        <f>COF!B22</f>
        <v>0</v>
      </c>
    </row>
    <row r="19" spans="1:2" x14ac:dyDescent="0.25">
      <c r="A19" s="73" t="str">
        <f>CONCATENATE(COF!E23," ",COF!F23)</f>
        <v xml:space="preserve"> </v>
      </c>
      <c r="B19" s="73">
        <f>COF!B23</f>
        <v>0</v>
      </c>
    </row>
    <row r="20" spans="1:2" x14ac:dyDescent="0.25">
      <c r="A20" s="73" t="str">
        <f>CONCATENATE(COF!E24," ",COF!F24)</f>
        <v xml:space="preserve"> </v>
      </c>
      <c r="B20" s="73">
        <f>COF!B24</f>
        <v>0</v>
      </c>
    </row>
    <row r="21" spans="1:2" x14ac:dyDescent="0.25">
      <c r="A21" s="73" t="str">
        <f>CONCATENATE(COF!E25," ",COF!F25)</f>
        <v xml:space="preserve"> </v>
      </c>
      <c r="B21" s="73">
        <f>COF!B25</f>
        <v>0</v>
      </c>
    </row>
    <row r="22" spans="1:2" x14ac:dyDescent="0.25">
      <c r="A22" s="73" t="str">
        <f>CONCATENATE(COF!E26," ",COF!F26)</f>
        <v xml:space="preserve"> </v>
      </c>
      <c r="B22" s="73">
        <f>COF!B26</f>
        <v>0</v>
      </c>
    </row>
    <row r="23" spans="1:2" x14ac:dyDescent="0.25">
      <c r="A23" s="73" t="str">
        <f>CONCATENATE(COF!E27," ",COF!F27)</f>
        <v xml:space="preserve"> </v>
      </c>
      <c r="B23" s="73">
        <f>COF!B27</f>
        <v>0</v>
      </c>
    </row>
    <row r="24" spans="1:2" x14ac:dyDescent="0.25">
      <c r="A24" s="73" t="str">
        <f>CONCATENATE(COF!E28," ",COF!F28)</f>
        <v xml:space="preserve"> </v>
      </c>
      <c r="B24" s="73">
        <f>COF!B28</f>
        <v>0</v>
      </c>
    </row>
    <row r="25" spans="1:2" x14ac:dyDescent="0.25">
      <c r="A25" s="73" t="str">
        <f>CONCATENATE(COF!E29," ",COF!F29)</f>
        <v xml:space="preserve"> </v>
      </c>
      <c r="B25" s="73">
        <f>COF!B29</f>
        <v>0</v>
      </c>
    </row>
    <row r="26" spans="1:2" x14ac:dyDescent="0.25">
      <c r="A26" s="73" t="str">
        <f>CONCATENATE(COF!E30," ",COF!F30)</f>
        <v xml:space="preserve"> </v>
      </c>
      <c r="B26" s="73">
        <f>COF!B30</f>
        <v>0</v>
      </c>
    </row>
    <row r="27" spans="1:2" x14ac:dyDescent="0.25">
      <c r="A27" s="73" t="str">
        <f>CONCATENATE(COF!E31," ",COF!F31)</f>
        <v xml:space="preserve"> </v>
      </c>
      <c r="B27" s="73">
        <f>COF!B31</f>
        <v>0</v>
      </c>
    </row>
    <row r="28" spans="1:2" x14ac:dyDescent="0.25">
      <c r="A28" s="73" t="str">
        <f>CONCATENATE(COF!E32," ",COF!F32)</f>
        <v xml:space="preserve"> </v>
      </c>
      <c r="B28" s="73">
        <f>COF!B32</f>
        <v>0</v>
      </c>
    </row>
    <row r="29" spans="1:2" x14ac:dyDescent="0.25">
      <c r="A29" s="73" t="str">
        <f>CONCATENATE(COF!E33," ",COF!F33)</f>
        <v xml:space="preserve"> </v>
      </c>
      <c r="B29" s="73">
        <f>COF!B33</f>
        <v>0</v>
      </c>
    </row>
    <row r="30" spans="1:2" x14ac:dyDescent="0.25">
      <c r="A30" s="73" t="str">
        <f>CONCATENATE(COF!E34," ",COF!F34)</f>
        <v xml:space="preserve"> </v>
      </c>
      <c r="B30" s="73">
        <f>COF!B34</f>
        <v>0</v>
      </c>
    </row>
    <row r="31" spans="1:2" x14ac:dyDescent="0.25">
      <c r="A31" s="73" t="str">
        <f>CONCATENATE(COF!E35," ",COF!F35)</f>
        <v xml:space="preserve"> </v>
      </c>
      <c r="B31" s="73">
        <f>COF!B35</f>
        <v>0</v>
      </c>
    </row>
    <row r="32" spans="1:2" x14ac:dyDescent="0.25">
      <c r="A32" s="73" t="str">
        <f>CONCATENATE(COF!E36," ",COF!F36)</f>
        <v xml:space="preserve"> </v>
      </c>
      <c r="B32" s="73">
        <f>COF!B36</f>
        <v>0</v>
      </c>
    </row>
    <row r="33" spans="1:2" x14ac:dyDescent="0.25">
      <c r="A33" s="73" t="str">
        <f>CONCATENATE(COF!E37," ",COF!F37)</f>
        <v xml:space="preserve"> </v>
      </c>
      <c r="B33" s="73">
        <f>COF!B37</f>
        <v>0</v>
      </c>
    </row>
    <row r="34" spans="1:2" x14ac:dyDescent="0.25">
      <c r="A34" s="73" t="str">
        <f>CONCATENATE(COF!E38," ",COF!F38)</f>
        <v xml:space="preserve"> </v>
      </c>
      <c r="B34" s="73">
        <f>COF!B38</f>
        <v>0</v>
      </c>
    </row>
    <row r="35" spans="1:2" x14ac:dyDescent="0.25">
      <c r="A35" s="73" t="str">
        <f>CONCATENATE(COF!E39," ",COF!F39)</f>
        <v xml:space="preserve"> </v>
      </c>
      <c r="B35" s="73">
        <f>COF!B39</f>
        <v>0</v>
      </c>
    </row>
    <row r="36" spans="1:2" x14ac:dyDescent="0.25">
      <c r="A36" s="73" t="str">
        <f>CONCATENATE(COF!E40," ",COF!F40)</f>
        <v xml:space="preserve"> </v>
      </c>
      <c r="B36" s="73">
        <f>COF!B40</f>
        <v>0</v>
      </c>
    </row>
    <row r="37" spans="1:2" x14ac:dyDescent="0.25">
      <c r="A37" s="73" t="str">
        <f>CONCATENATE(COF!E41," ",COF!F41)</f>
        <v xml:space="preserve"> </v>
      </c>
      <c r="B37" s="73">
        <f>COF!B41</f>
        <v>0</v>
      </c>
    </row>
    <row r="38" spans="1:2" x14ac:dyDescent="0.25">
      <c r="A38" s="73" t="str">
        <f>CONCATENATE(COF!E42," ",COF!F42)</f>
        <v xml:space="preserve"> </v>
      </c>
      <c r="B38" s="73">
        <f>COF!B42</f>
        <v>0</v>
      </c>
    </row>
    <row r="39" spans="1:2" x14ac:dyDescent="0.25">
      <c r="A39" s="73" t="str">
        <f>CONCATENATE(COF!E43," ",COF!F43)</f>
        <v xml:space="preserve"> </v>
      </c>
      <c r="B39" s="73">
        <f>COF!B43</f>
        <v>0</v>
      </c>
    </row>
    <row r="40" spans="1:2" x14ac:dyDescent="0.25">
      <c r="A40" s="73" t="str">
        <f>CONCATENATE(COF!E44," ",COF!F44)</f>
        <v xml:space="preserve"> </v>
      </c>
      <c r="B40" s="73">
        <f>COF!B44</f>
        <v>0</v>
      </c>
    </row>
    <row r="41" spans="1:2" x14ac:dyDescent="0.25">
      <c r="A41" s="73" t="str">
        <f>CONCATENATE(COF!E45," ",COF!F45)</f>
        <v xml:space="preserve"> </v>
      </c>
      <c r="B41" s="73">
        <f>COF!B45</f>
        <v>0</v>
      </c>
    </row>
    <row r="42" spans="1:2" x14ac:dyDescent="0.25">
      <c r="A42" s="73" t="str">
        <f>CONCATENATE(COF!E46," ",COF!F46)</f>
        <v xml:space="preserve"> </v>
      </c>
      <c r="B42" s="73">
        <f>COF!B46</f>
        <v>0</v>
      </c>
    </row>
    <row r="43" spans="1:2" x14ac:dyDescent="0.25">
      <c r="A43" s="73" t="str">
        <f>CONCATENATE(COF!E47," ",COF!F47)</f>
        <v xml:space="preserve"> </v>
      </c>
      <c r="B43" s="73">
        <f>COF!B47</f>
        <v>0</v>
      </c>
    </row>
    <row r="44" spans="1:2" x14ac:dyDescent="0.25">
      <c r="A44" s="73" t="str">
        <f>CONCATENATE(COF!E48," ",COF!F48)</f>
        <v xml:space="preserve"> </v>
      </c>
      <c r="B44" s="73">
        <f>COF!B48</f>
        <v>0</v>
      </c>
    </row>
    <row r="45" spans="1:2" x14ac:dyDescent="0.25">
      <c r="A45" s="73" t="str">
        <f>CONCATENATE(COF!E49," ",COF!F49)</f>
        <v xml:space="preserve"> </v>
      </c>
      <c r="B45" s="73">
        <f>COF!B49</f>
        <v>0</v>
      </c>
    </row>
    <row r="46" spans="1:2" x14ac:dyDescent="0.25">
      <c r="A46" s="73" t="str">
        <f>CONCATENATE(COF!E50," ",COF!F50)</f>
        <v xml:space="preserve"> </v>
      </c>
      <c r="B46" s="73">
        <f>COF!B50</f>
        <v>0</v>
      </c>
    </row>
    <row r="47" spans="1:2" x14ac:dyDescent="0.25">
      <c r="A47" s="73" t="str">
        <f>CONCATENATE(COF!E51," ",COF!F51)</f>
        <v xml:space="preserve"> </v>
      </c>
      <c r="B47" s="73">
        <f>COF!B51</f>
        <v>0</v>
      </c>
    </row>
    <row r="48" spans="1:2" x14ac:dyDescent="0.25">
      <c r="A48" s="73" t="str">
        <f>CONCATENATE(COF!E52," ",COF!F52)</f>
        <v xml:space="preserve"> </v>
      </c>
      <c r="B48" s="73">
        <f>COF!B52</f>
        <v>0</v>
      </c>
    </row>
    <row r="49" spans="1:2" x14ac:dyDescent="0.25">
      <c r="A49" s="73" t="str">
        <f>CONCATENATE(COF!E53," ",COF!F53)</f>
        <v xml:space="preserve"> </v>
      </c>
      <c r="B49" s="73">
        <f>COF!B53</f>
        <v>0</v>
      </c>
    </row>
    <row r="50" spans="1:2" x14ac:dyDescent="0.25">
      <c r="A50" s="73" t="str">
        <f>CONCATENATE(COF!E54," ",COF!F54)</f>
        <v xml:space="preserve"> </v>
      </c>
      <c r="B50" s="73">
        <f>COF!B54</f>
        <v>0</v>
      </c>
    </row>
    <row r="51" spans="1:2" x14ac:dyDescent="0.25">
      <c r="A51" s="73" t="str">
        <f>CONCATENATE(COF!E55," ",COF!F55)</f>
        <v xml:space="preserve"> </v>
      </c>
      <c r="B51" s="73">
        <f>COF!B55</f>
        <v>0</v>
      </c>
    </row>
    <row r="52" spans="1:2" x14ac:dyDescent="0.25">
      <c r="A52" s="73" t="str">
        <f>CONCATENATE(COF!E56," ",COF!F56)</f>
        <v xml:space="preserve"> </v>
      </c>
      <c r="B52" s="73">
        <f>COF!B56</f>
        <v>0</v>
      </c>
    </row>
    <row r="53" spans="1:2" x14ac:dyDescent="0.25">
      <c r="A53" s="73" t="str">
        <f>CONCATENATE(COF!E57," ",COF!F57)</f>
        <v xml:space="preserve"> </v>
      </c>
      <c r="B53" s="73">
        <f>COF!B57</f>
        <v>0</v>
      </c>
    </row>
    <row r="54" spans="1:2" x14ac:dyDescent="0.25">
      <c r="A54" s="73" t="str">
        <f>CONCATENATE(COF!E58," ",COF!F58)</f>
        <v xml:space="preserve"> </v>
      </c>
      <c r="B54" s="73">
        <f>COF!B58</f>
        <v>0</v>
      </c>
    </row>
    <row r="55" spans="1:2" x14ac:dyDescent="0.25">
      <c r="A55" s="73" t="str">
        <f>CONCATENATE(COF!E59," ",COF!F59)</f>
        <v xml:space="preserve"> </v>
      </c>
      <c r="B55" s="73">
        <f>COF!B59</f>
        <v>0</v>
      </c>
    </row>
    <row r="56" spans="1:2" x14ac:dyDescent="0.25">
      <c r="A56" s="73" t="str">
        <f>CONCATENATE(COF!E60," ",COF!F60)</f>
        <v xml:space="preserve"> </v>
      </c>
      <c r="B56" s="73">
        <f>COF!B60</f>
        <v>0</v>
      </c>
    </row>
    <row r="57" spans="1:2" x14ac:dyDescent="0.25">
      <c r="A57" s="73" t="str">
        <f>CONCATENATE(COF!E61," ",COF!F61)</f>
        <v xml:space="preserve"> </v>
      </c>
      <c r="B57" s="73">
        <f>COF!B61</f>
        <v>0</v>
      </c>
    </row>
    <row r="58" spans="1:2" x14ac:dyDescent="0.25">
      <c r="A58" s="73" t="str">
        <f>CONCATENATE(COF!E62," ",COF!F62)</f>
        <v xml:space="preserve"> </v>
      </c>
      <c r="B58" s="73">
        <f>COF!B62</f>
        <v>0</v>
      </c>
    </row>
    <row r="59" spans="1:2" x14ac:dyDescent="0.25">
      <c r="A59" s="73" t="str">
        <f>CONCATENATE(COF!E63," ",COF!F63)</f>
        <v xml:space="preserve"> </v>
      </c>
      <c r="B59" s="73">
        <f>COF!B63</f>
        <v>0</v>
      </c>
    </row>
    <row r="60" spans="1:2" x14ac:dyDescent="0.25">
      <c r="A60" s="73" t="str">
        <f>CONCATENATE(COF!E64," ",COF!F64)</f>
        <v xml:space="preserve"> </v>
      </c>
      <c r="B60" s="73">
        <f>COF!B64</f>
        <v>0</v>
      </c>
    </row>
    <row r="61" spans="1:2" x14ac:dyDescent="0.25">
      <c r="A61" s="73" t="str">
        <f>CONCATENATE(COF!E65," ",COF!F65)</f>
        <v xml:space="preserve"> </v>
      </c>
      <c r="B61" s="73">
        <f>COF!B65</f>
        <v>0</v>
      </c>
    </row>
    <row r="62" spans="1:2" x14ac:dyDescent="0.25">
      <c r="A62" s="73" t="str">
        <f>CONCATENATE(COF!E66," ",COF!F66)</f>
        <v xml:space="preserve"> </v>
      </c>
      <c r="B62" s="73">
        <f>COF!B66</f>
        <v>0</v>
      </c>
    </row>
    <row r="63" spans="1:2" x14ac:dyDescent="0.25">
      <c r="A63" s="73" t="str">
        <f>CONCATENATE(COF!E67," ",COF!F67)</f>
        <v xml:space="preserve"> </v>
      </c>
      <c r="B63" s="73">
        <f>COF!B67</f>
        <v>0</v>
      </c>
    </row>
    <row r="64" spans="1:2" x14ac:dyDescent="0.25">
      <c r="A64" s="73" t="str">
        <f>CONCATENATE(COF!E68," ",COF!F68)</f>
        <v xml:space="preserve"> </v>
      </c>
      <c r="B64" s="73">
        <f>COF!B68</f>
        <v>0</v>
      </c>
    </row>
    <row r="65" spans="1:2" x14ac:dyDescent="0.25">
      <c r="A65" s="73" t="str">
        <f>CONCATENATE(COF!E69," ",COF!F69)</f>
        <v xml:space="preserve"> </v>
      </c>
      <c r="B65" s="73">
        <f>COF!B69</f>
        <v>0</v>
      </c>
    </row>
    <row r="66" spans="1:2" x14ac:dyDescent="0.25">
      <c r="A66" s="73" t="str">
        <f>CONCATENATE(COF!E70," ",COF!F70)</f>
        <v xml:space="preserve"> </v>
      </c>
      <c r="B66" s="73">
        <f>COF!B70</f>
        <v>0</v>
      </c>
    </row>
    <row r="67" spans="1:2" x14ac:dyDescent="0.25">
      <c r="A67" s="73" t="str">
        <f>CONCATENATE(COF!E71," ",COF!F71)</f>
        <v xml:space="preserve"> </v>
      </c>
      <c r="B67" s="73">
        <f>COF!B71</f>
        <v>0</v>
      </c>
    </row>
    <row r="68" spans="1:2" x14ac:dyDescent="0.25">
      <c r="A68" s="73" t="str">
        <f>CONCATENATE(COF!E72," ",COF!F72)</f>
        <v xml:space="preserve"> </v>
      </c>
      <c r="B68" s="73">
        <f>COF!B72</f>
        <v>0</v>
      </c>
    </row>
    <row r="69" spans="1:2" x14ac:dyDescent="0.25">
      <c r="A69" s="73" t="str">
        <f>CONCATENATE(COF!E73," ",COF!F73)</f>
        <v xml:space="preserve"> </v>
      </c>
      <c r="B69" s="73">
        <f>COF!B73</f>
        <v>0</v>
      </c>
    </row>
    <row r="70" spans="1:2" x14ac:dyDescent="0.25">
      <c r="A70" s="73" t="str">
        <f>CONCATENATE(COF!E74," ",COF!F74)</f>
        <v xml:space="preserve"> </v>
      </c>
      <c r="B70" s="73">
        <f>COF!B74</f>
        <v>0</v>
      </c>
    </row>
    <row r="71" spans="1:2" x14ac:dyDescent="0.25">
      <c r="A71" s="73" t="str">
        <f>CONCATENATE(COF!E75," ",COF!F75)</f>
        <v xml:space="preserve"> </v>
      </c>
      <c r="B71" s="73">
        <f>COF!B75</f>
        <v>0</v>
      </c>
    </row>
    <row r="72" spans="1:2" x14ac:dyDescent="0.25">
      <c r="A72" s="73" t="str">
        <f>CONCATENATE(COF!E76," ",COF!F76)</f>
        <v xml:space="preserve"> </v>
      </c>
      <c r="B72" s="73">
        <f>COF!B76</f>
        <v>0</v>
      </c>
    </row>
    <row r="73" spans="1:2" x14ac:dyDescent="0.25">
      <c r="A73" s="73" t="str">
        <f>CONCATENATE(COF!E77," ",COF!F77)</f>
        <v xml:space="preserve"> </v>
      </c>
      <c r="B73" s="73">
        <f>COF!B77</f>
        <v>0</v>
      </c>
    </row>
    <row r="74" spans="1:2" x14ac:dyDescent="0.25">
      <c r="A74" s="73" t="str">
        <f>CONCATENATE(COF!E78," ",COF!F78)</f>
        <v xml:space="preserve"> </v>
      </c>
      <c r="B74" s="73">
        <f>COF!B78</f>
        <v>0</v>
      </c>
    </row>
    <row r="75" spans="1:2" x14ac:dyDescent="0.25">
      <c r="A75" s="73" t="str">
        <f>CONCATENATE(COF!E79," ",COF!F79)</f>
        <v xml:space="preserve"> </v>
      </c>
      <c r="B75" s="73">
        <f>COF!B79</f>
        <v>0</v>
      </c>
    </row>
    <row r="76" spans="1:2" x14ac:dyDescent="0.25">
      <c r="A76" s="73" t="str">
        <f>CONCATENATE(COF!E80," ",COF!F80)</f>
        <v xml:space="preserve"> </v>
      </c>
      <c r="B76" s="73">
        <f>COF!B80</f>
        <v>0</v>
      </c>
    </row>
    <row r="77" spans="1:2" x14ac:dyDescent="0.25">
      <c r="A77" s="73" t="str">
        <f>CONCATENATE(COF!E81," ",COF!F81)</f>
        <v xml:space="preserve"> </v>
      </c>
      <c r="B77" s="73">
        <f>COF!B81</f>
        <v>0</v>
      </c>
    </row>
    <row r="78" spans="1:2" x14ac:dyDescent="0.25">
      <c r="A78" s="73" t="str">
        <f>CONCATENATE(COF!E82," ",COF!F82)</f>
        <v xml:space="preserve"> </v>
      </c>
      <c r="B78" s="73">
        <f>COF!B82</f>
        <v>0</v>
      </c>
    </row>
    <row r="79" spans="1:2" x14ac:dyDescent="0.25">
      <c r="A79" s="73" t="str">
        <f>CONCATENATE(COF!E83," ",COF!F83)</f>
        <v xml:space="preserve"> </v>
      </c>
      <c r="B79" s="73">
        <f>COF!B83</f>
        <v>0</v>
      </c>
    </row>
    <row r="80" spans="1:2" x14ac:dyDescent="0.25">
      <c r="A80" s="73" t="str">
        <f>CONCATENATE(COF!E84," ",COF!F84)</f>
        <v xml:space="preserve"> </v>
      </c>
      <c r="B80" s="73">
        <f>COF!B84</f>
        <v>0</v>
      </c>
    </row>
    <row r="81" spans="1:2" x14ac:dyDescent="0.25">
      <c r="A81" s="73" t="str">
        <f>CONCATENATE(COF!E85," ",COF!F85)</f>
        <v xml:space="preserve"> </v>
      </c>
      <c r="B81" s="73">
        <f>COF!B85</f>
        <v>0</v>
      </c>
    </row>
    <row r="82" spans="1:2" x14ac:dyDescent="0.25">
      <c r="A82" s="73" t="str">
        <f>CONCATENATE(COF!E86," ",COF!F86)</f>
        <v xml:space="preserve"> </v>
      </c>
      <c r="B82" s="73">
        <f>COF!B86</f>
        <v>0</v>
      </c>
    </row>
    <row r="83" spans="1:2" x14ac:dyDescent="0.25">
      <c r="A83" s="73" t="str">
        <f>CONCATENATE(COF!E87," ",COF!F87)</f>
        <v xml:space="preserve"> </v>
      </c>
      <c r="B83" s="73">
        <f>COF!B87</f>
        <v>0</v>
      </c>
    </row>
    <row r="84" spans="1:2" x14ac:dyDescent="0.25">
      <c r="A84" s="73" t="str">
        <f>CONCATENATE(COF!E88," ",COF!F88)</f>
        <v xml:space="preserve"> </v>
      </c>
      <c r="B84" s="73">
        <f>COF!B88</f>
        <v>0</v>
      </c>
    </row>
    <row r="85" spans="1:2" x14ac:dyDescent="0.25">
      <c r="A85" s="73" t="str">
        <f>CONCATENATE(COF!E89," ",COF!F89)</f>
        <v xml:space="preserve"> </v>
      </c>
      <c r="B85" s="73">
        <f>COF!B89</f>
        <v>0</v>
      </c>
    </row>
    <row r="86" spans="1:2" x14ac:dyDescent="0.25">
      <c r="A86" s="73" t="str">
        <f>CONCATENATE(COF!E90," ",COF!F90)</f>
        <v xml:space="preserve"> </v>
      </c>
      <c r="B86" s="73">
        <f>COF!B90</f>
        <v>0</v>
      </c>
    </row>
    <row r="87" spans="1:2" x14ac:dyDescent="0.25">
      <c r="A87" s="73" t="str">
        <f>CONCATENATE(COF!E91," ",COF!F91)</f>
        <v xml:space="preserve"> </v>
      </c>
      <c r="B87" s="73">
        <f>COF!B91</f>
        <v>0</v>
      </c>
    </row>
    <row r="88" spans="1:2" x14ac:dyDescent="0.25">
      <c r="A88" s="73" t="str">
        <f>CONCATENATE(COF!E92," ",COF!F92)</f>
        <v xml:space="preserve"> </v>
      </c>
      <c r="B88" s="73">
        <f>COF!B92</f>
        <v>0</v>
      </c>
    </row>
    <row r="89" spans="1:2" x14ac:dyDescent="0.25">
      <c r="A89" s="73" t="str">
        <f>CONCATENATE(COF!E93," ",COF!F93)</f>
        <v xml:space="preserve"> </v>
      </c>
      <c r="B89" s="73">
        <f>COF!B93</f>
        <v>0</v>
      </c>
    </row>
    <row r="90" spans="1:2" x14ac:dyDescent="0.25">
      <c r="A90" s="73" t="str">
        <f>CONCATENATE(COF!E94," ",COF!F94)</f>
        <v xml:space="preserve"> </v>
      </c>
      <c r="B90" s="73">
        <f>COF!B94</f>
        <v>0</v>
      </c>
    </row>
    <row r="91" spans="1:2" x14ac:dyDescent="0.25">
      <c r="A91" s="73" t="str">
        <f>CONCATENATE(COF!E95," ",COF!F95)</f>
        <v xml:space="preserve"> </v>
      </c>
      <c r="B91" s="73">
        <f>COF!B95</f>
        <v>0</v>
      </c>
    </row>
    <row r="92" spans="1:2" x14ac:dyDescent="0.25">
      <c r="A92" s="73" t="str">
        <f>CONCATENATE(COF!E96," ",COF!F96)</f>
        <v xml:space="preserve"> </v>
      </c>
      <c r="B92" s="73">
        <f>COF!B96</f>
        <v>0</v>
      </c>
    </row>
    <row r="93" spans="1:2" x14ac:dyDescent="0.25">
      <c r="A93" s="73" t="str">
        <f>CONCATENATE(COF!E97," ",COF!F97)</f>
        <v xml:space="preserve"> </v>
      </c>
      <c r="B93" s="73">
        <f>COF!B97</f>
        <v>0</v>
      </c>
    </row>
    <row r="94" spans="1:2" x14ac:dyDescent="0.25">
      <c r="A94" s="73" t="str">
        <f>CONCATENATE(COF!E98," ",COF!F98)</f>
        <v xml:space="preserve"> </v>
      </c>
      <c r="B94" s="73">
        <f>COF!B98</f>
        <v>0</v>
      </c>
    </row>
    <row r="95" spans="1:2" x14ac:dyDescent="0.25">
      <c r="A95" s="73" t="str">
        <f>CONCATENATE(COF!E99," ",COF!F99)</f>
        <v xml:space="preserve"> </v>
      </c>
      <c r="B95" s="73">
        <f>COF!B99</f>
        <v>0</v>
      </c>
    </row>
    <row r="96" spans="1:2" x14ac:dyDescent="0.25">
      <c r="A96" s="73" t="str">
        <f>CONCATENATE(COF!E100," ",COF!F100)</f>
        <v xml:space="preserve"> </v>
      </c>
      <c r="B96" s="73">
        <f>COF!B100</f>
        <v>0</v>
      </c>
    </row>
    <row r="97" spans="1:2" x14ac:dyDescent="0.25">
      <c r="A97" s="73" t="str">
        <f>CONCATENATE(COF!E101," ",COF!F101)</f>
        <v xml:space="preserve"> </v>
      </c>
      <c r="B97" s="73">
        <f>COF!B101</f>
        <v>0</v>
      </c>
    </row>
    <row r="98" spans="1:2" x14ac:dyDescent="0.25">
      <c r="A98" s="73" t="str">
        <f>CONCATENATE(COF!E102," ",COF!F102)</f>
        <v xml:space="preserve"> </v>
      </c>
      <c r="B98" s="73">
        <f>COF!B102</f>
        <v>0</v>
      </c>
    </row>
    <row r="99" spans="1:2" x14ac:dyDescent="0.25">
      <c r="A99" s="73" t="str">
        <f>CONCATENATE(COF!E103," ",COF!F103)</f>
        <v xml:space="preserve"> </v>
      </c>
      <c r="B99" s="73">
        <f>COF!B103</f>
        <v>0</v>
      </c>
    </row>
    <row r="100" spans="1:2" x14ac:dyDescent="0.25">
      <c r="A100" s="73" t="str">
        <f>CONCATENATE(COF!E104," ",COF!F104)</f>
        <v xml:space="preserve"> </v>
      </c>
      <c r="B100" s="73">
        <f>COF!B104</f>
        <v>0</v>
      </c>
    </row>
    <row r="101" spans="1:2" x14ac:dyDescent="0.25">
      <c r="A101" s="73" t="str">
        <f>CONCATENATE(COF!E105," ",COF!F105)</f>
        <v xml:space="preserve"> </v>
      </c>
      <c r="B101" s="73">
        <f>COF!B105</f>
        <v>0</v>
      </c>
    </row>
    <row r="102" spans="1:2" x14ac:dyDescent="0.25">
      <c r="A102" s="73" t="str">
        <f>CONCATENATE(COF!E106," ",COF!F106)</f>
        <v xml:space="preserve"> </v>
      </c>
      <c r="B102" s="73">
        <f>COF!B106</f>
        <v>0</v>
      </c>
    </row>
    <row r="103" spans="1:2" x14ac:dyDescent="0.25">
      <c r="A103" s="73" t="str">
        <f>CONCATENATE(COF!E107," ",COF!F107)</f>
        <v xml:space="preserve"> </v>
      </c>
      <c r="B103" s="73">
        <f>COF!B107</f>
        <v>0</v>
      </c>
    </row>
    <row r="104" spans="1:2" x14ac:dyDescent="0.25">
      <c r="A104" s="73" t="str">
        <f>CONCATENATE(COF!E108," ",COF!F108)</f>
        <v xml:space="preserve"> </v>
      </c>
      <c r="B104" s="73">
        <f>COF!B108</f>
        <v>0</v>
      </c>
    </row>
    <row r="105" spans="1:2" x14ac:dyDescent="0.25">
      <c r="A105" s="73" t="str">
        <f>CONCATENATE(COF!E109," ",COF!F109)</f>
        <v xml:space="preserve"> </v>
      </c>
      <c r="B105" s="73">
        <f>COF!B109</f>
        <v>0</v>
      </c>
    </row>
    <row r="106" spans="1:2" x14ac:dyDescent="0.25">
      <c r="A106" s="73" t="str">
        <f>CONCATENATE(COF!E110," ",COF!F110)</f>
        <v xml:space="preserve"> </v>
      </c>
      <c r="B106" s="73">
        <f>COF!B110</f>
        <v>0</v>
      </c>
    </row>
    <row r="107" spans="1:2" x14ac:dyDescent="0.25">
      <c r="A107" s="73" t="str">
        <f>CONCATENATE(COF!E111," ",COF!F111)</f>
        <v xml:space="preserve"> </v>
      </c>
      <c r="B107" s="73">
        <f>COF!B111</f>
        <v>0</v>
      </c>
    </row>
    <row r="108" spans="1:2" x14ac:dyDescent="0.25">
      <c r="A108" s="73" t="str">
        <f>CONCATENATE(COF!E112," ",COF!F112)</f>
        <v xml:space="preserve"> </v>
      </c>
      <c r="B108" s="73">
        <f>COF!B112</f>
        <v>0</v>
      </c>
    </row>
    <row r="109" spans="1:2" x14ac:dyDescent="0.25">
      <c r="A109" s="73" t="str">
        <f>CONCATENATE(COF!E113," ",COF!F113)</f>
        <v xml:space="preserve"> </v>
      </c>
      <c r="B109" s="73">
        <f>COF!B113</f>
        <v>0</v>
      </c>
    </row>
    <row r="110" spans="1:2" x14ac:dyDescent="0.25">
      <c r="A110" s="73" t="str">
        <f>CONCATENATE(COF!E114," ",COF!F114)</f>
        <v xml:space="preserve"> </v>
      </c>
      <c r="B110" s="73">
        <f>COF!B114</f>
        <v>0</v>
      </c>
    </row>
    <row r="111" spans="1:2" x14ac:dyDescent="0.25">
      <c r="A111" s="73" t="str">
        <f>CONCATENATE(COF!E115," ",COF!F115)</f>
        <v xml:space="preserve"> </v>
      </c>
      <c r="B111" s="73">
        <f>COF!B115</f>
        <v>0</v>
      </c>
    </row>
    <row r="112" spans="1:2" x14ac:dyDescent="0.25">
      <c r="A112" s="73" t="str">
        <f>CONCATENATE(COF!E116," ",COF!F116)</f>
        <v xml:space="preserve"> </v>
      </c>
      <c r="B112" s="73">
        <f>COF!B116</f>
        <v>0</v>
      </c>
    </row>
    <row r="113" spans="1:2" x14ac:dyDescent="0.25">
      <c r="A113" s="73" t="str">
        <f>CONCATENATE(COF!E117," ",COF!F117)</f>
        <v xml:space="preserve"> </v>
      </c>
      <c r="B113" s="73">
        <f>COF!B117</f>
        <v>0</v>
      </c>
    </row>
    <row r="114" spans="1:2" x14ac:dyDescent="0.25">
      <c r="A114" s="73" t="str">
        <f>CONCATENATE(COF!E118," ",COF!F118)</f>
        <v xml:space="preserve"> </v>
      </c>
      <c r="B114" s="73">
        <f>COF!B118</f>
        <v>0</v>
      </c>
    </row>
    <row r="115" spans="1:2" x14ac:dyDescent="0.25">
      <c r="A115" s="73" t="str">
        <f>CONCATENATE(COF!E119," ",COF!F119)</f>
        <v xml:space="preserve"> </v>
      </c>
      <c r="B115" s="73">
        <f>COF!B119</f>
        <v>0</v>
      </c>
    </row>
    <row r="116" spans="1:2" x14ac:dyDescent="0.25">
      <c r="A116" s="73" t="str">
        <f>CONCATENATE(COF!E120," ",COF!F120)</f>
        <v xml:space="preserve"> </v>
      </c>
      <c r="B116" s="73">
        <f>COF!B120</f>
        <v>0</v>
      </c>
    </row>
    <row r="117" spans="1:2" x14ac:dyDescent="0.25">
      <c r="A117" s="73" t="str">
        <f>CONCATENATE(COF!E121," ",COF!F121)</f>
        <v xml:space="preserve"> </v>
      </c>
      <c r="B117" s="73">
        <f>COF!B121</f>
        <v>0</v>
      </c>
    </row>
    <row r="118" spans="1:2" x14ac:dyDescent="0.25">
      <c r="A118" s="73" t="str">
        <f>CONCATENATE(COF!E122," ",COF!F122)</f>
        <v xml:space="preserve"> </v>
      </c>
      <c r="B118" s="73">
        <f>COF!B122</f>
        <v>0</v>
      </c>
    </row>
    <row r="119" spans="1:2" x14ac:dyDescent="0.25">
      <c r="A119" s="73" t="str">
        <f>CONCATENATE(COF!E123," ",COF!F123)</f>
        <v xml:space="preserve"> </v>
      </c>
      <c r="B119" s="73">
        <f>COF!B123</f>
        <v>0</v>
      </c>
    </row>
    <row r="120" spans="1:2" x14ac:dyDescent="0.25">
      <c r="A120" s="73" t="str">
        <f>CONCATENATE(COF!E124," ",COF!F124)</f>
        <v xml:space="preserve"> </v>
      </c>
      <c r="B120" s="73">
        <f>COF!B124</f>
        <v>0</v>
      </c>
    </row>
    <row r="121" spans="1:2" x14ac:dyDescent="0.25">
      <c r="A121" s="73" t="str">
        <f>CONCATENATE(COF!E125," ",COF!F125)</f>
        <v xml:space="preserve"> </v>
      </c>
      <c r="B121" s="73">
        <f>COF!B125</f>
        <v>0</v>
      </c>
    </row>
    <row r="122" spans="1:2" x14ac:dyDescent="0.25">
      <c r="A122" s="73" t="str">
        <f>CONCATENATE(COF!E126," ",COF!F126)</f>
        <v xml:space="preserve"> </v>
      </c>
      <c r="B122" s="73">
        <f>COF!B126</f>
        <v>0</v>
      </c>
    </row>
    <row r="123" spans="1:2" x14ac:dyDescent="0.25">
      <c r="A123" s="73" t="str">
        <f>CONCATENATE(COF!E127," ",COF!F127)</f>
        <v xml:space="preserve"> </v>
      </c>
      <c r="B123" s="73">
        <f>COF!B127</f>
        <v>0</v>
      </c>
    </row>
    <row r="124" spans="1:2" x14ac:dyDescent="0.25">
      <c r="A124" s="73" t="str">
        <f>CONCATENATE(COF!E128," ",COF!F128)</f>
        <v xml:space="preserve"> </v>
      </c>
      <c r="B124" s="73">
        <f>COF!B128</f>
        <v>0</v>
      </c>
    </row>
    <row r="125" spans="1:2" x14ac:dyDescent="0.25">
      <c r="A125" s="73" t="str">
        <f>CONCATENATE(COF!E129," ",COF!F129)</f>
        <v xml:space="preserve"> </v>
      </c>
      <c r="B125" s="73">
        <f>COF!B129</f>
        <v>0</v>
      </c>
    </row>
    <row r="126" spans="1:2" x14ac:dyDescent="0.25">
      <c r="A126" s="73" t="str">
        <f>CONCATENATE(COF!E130," ",COF!F130)</f>
        <v xml:space="preserve"> </v>
      </c>
      <c r="B126" s="73">
        <f>COF!B130</f>
        <v>0</v>
      </c>
    </row>
    <row r="127" spans="1:2" x14ac:dyDescent="0.25">
      <c r="A127" s="73" t="str">
        <f>CONCATENATE(COF!E131," ",COF!F131)</f>
        <v xml:space="preserve"> </v>
      </c>
      <c r="B127" s="73">
        <f>COF!B131</f>
        <v>0</v>
      </c>
    </row>
    <row r="128" spans="1:2" x14ac:dyDescent="0.25">
      <c r="A128" s="73" t="str">
        <f>CONCATENATE(COF!E132," ",COF!F132)</f>
        <v xml:space="preserve"> </v>
      </c>
      <c r="B128" s="73">
        <f>COF!B132</f>
        <v>0</v>
      </c>
    </row>
    <row r="129" spans="1:2" x14ac:dyDescent="0.25">
      <c r="A129" s="73" t="str">
        <f>CONCATENATE(COF!E133," ",COF!F133)</f>
        <v xml:space="preserve"> </v>
      </c>
      <c r="B129" s="73">
        <f>COF!B133</f>
        <v>0</v>
      </c>
    </row>
    <row r="130" spans="1:2" x14ac:dyDescent="0.25">
      <c r="A130" s="73" t="str">
        <f>CONCATENATE(COF!E134," ",COF!F134)</f>
        <v xml:space="preserve"> </v>
      </c>
      <c r="B130" s="73">
        <f>COF!B134</f>
        <v>0</v>
      </c>
    </row>
    <row r="131" spans="1:2" x14ac:dyDescent="0.25">
      <c r="A131" s="73" t="str">
        <f>CONCATENATE(COF!E135," ",COF!F135)</f>
        <v xml:space="preserve"> </v>
      </c>
      <c r="B131" s="73">
        <f>COF!B135</f>
        <v>0</v>
      </c>
    </row>
    <row r="132" spans="1:2" x14ac:dyDescent="0.25">
      <c r="A132" s="73" t="str">
        <f>CONCATENATE(COF!E136," ",COF!F136)</f>
        <v xml:space="preserve"> </v>
      </c>
      <c r="B132" s="73">
        <f>COF!B136</f>
        <v>0</v>
      </c>
    </row>
    <row r="133" spans="1:2" x14ac:dyDescent="0.25">
      <c r="A133" s="73" t="str">
        <f>CONCATENATE(COF!E137," ",COF!F137)</f>
        <v xml:space="preserve"> </v>
      </c>
      <c r="B133" s="73">
        <f>COF!B137</f>
        <v>0</v>
      </c>
    </row>
    <row r="134" spans="1:2" x14ac:dyDescent="0.25">
      <c r="A134" s="73" t="str">
        <f>CONCATENATE(COF!E138," ",COF!F138)</f>
        <v xml:space="preserve"> </v>
      </c>
      <c r="B134" s="73">
        <f>COF!B138</f>
        <v>0</v>
      </c>
    </row>
    <row r="135" spans="1:2" x14ac:dyDescent="0.25">
      <c r="A135" s="73" t="str">
        <f>CONCATENATE(COF!E139," ",COF!F139)</f>
        <v xml:space="preserve"> </v>
      </c>
      <c r="B135" s="73">
        <f>COF!B139</f>
        <v>0</v>
      </c>
    </row>
    <row r="136" spans="1:2" x14ac:dyDescent="0.25">
      <c r="A136" s="73" t="str">
        <f>CONCATENATE(COF!E140," ",COF!F140)</f>
        <v xml:space="preserve"> </v>
      </c>
      <c r="B136" s="73">
        <f>COF!B140</f>
        <v>0</v>
      </c>
    </row>
    <row r="137" spans="1:2" x14ac:dyDescent="0.25">
      <c r="A137" s="73" t="str">
        <f>CONCATENATE(COF!E141," ",COF!F141)</f>
        <v xml:space="preserve"> </v>
      </c>
      <c r="B137" s="73">
        <f>COF!B141</f>
        <v>0</v>
      </c>
    </row>
    <row r="138" spans="1:2" x14ac:dyDescent="0.25">
      <c r="A138" s="73" t="str">
        <f>CONCATENATE(COF!E142," ",COF!F142)</f>
        <v xml:space="preserve"> </v>
      </c>
      <c r="B138" s="73">
        <f>COF!B142</f>
        <v>0</v>
      </c>
    </row>
    <row r="139" spans="1:2" x14ac:dyDescent="0.25">
      <c r="A139" s="73" t="str">
        <f>CONCATENATE(COF!E143," ",COF!F143)</f>
        <v xml:space="preserve"> </v>
      </c>
      <c r="B139" s="73">
        <f>COF!B143</f>
        <v>0</v>
      </c>
    </row>
    <row r="140" spans="1:2" x14ac:dyDescent="0.25">
      <c r="A140" s="73" t="str">
        <f>CONCATENATE(COF!E144," ",COF!F144)</f>
        <v xml:space="preserve"> </v>
      </c>
      <c r="B140" s="73">
        <f>COF!B144</f>
        <v>0</v>
      </c>
    </row>
    <row r="141" spans="1:2" x14ac:dyDescent="0.25">
      <c r="A141" s="73" t="str">
        <f>CONCATENATE(COF!E145," ",COF!F145)</f>
        <v xml:space="preserve"> </v>
      </c>
      <c r="B141" s="73">
        <f>COF!B145</f>
        <v>0</v>
      </c>
    </row>
    <row r="142" spans="1:2" x14ac:dyDescent="0.25">
      <c r="A142" s="73" t="str">
        <f>CONCATENATE(COF!E146," ",COF!F146)</f>
        <v xml:space="preserve"> </v>
      </c>
      <c r="B142" s="73">
        <f>COF!B146</f>
        <v>0</v>
      </c>
    </row>
    <row r="143" spans="1:2" x14ac:dyDescent="0.25">
      <c r="A143" s="73" t="str">
        <f>CONCATENATE(COF!E147," ",COF!F147)</f>
        <v xml:space="preserve"> </v>
      </c>
      <c r="B143" s="73">
        <f>COF!B147</f>
        <v>0</v>
      </c>
    </row>
    <row r="144" spans="1:2" x14ac:dyDescent="0.25">
      <c r="A144" s="73" t="str">
        <f>CONCATENATE(COF!E148," ",COF!F148)</f>
        <v xml:space="preserve"> </v>
      </c>
      <c r="B144" s="73">
        <f>COF!B148</f>
        <v>0</v>
      </c>
    </row>
    <row r="145" spans="1:2" x14ac:dyDescent="0.25">
      <c r="A145" s="73" t="str">
        <f>CONCATENATE(COF!E149," ",COF!F149)</f>
        <v xml:space="preserve"> </v>
      </c>
      <c r="B145" s="73">
        <f>COF!B149</f>
        <v>0</v>
      </c>
    </row>
    <row r="146" spans="1:2" x14ac:dyDescent="0.25">
      <c r="A146" s="73" t="str">
        <f>CONCATENATE(COF!E150," ",COF!F150)</f>
        <v xml:space="preserve"> </v>
      </c>
      <c r="B146" s="73">
        <f>COF!B150</f>
        <v>0</v>
      </c>
    </row>
    <row r="147" spans="1:2" x14ac:dyDescent="0.25">
      <c r="A147" s="73" t="str">
        <f>CONCATENATE(COF!E151," ",COF!F151)</f>
        <v xml:space="preserve"> </v>
      </c>
      <c r="B147" s="73">
        <f>COF!B151</f>
        <v>0</v>
      </c>
    </row>
    <row r="148" spans="1:2" x14ac:dyDescent="0.25">
      <c r="A148" s="73" t="str">
        <f>CONCATENATE(COF!E152," ",COF!F152)</f>
        <v xml:space="preserve"> </v>
      </c>
      <c r="B148" s="73">
        <f>COF!B152</f>
        <v>0</v>
      </c>
    </row>
    <row r="149" spans="1:2" x14ac:dyDescent="0.25">
      <c r="A149" s="73" t="str">
        <f>CONCATENATE(COF!E153," ",COF!F153)</f>
        <v xml:space="preserve"> </v>
      </c>
      <c r="B149" s="73">
        <f>COF!B153</f>
        <v>0</v>
      </c>
    </row>
    <row r="150" spans="1:2" x14ac:dyDescent="0.25">
      <c r="A150" s="73" t="str">
        <f>CONCATENATE(COF!E154," ",COF!F154)</f>
        <v xml:space="preserve"> </v>
      </c>
      <c r="B150" s="73">
        <f>COF!B154</f>
        <v>0</v>
      </c>
    </row>
    <row r="151" spans="1:2" x14ac:dyDescent="0.25">
      <c r="A151" s="73" t="str">
        <f>CONCATENATE(COF!E155," ",COF!F155)</f>
        <v xml:space="preserve"> </v>
      </c>
      <c r="B151" s="73">
        <f>COF!B155</f>
        <v>0</v>
      </c>
    </row>
    <row r="152" spans="1:2" x14ac:dyDescent="0.25">
      <c r="A152" s="73" t="str">
        <f>CONCATENATE(COF!E156," ",COF!F156)</f>
        <v xml:space="preserve"> </v>
      </c>
      <c r="B152" s="73">
        <f>COF!B156</f>
        <v>0</v>
      </c>
    </row>
    <row r="153" spans="1:2" x14ac:dyDescent="0.25">
      <c r="A153" s="73" t="str">
        <f>CONCATENATE(COF!E157," ",COF!F157)</f>
        <v xml:space="preserve"> </v>
      </c>
      <c r="B153" s="73">
        <f>COF!B157</f>
        <v>0</v>
      </c>
    </row>
    <row r="154" spans="1:2" x14ac:dyDescent="0.25">
      <c r="A154" s="73" t="str">
        <f>CONCATENATE(COF!E158," ",COF!F158)</f>
        <v xml:space="preserve"> </v>
      </c>
      <c r="B154" s="73">
        <f>COF!B158</f>
        <v>0</v>
      </c>
    </row>
    <row r="155" spans="1:2" x14ac:dyDescent="0.25">
      <c r="A155" s="73" t="str">
        <f>CONCATENATE(COF!E159," ",COF!F159)</f>
        <v xml:space="preserve"> </v>
      </c>
      <c r="B155" s="73">
        <f>COF!B159</f>
        <v>0</v>
      </c>
    </row>
    <row r="156" spans="1:2" x14ac:dyDescent="0.25">
      <c r="A156" s="73" t="str">
        <f>CONCATENATE(COF!E160," ",COF!F160)</f>
        <v xml:space="preserve"> </v>
      </c>
      <c r="B156" s="73">
        <f>COF!B160</f>
        <v>0</v>
      </c>
    </row>
    <row r="157" spans="1:2" x14ac:dyDescent="0.25">
      <c r="A157" s="73" t="str">
        <f>CONCATENATE(COF!E161," ",COF!F161)</f>
        <v xml:space="preserve"> </v>
      </c>
      <c r="B157" s="73">
        <f>COF!B161</f>
        <v>0</v>
      </c>
    </row>
    <row r="158" spans="1:2" x14ac:dyDescent="0.25">
      <c r="A158" s="73" t="str">
        <f>CONCATENATE(COF!E162," ",COF!F162)</f>
        <v xml:space="preserve"> </v>
      </c>
      <c r="B158" s="73">
        <f>COF!B162</f>
        <v>0</v>
      </c>
    </row>
    <row r="159" spans="1:2" x14ac:dyDescent="0.25">
      <c r="A159" s="73" t="str">
        <f>CONCATENATE(COF!E163," ",COF!F163)</f>
        <v xml:space="preserve"> </v>
      </c>
      <c r="B159" s="73">
        <f>COF!B163</f>
        <v>0</v>
      </c>
    </row>
    <row r="160" spans="1:2" x14ac:dyDescent="0.25">
      <c r="A160" s="73" t="str">
        <f>CONCATENATE(COF!E164," ",COF!F164)</f>
        <v xml:space="preserve"> </v>
      </c>
      <c r="B160" s="73">
        <f>COF!B164</f>
        <v>0</v>
      </c>
    </row>
    <row r="161" spans="1:2" x14ac:dyDescent="0.25">
      <c r="A161" s="73" t="str">
        <f>CONCATENATE(COF!E165," ",COF!F165)</f>
        <v xml:space="preserve"> </v>
      </c>
      <c r="B161" s="73">
        <f>COF!B165</f>
        <v>0</v>
      </c>
    </row>
    <row r="162" spans="1:2" x14ac:dyDescent="0.25">
      <c r="A162" s="73" t="str">
        <f>CONCATENATE(COF!E166," ",COF!F166)</f>
        <v xml:space="preserve"> </v>
      </c>
      <c r="B162" s="73">
        <f>COF!B166</f>
        <v>0</v>
      </c>
    </row>
    <row r="163" spans="1:2" x14ac:dyDescent="0.25">
      <c r="A163" s="73" t="str">
        <f>CONCATENATE(COF!E167," ",COF!F167)</f>
        <v xml:space="preserve"> </v>
      </c>
      <c r="B163" s="73">
        <f>COF!B167</f>
        <v>0</v>
      </c>
    </row>
    <row r="164" spans="1:2" x14ac:dyDescent="0.25">
      <c r="A164" s="73" t="str">
        <f>CONCATENATE(COF!E168," ",COF!F168)</f>
        <v xml:space="preserve"> </v>
      </c>
      <c r="B164" s="73">
        <f>COF!B168</f>
        <v>0</v>
      </c>
    </row>
    <row r="165" spans="1:2" x14ac:dyDescent="0.25">
      <c r="A165" s="73" t="str">
        <f>CONCATENATE(COF!E169," ",COF!F169)</f>
        <v xml:space="preserve"> </v>
      </c>
      <c r="B165" s="73">
        <f>COF!B169</f>
        <v>0</v>
      </c>
    </row>
    <row r="166" spans="1:2" x14ac:dyDescent="0.25">
      <c r="A166" s="73" t="str">
        <f>CONCATENATE(COF!E170," ",COF!F170)</f>
        <v xml:space="preserve"> </v>
      </c>
      <c r="B166" s="73">
        <f>COF!B170</f>
        <v>0</v>
      </c>
    </row>
    <row r="167" spans="1:2" x14ac:dyDescent="0.25">
      <c r="A167" s="73" t="str">
        <f>CONCATENATE(COF!E171," ",COF!F171)</f>
        <v xml:space="preserve"> </v>
      </c>
      <c r="B167" s="73">
        <f>COF!B171</f>
        <v>0</v>
      </c>
    </row>
    <row r="168" spans="1:2" x14ac:dyDescent="0.25">
      <c r="A168" s="73" t="str">
        <f>CONCATENATE(COF!E172," ",COF!F172)</f>
        <v xml:space="preserve"> </v>
      </c>
      <c r="B168" s="73">
        <f>COF!B172</f>
        <v>0</v>
      </c>
    </row>
    <row r="169" spans="1:2" x14ac:dyDescent="0.25">
      <c r="A169" s="73" t="str">
        <f>CONCATENATE(COF!E173," ",COF!F173)</f>
        <v xml:space="preserve"> </v>
      </c>
      <c r="B169" s="73">
        <f>COF!B173</f>
        <v>0</v>
      </c>
    </row>
    <row r="170" spans="1:2" x14ac:dyDescent="0.25">
      <c r="A170" s="73" t="str">
        <f>CONCATENATE(COF!E174," ",COF!F174)</f>
        <v xml:space="preserve"> </v>
      </c>
      <c r="B170" s="73">
        <f>COF!B174</f>
        <v>0</v>
      </c>
    </row>
    <row r="171" spans="1:2" x14ac:dyDescent="0.25">
      <c r="A171" s="73" t="str">
        <f>CONCATENATE(COF!E175," ",COF!F175)</f>
        <v xml:space="preserve"> </v>
      </c>
      <c r="B171" s="73">
        <f>COF!B175</f>
        <v>0</v>
      </c>
    </row>
    <row r="172" spans="1:2" x14ac:dyDescent="0.25">
      <c r="A172" s="73" t="str">
        <f>CONCATENATE(COF!E176," ",COF!F176)</f>
        <v xml:space="preserve"> </v>
      </c>
      <c r="B172" s="73">
        <f>COF!B176</f>
        <v>0</v>
      </c>
    </row>
    <row r="173" spans="1:2" x14ac:dyDescent="0.25">
      <c r="A173" s="73" t="str">
        <f>CONCATENATE(COF!E177," ",COF!F177)</f>
        <v xml:space="preserve"> </v>
      </c>
      <c r="B173" s="73">
        <f>COF!B177</f>
        <v>0</v>
      </c>
    </row>
    <row r="174" spans="1:2" x14ac:dyDescent="0.25">
      <c r="A174" s="73" t="str">
        <f>CONCATENATE(COF!E178," ",COF!F178)</f>
        <v xml:space="preserve"> </v>
      </c>
      <c r="B174" s="73">
        <f>COF!B178</f>
        <v>0</v>
      </c>
    </row>
    <row r="175" spans="1:2" x14ac:dyDescent="0.25">
      <c r="A175" s="73" t="str">
        <f>CONCATENATE(COF!E179," ",COF!F179)</f>
        <v xml:space="preserve"> </v>
      </c>
      <c r="B175" s="73">
        <f>COF!B179</f>
        <v>0</v>
      </c>
    </row>
    <row r="176" spans="1:2" x14ac:dyDescent="0.25">
      <c r="A176" s="73" t="str">
        <f>CONCATENATE(COF!E180," ",COF!F180)</f>
        <v xml:space="preserve"> </v>
      </c>
      <c r="B176" s="73">
        <f>COF!B180</f>
        <v>0</v>
      </c>
    </row>
    <row r="177" spans="1:2" x14ac:dyDescent="0.25">
      <c r="A177" s="73" t="str">
        <f>CONCATENATE(COF!E181," ",COF!F181)</f>
        <v xml:space="preserve"> </v>
      </c>
      <c r="B177" s="73">
        <f>COF!B181</f>
        <v>0</v>
      </c>
    </row>
    <row r="178" spans="1:2" x14ac:dyDescent="0.25">
      <c r="A178" s="73" t="str">
        <f>CONCATENATE(COF!E182," ",COF!F182)</f>
        <v xml:space="preserve"> </v>
      </c>
      <c r="B178" s="73">
        <f>COF!B182</f>
        <v>0</v>
      </c>
    </row>
    <row r="179" spans="1:2" x14ac:dyDescent="0.25">
      <c r="A179" s="73" t="str">
        <f>CONCATENATE(COF!E183," ",COF!F183)</f>
        <v xml:space="preserve"> </v>
      </c>
      <c r="B179" s="73">
        <f>COF!B183</f>
        <v>0</v>
      </c>
    </row>
    <row r="180" spans="1:2" x14ac:dyDescent="0.25">
      <c r="A180" s="73" t="str">
        <f>CONCATENATE(COF!E184," ",COF!F184)</f>
        <v xml:space="preserve"> </v>
      </c>
      <c r="B180" s="73">
        <f>COF!B184</f>
        <v>0</v>
      </c>
    </row>
    <row r="181" spans="1:2" x14ac:dyDescent="0.25">
      <c r="A181" s="73" t="str">
        <f>CONCATENATE(COF!E185," ",COF!F185)</f>
        <v xml:space="preserve"> </v>
      </c>
      <c r="B181" s="73">
        <f>COF!B185</f>
        <v>0</v>
      </c>
    </row>
    <row r="182" spans="1:2" x14ac:dyDescent="0.25">
      <c r="A182" s="73" t="str">
        <f>CONCATENATE(COF!E186," ",COF!F186)</f>
        <v xml:space="preserve"> </v>
      </c>
      <c r="B182" s="73">
        <f>COF!B186</f>
        <v>0</v>
      </c>
    </row>
    <row r="183" spans="1:2" x14ac:dyDescent="0.25">
      <c r="A183" s="73" t="str">
        <f>CONCATENATE(COF!E187," ",COF!F187)</f>
        <v xml:space="preserve"> </v>
      </c>
      <c r="B183" s="73">
        <f>COF!B187</f>
        <v>0</v>
      </c>
    </row>
    <row r="184" spans="1:2" x14ac:dyDescent="0.25">
      <c r="A184" s="73" t="str">
        <f>CONCATENATE(COF!E188," ",COF!F188)</f>
        <v xml:space="preserve"> </v>
      </c>
      <c r="B184" s="73">
        <f>COF!B188</f>
        <v>0</v>
      </c>
    </row>
    <row r="185" spans="1:2" x14ac:dyDescent="0.25">
      <c r="A185" s="73" t="str">
        <f>CONCATENATE(COF!E189," ",COF!F189)</f>
        <v xml:space="preserve"> </v>
      </c>
      <c r="B185" s="73">
        <f>COF!B189</f>
        <v>0</v>
      </c>
    </row>
    <row r="186" spans="1:2" x14ac:dyDescent="0.25">
      <c r="A186" s="73" t="str">
        <f>CONCATENATE(COF!E190," ",COF!F190)</f>
        <v xml:space="preserve"> </v>
      </c>
      <c r="B186" s="73">
        <f>COF!B190</f>
        <v>0</v>
      </c>
    </row>
    <row r="187" spans="1:2" x14ac:dyDescent="0.25">
      <c r="A187" s="73" t="str">
        <f>CONCATENATE(COF!E191," ",COF!F191)</f>
        <v xml:space="preserve"> </v>
      </c>
      <c r="B187" s="73">
        <f>COF!B191</f>
        <v>0</v>
      </c>
    </row>
    <row r="188" spans="1:2" x14ac:dyDescent="0.25">
      <c r="A188" s="73" t="str">
        <f>CONCATENATE(COF!E192," ",COF!F192)</f>
        <v xml:space="preserve"> </v>
      </c>
      <c r="B188" s="73">
        <f>COF!B192</f>
        <v>0</v>
      </c>
    </row>
    <row r="189" spans="1:2" x14ac:dyDescent="0.25">
      <c r="A189" s="73" t="str">
        <f>CONCATENATE(COF!E193," ",COF!F193)</f>
        <v xml:space="preserve"> </v>
      </c>
      <c r="B189" s="73">
        <f>COF!B193</f>
        <v>0</v>
      </c>
    </row>
    <row r="190" spans="1:2" x14ac:dyDescent="0.25">
      <c r="A190" s="73" t="str">
        <f>CONCATENATE(COF!E194," ",COF!F194)</f>
        <v xml:space="preserve"> </v>
      </c>
      <c r="B190" s="73">
        <f>COF!B194</f>
        <v>0</v>
      </c>
    </row>
    <row r="191" spans="1:2" x14ac:dyDescent="0.25">
      <c r="A191" s="73" t="str">
        <f>CONCATENATE(COF!E195," ",COF!F195)</f>
        <v xml:space="preserve"> </v>
      </c>
      <c r="B191" s="73">
        <f>COF!B195</f>
        <v>0</v>
      </c>
    </row>
    <row r="192" spans="1:2" x14ac:dyDescent="0.25">
      <c r="A192" s="73" t="str">
        <f>CONCATENATE(COF!E196," ",COF!F196)</f>
        <v xml:space="preserve"> </v>
      </c>
      <c r="B192" s="73">
        <f>COF!B196</f>
        <v>0</v>
      </c>
    </row>
    <row r="193" spans="1:2" x14ac:dyDescent="0.25">
      <c r="A193" s="73" t="str">
        <f>CONCATENATE(COF!E197," ",COF!F197)</f>
        <v xml:space="preserve"> </v>
      </c>
      <c r="B193" s="73">
        <f>COF!B197</f>
        <v>0</v>
      </c>
    </row>
    <row r="194" spans="1:2" x14ac:dyDescent="0.25">
      <c r="A194" s="73" t="str">
        <f>CONCATENATE(COF!E198," ",COF!F198)</f>
        <v xml:space="preserve"> </v>
      </c>
      <c r="B194" s="73">
        <f>COF!B198</f>
        <v>0</v>
      </c>
    </row>
    <row r="195" spans="1:2" x14ac:dyDescent="0.25">
      <c r="A195" s="73" t="str">
        <f>CONCATENATE(COF!E199," ",COF!F199)</f>
        <v xml:space="preserve"> </v>
      </c>
      <c r="B195" s="73">
        <f>COF!B199</f>
        <v>0</v>
      </c>
    </row>
    <row r="196" spans="1:2" x14ac:dyDescent="0.25">
      <c r="A196" s="73" t="str">
        <f>CONCATENATE(COF!E200," ",COF!F200)</f>
        <v xml:space="preserve"> </v>
      </c>
      <c r="B196" s="73">
        <f>COF!B200</f>
        <v>0</v>
      </c>
    </row>
    <row r="197" spans="1:2" x14ac:dyDescent="0.25">
      <c r="A197" s="73" t="str">
        <f>CONCATENATE(COF!E201," ",COF!F201)</f>
        <v xml:space="preserve"> </v>
      </c>
      <c r="B197" s="73">
        <f>COF!B201</f>
        <v>0</v>
      </c>
    </row>
    <row r="198" spans="1:2" x14ac:dyDescent="0.25">
      <c r="A198" s="73" t="str">
        <f>CONCATENATE(COF!E202," ",COF!F202)</f>
        <v xml:space="preserve"> </v>
      </c>
      <c r="B198" s="73">
        <f>COF!B202</f>
        <v>0</v>
      </c>
    </row>
    <row r="199" spans="1:2" x14ac:dyDescent="0.25">
      <c r="A199" s="73" t="str">
        <f>CONCATENATE(COF!E203," ",COF!F203)</f>
        <v xml:space="preserve"> </v>
      </c>
      <c r="B199" s="73">
        <f>COF!B203</f>
        <v>0</v>
      </c>
    </row>
    <row r="200" spans="1:2" x14ac:dyDescent="0.25">
      <c r="A200" s="73" t="str">
        <f>CONCATENATE(COF!E204," ",COF!F204)</f>
        <v xml:space="preserve"> </v>
      </c>
      <c r="B200" s="73">
        <f>COF!B204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716"/>
  <sheetViews>
    <sheetView zoomScaleNormal="100" workbookViewId="0">
      <pane ySplit="5" topLeftCell="A6" activePane="bottomLeft" state="frozen"/>
      <selection pane="bottomLeft" activeCell="B9" sqref="B9:C9"/>
    </sheetView>
  </sheetViews>
  <sheetFormatPr baseColWidth="10" defaultColWidth="9.140625" defaultRowHeight="15" x14ac:dyDescent="0.25"/>
  <cols>
    <col min="1" max="1" width="19.7109375" style="40" customWidth="1"/>
    <col min="2" max="2" width="34.42578125" style="40" customWidth="1"/>
    <col min="3" max="3" width="11" style="40" customWidth="1"/>
    <col min="4" max="4" width="19.5703125" style="40" customWidth="1"/>
    <col min="5" max="5" width="20.140625" style="40" bestFit="1" customWidth="1"/>
    <col min="6" max="6" width="21.7109375" style="43" customWidth="1"/>
    <col min="7" max="7" width="20.42578125" style="43" customWidth="1"/>
    <col min="8" max="8" width="26.28515625" style="71" customWidth="1"/>
    <col min="9" max="9" width="12.140625" style="4" customWidth="1"/>
    <col min="10" max="16384" width="9.140625" style="4"/>
  </cols>
  <sheetData>
    <row r="1" spans="1:9" s="13" customFormat="1" ht="15.75" x14ac:dyDescent="0.25">
      <c r="A1" s="23" t="s">
        <v>32</v>
      </c>
      <c r="B1" s="209" t="s">
        <v>2010</v>
      </c>
      <c r="C1" s="209"/>
      <c r="D1" s="209"/>
      <c r="E1" s="209"/>
      <c r="F1" s="209"/>
      <c r="G1" s="209"/>
      <c r="H1" s="44"/>
    </row>
    <row r="2" spans="1:9" s="13" customFormat="1" ht="15.75" x14ac:dyDescent="0.25">
      <c r="B2" s="209" t="s">
        <v>31</v>
      </c>
      <c r="C2" s="209"/>
      <c r="D2" s="209"/>
      <c r="E2" s="209"/>
      <c r="F2" s="209"/>
      <c r="G2" s="209"/>
      <c r="H2" s="44"/>
    </row>
    <row r="3" spans="1:9" s="13" customFormat="1" ht="15.75" x14ac:dyDescent="0.25">
      <c r="B3" s="209" t="s">
        <v>171</v>
      </c>
      <c r="C3" s="209"/>
      <c r="D3" s="209"/>
      <c r="E3" s="209"/>
      <c r="F3" s="209"/>
      <c r="G3" s="209"/>
      <c r="H3" s="44"/>
    </row>
    <row r="4" spans="1:9" s="13" customFormat="1" ht="15.75" x14ac:dyDescent="0.25">
      <c r="B4" s="213" t="s">
        <v>11</v>
      </c>
      <c r="C4" s="213"/>
      <c r="D4" s="213"/>
      <c r="E4" s="213"/>
      <c r="F4" s="213"/>
      <c r="G4" s="213"/>
      <c r="H4" s="44"/>
      <c r="I4" s="14"/>
    </row>
    <row r="5" spans="1:9" ht="32.25" customHeight="1" x14ac:dyDescent="0.25">
      <c r="A5" s="48" t="s">
        <v>3</v>
      </c>
      <c r="B5" s="48" t="s">
        <v>17</v>
      </c>
      <c r="C5" s="48" t="s">
        <v>0</v>
      </c>
      <c r="D5" s="48" t="s">
        <v>15</v>
      </c>
      <c r="E5" s="49" t="s">
        <v>34</v>
      </c>
      <c r="F5" s="48" t="s">
        <v>4</v>
      </c>
      <c r="G5" s="48" t="s">
        <v>26</v>
      </c>
      <c r="H5" s="48" t="s">
        <v>1</v>
      </c>
    </row>
    <row r="6" spans="1:9" x14ac:dyDescent="0.25">
      <c r="A6" s="40">
        <v>1</v>
      </c>
      <c r="B6" s="40" t="s">
        <v>242</v>
      </c>
      <c r="C6" s="40" t="s">
        <v>167</v>
      </c>
      <c r="D6" s="40" t="s">
        <v>193</v>
      </c>
      <c r="E6" s="40">
        <v>6</v>
      </c>
      <c r="F6" s="43" t="s">
        <v>45</v>
      </c>
      <c r="G6" s="43" t="s">
        <v>1985</v>
      </c>
    </row>
    <row r="7" spans="1:9" x14ac:dyDescent="0.25">
      <c r="A7" s="40">
        <v>2</v>
      </c>
      <c r="B7" s="40" t="s">
        <v>243</v>
      </c>
      <c r="C7" s="40" t="s">
        <v>167</v>
      </c>
      <c r="D7" s="40" t="s">
        <v>192</v>
      </c>
      <c r="E7" s="40">
        <v>8</v>
      </c>
      <c r="F7" s="43" t="s">
        <v>45</v>
      </c>
      <c r="G7" s="43" t="s">
        <v>192</v>
      </c>
    </row>
    <row r="8" spans="1:9" x14ac:dyDescent="0.25">
      <c r="A8" s="40">
        <v>3</v>
      </c>
      <c r="B8" s="40" t="s">
        <v>244</v>
      </c>
      <c r="C8" s="40" t="s">
        <v>168</v>
      </c>
      <c r="D8" s="40" t="s">
        <v>185</v>
      </c>
      <c r="E8" s="40">
        <v>2</v>
      </c>
      <c r="F8" s="43" t="s">
        <v>45</v>
      </c>
      <c r="G8" s="43" t="s">
        <v>185</v>
      </c>
    </row>
    <row r="9" spans="1:9" x14ac:dyDescent="0.25">
      <c r="A9" s="40">
        <v>4</v>
      </c>
      <c r="B9" s="40" t="s">
        <v>245</v>
      </c>
      <c r="C9" s="40" t="s">
        <v>168</v>
      </c>
      <c r="D9" s="40" t="s">
        <v>176</v>
      </c>
      <c r="E9" s="40">
        <v>5</v>
      </c>
      <c r="F9" s="43" t="s">
        <v>45</v>
      </c>
      <c r="G9" s="43" t="s">
        <v>176</v>
      </c>
    </row>
    <row r="10" spans="1:9" x14ac:dyDescent="0.25">
      <c r="A10" s="40">
        <v>5</v>
      </c>
      <c r="B10" s="40" t="s">
        <v>246</v>
      </c>
      <c r="C10" s="40" t="s">
        <v>167</v>
      </c>
      <c r="D10" s="40" t="s">
        <v>1935</v>
      </c>
      <c r="E10" s="40">
        <v>7</v>
      </c>
      <c r="F10" s="43" t="s">
        <v>45</v>
      </c>
      <c r="G10" s="43" t="s">
        <v>182</v>
      </c>
    </row>
    <row r="11" spans="1:9" x14ac:dyDescent="0.25">
      <c r="A11" s="40">
        <v>6</v>
      </c>
      <c r="B11" s="40" t="s">
        <v>247</v>
      </c>
      <c r="C11" s="40" t="s">
        <v>168</v>
      </c>
      <c r="D11" s="40" t="s">
        <v>1936</v>
      </c>
      <c r="E11" s="40">
        <v>3</v>
      </c>
      <c r="F11" s="43" t="s">
        <v>45</v>
      </c>
      <c r="G11" s="43" t="s">
        <v>2006</v>
      </c>
    </row>
    <row r="12" spans="1:9" x14ac:dyDescent="0.25">
      <c r="A12" s="40">
        <v>7</v>
      </c>
      <c r="B12" s="40" t="s">
        <v>248</v>
      </c>
      <c r="C12" s="40" t="s">
        <v>167</v>
      </c>
      <c r="D12" s="40" t="s">
        <v>1932</v>
      </c>
      <c r="E12" s="40">
        <v>5</v>
      </c>
      <c r="F12" s="43" t="s">
        <v>45</v>
      </c>
      <c r="G12" s="43" t="s">
        <v>1980</v>
      </c>
    </row>
    <row r="13" spans="1:9" x14ac:dyDescent="0.25">
      <c r="A13" s="40">
        <v>8</v>
      </c>
      <c r="B13" s="40" t="s">
        <v>249</v>
      </c>
      <c r="C13" s="40" t="s">
        <v>168</v>
      </c>
      <c r="D13" s="40" t="s">
        <v>2005</v>
      </c>
      <c r="E13" s="40">
        <v>2</v>
      </c>
      <c r="F13" s="43" t="s">
        <v>45</v>
      </c>
      <c r="G13" s="43" t="s">
        <v>1984</v>
      </c>
    </row>
    <row r="14" spans="1:9" x14ac:dyDescent="0.25">
      <c r="A14" s="40">
        <v>9</v>
      </c>
      <c r="B14" s="40" t="s">
        <v>250</v>
      </c>
      <c r="C14" s="40" t="s">
        <v>168</v>
      </c>
      <c r="D14" s="40" t="s">
        <v>193</v>
      </c>
      <c r="E14" s="40">
        <v>5</v>
      </c>
      <c r="F14" s="43" t="s">
        <v>45</v>
      </c>
      <c r="G14" s="43" t="s">
        <v>169</v>
      </c>
    </row>
    <row r="15" spans="1:9" x14ac:dyDescent="0.25">
      <c r="A15" s="40">
        <v>10</v>
      </c>
      <c r="B15" s="40" t="s">
        <v>251</v>
      </c>
      <c r="C15" s="40" t="s">
        <v>167</v>
      </c>
      <c r="D15" s="40" t="s">
        <v>1937</v>
      </c>
      <c r="E15" s="40">
        <v>8</v>
      </c>
      <c r="F15" s="43" t="s">
        <v>45</v>
      </c>
      <c r="G15" s="43" t="s">
        <v>174</v>
      </c>
    </row>
    <row r="16" spans="1:9" x14ac:dyDescent="0.25">
      <c r="A16" s="40">
        <v>11</v>
      </c>
      <c r="B16" s="40" t="s">
        <v>252</v>
      </c>
      <c r="C16" s="40" t="s">
        <v>167</v>
      </c>
      <c r="D16" s="40" t="s">
        <v>2007</v>
      </c>
      <c r="E16" s="40">
        <v>4</v>
      </c>
      <c r="F16" s="43" t="s">
        <v>45</v>
      </c>
      <c r="G16" s="43" t="s">
        <v>179</v>
      </c>
    </row>
    <row r="17" spans="1:7" x14ac:dyDescent="0.25">
      <c r="A17" s="40">
        <v>12</v>
      </c>
      <c r="B17" s="40" t="s">
        <v>253</v>
      </c>
      <c r="C17" s="40" t="s">
        <v>167</v>
      </c>
      <c r="D17" s="40" t="s">
        <v>172</v>
      </c>
      <c r="E17" s="40">
        <v>5</v>
      </c>
      <c r="F17" s="43" t="s">
        <v>45</v>
      </c>
      <c r="G17" s="43" t="s">
        <v>172</v>
      </c>
    </row>
    <row r="18" spans="1:7" x14ac:dyDescent="0.25">
      <c r="A18" s="40">
        <v>13</v>
      </c>
      <c r="B18" s="40" t="s">
        <v>254</v>
      </c>
      <c r="C18" s="40" t="s">
        <v>167</v>
      </c>
      <c r="D18" s="40" t="s">
        <v>193</v>
      </c>
      <c r="E18" s="40">
        <v>5</v>
      </c>
      <c r="F18" s="43" t="s">
        <v>45</v>
      </c>
      <c r="G18" s="43" t="s">
        <v>169</v>
      </c>
    </row>
    <row r="19" spans="1:7" x14ac:dyDescent="0.25">
      <c r="A19" s="40">
        <v>14</v>
      </c>
      <c r="B19" s="40" t="s">
        <v>255</v>
      </c>
      <c r="C19" s="40" t="s">
        <v>167</v>
      </c>
      <c r="D19" s="40" t="s">
        <v>181</v>
      </c>
      <c r="E19" s="40">
        <v>4</v>
      </c>
      <c r="F19" s="43" t="s">
        <v>45</v>
      </c>
      <c r="G19" s="43" t="s">
        <v>179</v>
      </c>
    </row>
    <row r="20" spans="1:7" x14ac:dyDescent="0.25">
      <c r="A20" s="40">
        <v>15</v>
      </c>
      <c r="B20" s="40" t="s">
        <v>256</v>
      </c>
      <c r="C20" s="40" t="s">
        <v>168</v>
      </c>
      <c r="D20" s="40" t="s">
        <v>181</v>
      </c>
      <c r="E20" s="40">
        <v>2</v>
      </c>
      <c r="F20" s="43" t="s">
        <v>45</v>
      </c>
      <c r="G20" s="43" t="s">
        <v>179</v>
      </c>
    </row>
    <row r="21" spans="1:7" x14ac:dyDescent="0.25">
      <c r="A21" s="40">
        <v>16</v>
      </c>
      <c r="B21" s="40" t="s">
        <v>257</v>
      </c>
      <c r="C21" s="40" t="s">
        <v>168</v>
      </c>
      <c r="D21" s="40" t="s">
        <v>181</v>
      </c>
      <c r="E21" s="40">
        <v>6</v>
      </c>
      <c r="F21" s="43" t="s">
        <v>45</v>
      </c>
      <c r="G21" s="43" t="s">
        <v>179</v>
      </c>
    </row>
    <row r="22" spans="1:7" x14ac:dyDescent="0.25">
      <c r="A22" s="40">
        <v>17</v>
      </c>
      <c r="B22" s="40" t="s">
        <v>258</v>
      </c>
      <c r="C22" s="40" t="s">
        <v>167</v>
      </c>
      <c r="D22" s="40" t="s">
        <v>198</v>
      </c>
      <c r="E22" s="40">
        <v>5</v>
      </c>
      <c r="F22" s="43" t="s">
        <v>45</v>
      </c>
      <c r="G22" s="43" t="s">
        <v>188</v>
      </c>
    </row>
    <row r="23" spans="1:7" x14ac:dyDescent="0.25">
      <c r="A23" s="40">
        <v>18</v>
      </c>
      <c r="B23" s="40" t="s">
        <v>259</v>
      </c>
      <c r="C23" s="40" t="s">
        <v>168</v>
      </c>
      <c r="D23" s="40" t="s">
        <v>1938</v>
      </c>
      <c r="E23" s="40">
        <v>3</v>
      </c>
      <c r="F23" s="43" t="s">
        <v>45</v>
      </c>
      <c r="G23" s="43" t="s">
        <v>191</v>
      </c>
    </row>
    <row r="24" spans="1:7" x14ac:dyDescent="0.25">
      <c r="A24" s="40">
        <v>19</v>
      </c>
      <c r="B24" s="40" t="s">
        <v>260</v>
      </c>
      <c r="C24" s="40" t="s">
        <v>168</v>
      </c>
      <c r="D24" s="40" t="s">
        <v>172</v>
      </c>
      <c r="E24" s="40">
        <v>7</v>
      </c>
      <c r="F24" s="43" t="s">
        <v>45</v>
      </c>
      <c r="G24" s="43" t="s">
        <v>172</v>
      </c>
    </row>
    <row r="25" spans="1:7" x14ac:dyDescent="0.25">
      <c r="A25" s="40">
        <v>20</v>
      </c>
      <c r="B25" s="40" t="s">
        <v>261</v>
      </c>
      <c r="C25" s="40" t="s">
        <v>168</v>
      </c>
      <c r="D25" s="40" t="s">
        <v>1939</v>
      </c>
      <c r="E25" s="40">
        <v>7</v>
      </c>
      <c r="F25" s="43" t="s">
        <v>45</v>
      </c>
      <c r="G25" s="43" t="s">
        <v>172</v>
      </c>
    </row>
    <row r="26" spans="1:7" x14ac:dyDescent="0.25">
      <c r="A26" s="40">
        <v>21</v>
      </c>
      <c r="B26" s="40" t="s">
        <v>262</v>
      </c>
      <c r="C26" s="40" t="s">
        <v>167</v>
      </c>
      <c r="D26" s="40" t="s">
        <v>1940</v>
      </c>
      <c r="E26" s="40">
        <v>5</v>
      </c>
      <c r="F26" s="43" t="s">
        <v>45</v>
      </c>
      <c r="G26" s="43" t="s">
        <v>1984</v>
      </c>
    </row>
    <row r="27" spans="1:7" x14ac:dyDescent="0.25">
      <c r="A27" s="40">
        <v>22</v>
      </c>
      <c r="B27" s="40" t="s">
        <v>263</v>
      </c>
      <c r="C27" s="40" t="s">
        <v>168</v>
      </c>
      <c r="D27" s="40" t="s">
        <v>1941</v>
      </c>
      <c r="E27" s="40">
        <v>3</v>
      </c>
      <c r="F27" s="43" t="s">
        <v>45</v>
      </c>
      <c r="G27" s="43" t="s">
        <v>1984</v>
      </c>
    </row>
    <row r="28" spans="1:7" x14ac:dyDescent="0.25">
      <c r="A28" s="40">
        <v>23</v>
      </c>
      <c r="B28" s="40" t="s">
        <v>264</v>
      </c>
      <c r="C28" s="40" t="s">
        <v>167</v>
      </c>
      <c r="D28" s="40" t="s">
        <v>198</v>
      </c>
      <c r="E28" s="40">
        <v>2</v>
      </c>
      <c r="F28" s="43" t="s">
        <v>45</v>
      </c>
      <c r="G28" s="43" t="s">
        <v>188</v>
      </c>
    </row>
    <row r="29" spans="1:7" x14ac:dyDescent="0.25">
      <c r="A29" s="40">
        <v>24</v>
      </c>
      <c r="B29" s="40" t="s">
        <v>265</v>
      </c>
      <c r="C29" s="40" t="s">
        <v>167</v>
      </c>
      <c r="D29" s="40" t="s">
        <v>180</v>
      </c>
      <c r="E29" s="40">
        <v>8</v>
      </c>
      <c r="F29" s="43" t="s">
        <v>45</v>
      </c>
      <c r="G29" s="43" t="s">
        <v>186</v>
      </c>
    </row>
    <row r="30" spans="1:7" x14ac:dyDescent="0.25">
      <c r="A30" s="40">
        <v>25</v>
      </c>
      <c r="B30" s="40" t="s">
        <v>266</v>
      </c>
      <c r="C30" s="40" t="s">
        <v>168</v>
      </c>
      <c r="D30" s="40" t="s">
        <v>181</v>
      </c>
      <c r="E30" s="40">
        <v>7</v>
      </c>
      <c r="F30" s="43" t="s">
        <v>45</v>
      </c>
      <c r="G30" s="43" t="s">
        <v>181</v>
      </c>
    </row>
    <row r="31" spans="1:7" x14ac:dyDescent="0.25">
      <c r="A31" s="40">
        <v>26</v>
      </c>
      <c r="B31" s="40" t="s">
        <v>267</v>
      </c>
      <c r="C31" s="40" t="s">
        <v>168</v>
      </c>
      <c r="D31" s="40" t="s">
        <v>1942</v>
      </c>
      <c r="E31" s="40">
        <v>6</v>
      </c>
      <c r="F31" s="43" t="s">
        <v>45</v>
      </c>
      <c r="G31" s="43" t="s">
        <v>184</v>
      </c>
    </row>
    <row r="32" spans="1:7" x14ac:dyDescent="0.25">
      <c r="A32" s="40">
        <v>27</v>
      </c>
      <c r="B32" s="40" t="s">
        <v>268</v>
      </c>
      <c r="C32" s="40" t="s">
        <v>168</v>
      </c>
      <c r="D32" s="40" t="s">
        <v>198</v>
      </c>
      <c r="E32" s="40">
        <v>3</v>
      </c>
      <c r="F32" s="43" t="s">
        <v>51</v>
      </c>
    </row>
    <row r="33" spans="1:7" x14ac:dyDescent="0.25">
      <c r="A33" s="40">
        <v>28</v>
      </c>
      <c r="B33" s="40" t="s">
        <v>269</v>
      </c>
      <c r="C33" s="40" t="s">
        <v>168</v>
      </c>
      <c r="D33" s="40" t="s">
        <v>198</v>
      </c>
      <c r="E33" s="40">
        <v>1</v>
      </c>
      <c r="F33" s="43" t="s">
        <v>51</v>
      </c>
    </row>
    <row r="34" spans="1:7" x14ac:dyDescent="0.25">
      <c r="A34" s="40">
        <v>29</v>
      </c>
      <c r="B34" s="40" t="s">
        <v>270</v>
      </c>
      <c r="C34" s="40" t="s">
        <v>167</v>
      </c>
      <c r="D34" s="40" t="s">
        <v>193</v>
      </c>
      <c r="E34" s="40">
        <v>2</v>
      </c>
      <c r="F34" s="43" t="s">
        <v>45</v>
      </c>
      <c r="G34" s="43" t="s">
        <v>1985</v>
      </c>
    </row>
    <row r="35" spans="1:7" x14ac:dyDescent="0.25">
      <c r="A35" s="40">
        <v>30</v>
      </c>
      <c r="B35" s="40" t="s">
        <v>271</v>
      </c>
      <c r="C35" s="40" t="s">
        <v>168</v>
      </c>
      <c r="D35" s="40" t="s">
        <v>193</v>
      </c>
      <c r="E35" s="40">
        <v>3</v>
      </c>
      <c r="F35" s="43" t="s">
        <v>45</v>
      </c>
      <c r="G35" s="43" t="s">
        <v>1986</v>
      </c>
    </row>
    <row r="36" spans="1:7" x14ac:dyDescent="0.25">
      <c r="A36" s="40">
        <v>31</v>
      </c>
      <c r="B36" s="40" t="s">
        <v>272</v>
      </c>
      <c r="C36" s="40" t="s">
        <v>168</v>
      </c>
      <c r="D36" s="40" t="s">
        <v>193</v>
      </c>
      <c r="E36" s="40">
        <v>5</v>
      </c>
      <c r="F36" s="43" t="s">
        <v>45</v>
      </c>
      <c r="G36" s="43" t="s">
        <v>1986</v>
      </c>
    </row>
    <row r="37" spans="1:7" x14ac:dyDescent="0.25">
      <c r="A37" s="40">
        <v>32</v>
      </c>
      <c r="B37" s="40" t="s">
        <v>273</v>
      </c>
      <c r="C37" s="40" t="s">
        <v>168</v>
      </c>
      <c r="D37" s="40" t="s">
        <v>1943</v>
      </c>
      <c r="E37" s="40">
        <v>5</v>
      </c>
      <c r="F37" s="43" t="s">
        <v>45</v>
      </c>
      <c r="G37" s="43" t="s">
        <v>183</v>
      </c>
    </row>
    <row r="38" spans="1:7" x14ac:dyDescent="0.25">
      <c r="A38" s="40">
        <v>33</v>
      </c>
      <c r="B38" s="40" t="s">
        <v>274</v>
      </c>
      <c r="C38" s="40" t="s">
        <v>167</v>
      </c>
      <c r="D38" s="40" t="s">
        <v>1943</v>
      </c>
      <c r="E38" s="40">
        <v>16</v>
      </c>
      <c r="F38" s="43" t="s">
        <v>45</v>
      </c>
      <c r="G38" s="43" t="s">
        <v>183</v>
      </c>
    </row>
    <row r="39" spans="1:7" x14ac:dyDescent="0.25">
      <c r="A39" s="40">
        <v>34</v>
      </c>
      <c r="B39" s="40" t="s">
        <v>275</v>
      </c>
      <c r="C39" s="40" t="s">
        <v>168</v>
      </c>
      <c r="D39" s="40" t="s">
        <v>198</v>
      </c>
      <c r="E39" s="40">
        <v>7</v>
      </c>
      <c r="F39" s="43" t="s">
        <v>45</v>
      </c>
      <c r="G39" s="43" t="s">
        <v>188</v>
      </c>
    </row>
    <row r="40" spans="1:7" x14ac:dyDescent="0.25">
      <c r="A40" s="40">
        <v>35</v>
      </c>
      <c r="B40" s="40" t="s">
        <v>276</v>
      </c>
      <c r="C40" s="40" t="s">
        <v>168</v>
      </c>
      <c r="D40" s="40" t="s">
        <v>198</v>
      </c>
      <c r="E40" s="40">
        <v>6</v>
      </c>
      <c r="F40" s="43" t="s">
        <v>45</v>
      </c>
      <c r="G40" s="43" t="s">
        <v>188</v>
      </c>
    </row>
    <row r="41" spans="1:7" x14ac:dyDescent="0.25">
      <c r="A41" s="40">
        <v>36</v>
      </c>
      <c r="B41" s="40" t="s">
        <v>277</v>
      </c>
      <c r="C41" s="40" t="s">
        <v>167</v>
      </c>
      <c r="D41" s="40" t="s">
        <v>1944</v>
      </c>
      <c r="E41" s="40">
        <v>6</v>
      </c>
      <c r="F41" s="43" t="s">
        <v>45</v>
      </c>
      <c r="G41" s="43" t="s">
        <v>183</v>
      </c>
    </row>
    <row r="42" spans="1:7" x14ac:dyDescent="0.25">
      <c r="A42" s="40">
        <v>37</v>
      </c>
      <c r="B42" s="40" t="s">
        <v>278</v>
      </c>
      <c r="C42" s="40" t="s">
        <v>167</v>
      </c>
      <c r="D42" s="40" t="s">
        <v>1944</v>
      </c>
      <c r="E42" s="40">
        <v>4</v>
      </c>
      <c r="F42" s="43" t="s">
        <v>45</v>
      </c>
      <c r="G42" s="43" t="s">
        <v>183</v>
      </c>
    </row>
    <row r="43" spans="1:7" x14ac:dyDescent="0.25">
      <c r="A43" s="40">
        <v>38</v>
      </c>
      <c r="B43" s="40" t="s">
        <v>279</v>
      </c>
      <c r="C43" s="40" t="s">
        <v>167</v>
      </c>
      <c r="D43" s="40" t="s">
        <v>1944</v>
      </c>
      <c r="E43" s="40">
        <v>8</v>
      </c>
      <c r="F43" s="43" t="s">
        <v>45</v>
      </c>
      <c r="G43" s="43" t="s">
        <v>183</v>
      </c>
    </row>
    <row r="44" spans="1:7" x14ac:dyDescent="0.25">
      <c r="A44" s="40">
        <v>39</v>
      </c>
      <c r="B44" s="40" t="s">
        <v>280</v>
      </c>
      <c r="C44" s="40" t="s">
        <v>168</v>
      </c>
      <c r="D44" s="40" t="s">
        <v>176</v>
      </c>
      <c r="E44" s="40">
        <v>6</v>
      </c>
      <c r="F44" s="43" t="s">
        <v>45</v>
      </c>
      <c r="G44" s="43" t="s">
        <v>176</v>
      </c>
    </row>
    <row r="45" spans="1:7" x14ac:dyDescent="0.25">
      <c r="A45" s="40">
        <v>40</v>
      </c>
      <c r="B45" s="40" t="s">
        <v>281</v>
      </c>
      <c r="C45" s="40" t="s">
        <v>167</v>
      </c>
      <c r="D45" s="40" t="s">
        <v>172</v>
      </c>
      <c r="E45" s="40">
        <v>4</v>
      </c>
      <c r="F45" s="43" t="s">
        <v>45</v>
      </c>
      <c r="G45" s="43" t="s">
        <v>172</v>
      </c>
    </row>
    <row r="46" spans="1:7" x14ac:dyDescent="0.25">
      <c r="A46" s="40">
        <v>41</v>
      </c>
      <c r="B46" s="40" t="s">
        <v>282</v>
      </c>
      <c r="C46" s="40" t="s">
        <v>167</v>
      </c>
      <c r="D46" s="40" t="s">
        <v>1945</v>
      </c>
      <c r="E46" s="40">
        <v>4</v>
      </c>
      <c r="F46" s="43" t="s">
        <v>45</v>
      </c>
      <c r="G46" s="43" t="s">
        <v>184</v>
      </c>
    </row>
    <row r="47" spans="1:7" x14ac:dyDescent="0.25">
      <c r="A47" s="40">
        <v>42</v>
      </c>
      <c r="B47" s="40" t="s">
        <v>283</v>
      </c>
      <c r="C47" s="40" t="s">
        <v>168</v>
      </c>
      <c r="D47" s="40" t="s">
        <v>186</v>
      </c>
      <c r="E47" s="40">
        <v>5</v>
      </c>
      <c r="F47" s="43" t="s">
        <v>45</v>
      </c>
      <c r="G47" s="43" t="s">
        <v>186</v>
      </c>
    </row>
    <row r="48" spans="1:7" x14ac:dyDescent="0.25">
      <c r="A48" s="40">
        <v>43</v>
      </c>
      <c r="B48" s="40" t="s">
        <v>284</v>
      </c>
      <c r="C48" s="40" t="s">
        <v>167</v>
      </c>
      <c r="D48" s="40" t="s">
        <v>181</v>
      </c>
      <c r="E48" s="40">
        <v>3</v>
      </c>
      <c r="F48" s="43" t="s">
        <v>45</v>
      </c>
      <c r="G48" s="43" t="s">
        <v>181</v>
      </c>
    </row>
    <row r="49" spans="1:7" x14ac:dyDescent="0.25">
      <c r="A49" s="40">
        <v>44</v>
      </c>
      <c r="B49" s="40" t="s">
        <v>285</v>
      </c>
      <c r="C49" s="40" t="s">
        <v>167</v>
      </c>
      <c r="D49" s="40" t="s">
        <v>180</v>
      </c>
      <c r="E49" s="40">
        <v>3</v>
      </c>
      <c r="F49" s="43" t="s">
        <v>45</v>
      </c>
      <c r="G49" s="43" t="s">
        <v>180</v>
      </c>
    </row>
    <row r="50" spans="1:7" x14ac:dyDescent="0.25">
      <c r="A50" s="40">
        <v>45</v>
      </c>
      <c r="B50" s="40" t="s">
        <v>286</v>
      </c>
      <c r="C50" s="40" t="s">
        <v>167</v>
      </c>
      <c r="D50" s="40" t="s">
        <v>193</v>
      </c>
      <c r="E50" s="40">
        <v>4</v>
      </c>
      <c r="F50" s="43" t="s">
        <v>45</v>
      </c>
      <c r="G50" s="43" t="s">
        <v>169</v>
      </c>
    </row>
    <row r="51" spans="1:7" x14ac:dyDescent="0.25">
      <c r="A51" s="40">
        <v>46</v>
      </c>
      <c r="B51" s="40" t="s">
        <v>287</v>
      </c>
      <c r="C51" s="40" t="s">
        <v>168</v>
      </c>
      <c r="D51" s="40" t="s">
        <v>1946</v>
      </c>
      <c r="E51" s="40">
        <v>6</v>
      </c>
      <c r="F51" s="43" t="s">
        <v>45</v>
      </c>
      <c r="G51" s="43" t="s">
        <v>179</v>
      </c>
    </row>
    <row r="52" spans="1:7" x14ac:dyDescent="0.25">
      <c r="A52" s="40">
        <v>47</v>
      </c>
      <c r="B52" s="40" t="s">
        <v>288</v>
      </c>
      <c r="C52" s="40" t="s">
        <v>168</v>
      </c>
      <c r="D52" s="40" t="s">
        <v>178</v>
      </c>
      <c r="E52" s="40">
        <v>16</v>
      </c>
      <c r="F52" s="43" t="s">
        <v>45</v>
      </c>
      <c r="G52" s="43" t="s">
        <v>178</v>
      </c>
    </row>
    <row r="53" spans="1:7" x14ac:dyDescent="0.25">
      <c r="A53" s="40">
        <v>48</v>
      </c>
      <c r="B53" s="40" t="s">
        <v>289</v>
      </c>
      <c r="C53" s="40" t="s">
        <v>168</v>
      </c>
      <c r="D53" s="40" t="s">
        <v>192</v>
      </c>
      <c r="E53" s="40">
        <v>5</v>
      </c>
      <c r="F53" s="43" t="s">
        <v>45</v>
      </c>
      <c r="G53" s="43" t="s">
        <v>192</v>
      </c>
    </row>
    <row r="54" spans="1:7" x14ac:dyDescent="0.25">
      <c r="A54" s="40">
        <v>49</v>
      </c>
      <c r="B54" s="40" t="s">
        <v>290</v>
      </c>
      <c r="C54" s="40" t="s">
        <v>168</v>
      </c>
      <c r="D54" s="40" t="s">
        <v>193</v>
      </c>
      <c r="E54" s="40">
        <v>1</v>
      </c>
      <c r="F54" s="43" t="s">
        <v>51</v>
      </c>
    </row>
    <row r="55" spans="1:7" x14ac:dyDescent="0.25">
      <c r="A55" s="40">
        <v>50</v>
      </c>
      <c r="B55" s="40" t="s">
        <v>291</v>
      </c>
      <c r="C55" s="40" t="s">
        <v>168</v>
      </c>
      <c r="D55" s="40" t="s">
        <v>193</v>
      </c>
      <c r="E55" s="40">
        <v>6</v>
      </c>
      <c r="F55" s="43" t="s">
        <v>45</v>
      </c>
      <c r="G55" s="43" t="s">
        <v>169</v>
      </c>
    </row>
    <row r="56" spans="1:7" x14ac:dyDescent="0.25">
      <c r="A56" s="40">
        <v>51</v>
      </c>
      <c r="B56" s="40" t="s">
        <v>292</v>
      </c>
      <c r="C56" s="40" t="s">
        <v>168</v>
      </c>
      <c r="D56" s="40" t="s">
        <v>193</v>
      </c>
      <c r="E56" s="40">
        <v>1</v>
      </c>
      <c r="F56" s="43" t="s">
        <v>51</v>
      </c>
    </row>
    <row r="57" spans="1:7" x14ac:dyDescent="0.25">
      <c r="A57" s="40">
        <v>52</v>
      </c>
      <c r="B57" s="40" t="s">
        <v>293</v>
      </c>
      <c r="C57" s="40" t="s">
        <v>167</v>
      </c>
      <c r="D57" s="40" t="s">
        <v>193</v>
      </c>
      <c r="E57" s="40">
        <v>2</v>
      </c>
      <c r="F57" s="43" t="s">
        <v>45</v>
      </c>
      <c r="G57" s="43" t="s">
        <v>1986</v>
      </c>
    </row>
    <row r="58" spans="1:7" x14ac:dyDescent="0.25">
      <c r="A58" s="40">
        <v>53</v>
      </c>
      <c r="B58" s="40" t="s">
        <v>294</v>
      </c>
      <c r="C58" s="40" t="s">
        <v>168</v>
      </c>
      <c r="D58" s="40" t="s">
        <v>192</v>
      </c>
      <c r="E58" s="40">
        <v>2</v>
      </c>
      <c r="F58" s="43" t="s">
        <v>45</v>
      </c>
      <c r="G58" s="43" t="s">
        <v>192</v>
      </c>
    </row>
    <row r="59" spans="1:7" x14ac:dyDescent="0.25">
      <c r="A59" s="40">
        <v>54</v>
      </c>
      <c r="B59" s="40" t="s">
        <v>295</v>
      </c>
      <c r="C59" s="40" t="s">
        <v>167</v>
      </c>
      <c r="D59" s="40" t="s">
        <v>1947</v>
      </c>
      <c r="E59" s="40">
        <v>5</v>
      </c>
      <c r="F59" s="43" t="s">
        <v>45</v>
      </c>
      <c r="G59" s="43" t="s">
        <v>169</v>
      </c>
    </row>
    <row r="60" spans="1:7" x14ac:dyDescent="0.25">
      <c r="A60" s="40">
        <v>55</v>
      </c>
      <c r="B60" s="40" t="s">
        <v>296</v>
      </c>
      <c r="C60" s="40" t="s">
        <v>168</v>
      </c>
      <c r="D60" s="40" t="s">
        <v>193</v>
      </c>
      <c r="E60" s="40">
        <v>6</v>
      </c>
      <c r="F60" s="43" t="s">
        <v>45</v>
      </c>
      <c r="G60" s="43" t="s">
        <v>169</v>
      </c>
    </row>
    <row r="61" spans="1:7" x14ac:dyDescent="0.25">
      <c r="A61" s="40">
        <v>56</v>
      </c>
      <c r="B61" s="40" t="s">
        <v>297</v>
      </c>
      <c r="C61" s="40" t="s">
        <v>167</v>
      </c>
      <c r="D61" s="40" t="s">
        <v>176</v>
      </c>
      <c r="E61" s="40">
        <v>6</v>
      </c>
      <c r="F61" s="43" t="s">
        <v>45</v>
      </c>
      <c r="G61" s="43" t="s">
        <v>176</v>
      </c>
    </row>
    <row r="62" spans="1:7" x14ac:dyDescent="0.25">
      <c r="A62" s="40">
        <v>57</v>
      </c>
      <c r="B62" s="40" t="s">
        <v>298</v>
      </c>
      <c r="C62" s="40" t="s">
        <v>167</v>
      </c>
      <c r="D62" s="40" t="s">
        <v>1948</v>
      </c>
      <c r="E62" s="40">
        <v>6</v>
      </c>
      <c r="F62" s="43" t="s">
        <v>45</v>
      </c>
      <c r="G62" s="43" t="s">
        <v>190</v>
      </c>
    </row>
    <row r="63" spans="1:7" x14ac:dyDescent="0.25">
      <c r="A63" s="40">
        <v>58</v>
      </c>
      <c r="B63" s="40" t="s">
        <v>299</v>
      </c>
      <c r="C63" s="40" t="s">
        <v>168</v>
      </c>
      <c r="D63" s="40" t="s">
        <v>1949</v>
      </c>
      <c r="E63" s="40">
        <v>11</v>
      </c>
      <c r="F63" s="43" t="s">
        <v>45</v>
      </c>
      <c r="G63" s="43" t="s">
        <v>191</v>
      </c>
    </row>
    <row r="64" spans="1:7" x14ac:dyDescent="0.25">
      <c r="A64" s="40">
        <v>59</v>
      </c>
      <c r="B64" s="40" t="s">
        <v>300</v>
      </c>
      <c r="C64" s="40" t="s">
        <v>167</v>
      </c>
      <c r="D64" s="40" t="s">
        <v>1949</v>
      </c>
      <c r="E64" s="40">
        <v>3</v>
      </c>
      <c r="F64" s="43" t="s">
        <v>45</v>
      </c>
      <c r="G64" s="43" t="s">
        <v>191</v>
      </c>
    </row>
    <row r="65" spans="1:7" x14ac:dyDescent="0.25">
      <c r="A65" s="40">
        <v>60</v>
      </c>
      <c r="B65" s="40" t="s">
        <v>301</v>
      </c>
      <c r="C65" s="40" t="s">
        <v>167</v>
      </c>
      <c r="D65" s="40" t="s">
        <v>1943</v>
      </c>
      <c r="E65" s="40">
        <v>5</v>
      </c>
      <c r="F65" s="43" t="s">
        <v>45</v>
      </c>
      <c r="G65" s="43" t="s">
        <v>183</v>
      </c>
    </row>
    <row r="66" spans="1:7" x14ac:dyDescent="0.25">
      <c r="A66" s="40">
        <v>61</v>
      </c>
      <c r="B66" s="40" t="s">
        <v>302</v>
      </c>
      <c r="C66" s="40" t="s">
        <v>167</v>
      </c>
      <c r="D66" s="40" t="s">
        <v>1950</v>
      </c>
      <c r="E66" s="40">
        <v>15</v>
      </c>
      <c r="F66" s="43" t="s">
        <v>45</v>
      </c>
      <c r="G66" s="43" t="s">
        <v>183</v>
      </c>
    </row>
    <row r="67" spans="1:7" x14ac:dyDescent="0.25">
      <c r="A67" s="40">
        <v>62</v>
      </c>
      <c r="B67" s="40" t="s">
        <v>303</v>
      </c>
      <c r="C67" s="40" t="s">
        <v>167</v>
      </c>
      <c r="D67" s="40" t="s">
        <v>1949</v>
      </c>
      <c r="E67" s="40">
        <v>6</v>
      </c>
      <c r="F67" s="43" t="s">
        <v>45</v>
      </c>
      <c r="G67" s="43" t="s">
        <v>190</v>
      </c>
    </row>
    <row r="68" spans="1:7" x14ac:dyDescent="0.25">
      <c r="A68" s="40">
        <v>63</v>
      </c>
      <c r="B68" s="40" t="s">
        <v>304</v>
      </c>
      <c r="C68" s="40" t="s">
        <v>167</v>
      </c>
      <c r="D68" s="40" t="s">
        <v>1948</v>
      </c>
      <c r="E68" s="40">
        <v>8</v>
      </c>
      <c r="F68" s="43" t="s">
        <v>45</v>
      </c>
      <c r="G68" s="43" t="s">
        <v>190</v>
      </c>
    </row>
    <row r="69" spans="1:7" x14ac:dyDescent="0.25">
      <c r="A69" s="40">
        <v>64</v>
      </c>
      <c r="B69" s="40" t="s">
        <v>305</v>
      </c>
      <c r="C69" s="40" t="s">
        <v>168</v>
      </c>
      <c r="D69" s="40" t="s">
        <v>1945</v>
      </c>
      <c r="E69" s="40">
        <v>10</v>
      </c>
      <c r="F69" s="43" t="s">
        <v>45</v>
      </c>
      <c r="G69" s="43" t="s">
        <v>184</v>
      </c>
    </row>
    <row r="70" spans="1:7" x14ac:dyDescent="0.25">
      <c r="A70" s="40">
        <v>65</v>
      </c>
      <c r="B70" s="40" t="s">
        <v>306</v>
      </c>
      <c r="C70" s="40" t="s">
        <v>167</v>
      </c>
      <c r="D70" s="40" t="s">
        <v>1945</v>
      </c>
      <c r="E70" s="40">
        <v>3</v>
      </c>
      <c r="F70" s="43" t="s">
        <v>45</v>
      </c>
      <c r="G70" s="43" t="s">
        <v>184</v>
      </c>
    </row>
    <row r="71" spans="1:7" x14ac:dyDescent="0.25">
      <c r="A71" s="40">
        <v>66</v>
      </c>
      <c r="B71" s="40" t="s">
        <v>307</v>
      </c>
      <c r="C71" s="40" t="s">
        <v>167</v>
      </c>
      <c r="D71" s="40" t="s">
        <v>1951</v>
      </c>
      <c r="E71" s="40">
        <v>3</v>
      </c>
      <c r="F71" s="43" t="s">
        <v>45</v>
      </c>
      <c r="G71" s="43" t="s">
        <v>182</v>
      </c>
    </row>
    <row r="72" spans="1:7" x14ac:dyDescent="0.25">
      <c r="A72" s="40">
        <v>67</v>
      </c>
      <c r="B72" s="40" t="s">
        <v>308</v>
      </c>
      <c r="C72" s="40" t="s">
        <v>168</v>
      </c>
      <c r="D72" s="40" t="s">
        <v>1952</v>
      </c>
      <c r="E72" s="40">
        <v>4</v>
      </c>
      <c r="F72" s="43" t="s">
        <v>45</v>
      </c>
      <c r="G72" s="43" t="s">
        <v>184</v>
      </c>
    </row>
    <row r="73" spans="1:7" x14ac:dyDescent="0.25">
      <c r="A73" s="40">
        <v>68</v>
      </c>
      <c r="B73" s="40" t="s">
        <v>309</v>
      </c>
      <c r="C73" s="40" t="s">
        <v>168</v>
      </c>
      <c r="D73" s="40" t="s">
        <v>1938</v>
      </c>
      <c r="E73" s="40">
        <v>7</v>
      </c>
      <c r="F73" s="43" t="s">
        <v>45</v>
      </c>
      <c r="G73" s="43" t="s">
        <v>190</v>
      </c>
    </row>
    <row r="74" spans="1:7" x14ac:dyDescent="0.25">
      <c r="A74" s="40">
        <v>69</v>
      </c>
      <c r="B74" s="40" t="s">
        <v>310</v>
      </c>
      <c r="C74" s="40" t="s">
        <v>167</v>
      </c>
      <c r="D74" s="40" t="s">
        <v>186</v>
      </c>
      <c r="E74" s="40">
        <v>8</v>
      </c>
      <c r="F74" s="43" t="s">
        <v>45</v>
      </c>
      <c r="G74" s="43" t="s">
        <v>186</v>
      </c>
    </row>
    <row r="75" spans="1:7" x14ac:dyDescent="0.25">
      <c r="A75" s="40">
        <v>70</v>
      </c>
      <c r="B75" s="40" t="s">
        <v>311</v>
      </c>
      <c r="C75" s="40" t="s">
        <v>168</v>
      </c>
      <c r="D75" s="40" t="s">
        <v>1945</v>
      </c>
      <c r="E75" s="40">
        <v>9</v>
      </c>
      <c r="F75" s="43" t="s">
        <v>45</v>
      </c>
      <c r="G75" s="43" t="s">
        <v>184</v>
      </c>
    </row>
    <row r="76" spans="1:7" x14ac:dyDescent="0.25">
      <c r="A76" s="40">
        <v>71</v>
      </c>
      <c r="B76" s="40" t="s">
        <v>312</v>
      </c>
      <c r="C76" s="40" t="s">
        <v>167</v>
      </c>
      <c r="D76" s="40" t="s">
        <v>1950</v>
      </c>
      <c r="E76" s="40">
        <v>4</v>
      </c>
      <c r="F76" s="43" t="s">
        <v>45</v>
      </c>
      <c r="G76" s="43" t="s">
        <v>183</v>
      </c>
    </row>
    <row r="77" spans="1:7" x14ac:dyDescent="0.25">
      <c r="A77" s="40">
        <v>72</v>
      </c>
      <c r="B77" s="40" t="s">
        <v>313</v>
      </c>
      <c r="C77" s="40" t="s">
        <v>168</v>
      </c>
      <c r="D77" s="40" t="s">
        <v>1953</v>
      </c>
      <c r="E77" s="40">
        <v>7</v>
      </c>
      <c r="F77" s="43" t="s">
        <v>45</v>
      </c>
      <c r="G77" s="43" t="s">
        <v>186</v>
      </c>
    </row>
    <row r="78" spans="1:7" x14ac:dyDescent="0.25">
      <c r="A78" s="40">
        <v>73</v>
      </c>
      <c r="B78" s="40" t="s">
        <v>314</v>
      </c>
      <c r="C78" s="40" t="s">
        <v>167</v>
      </c>
      <c r="D78" s="40" t="s">
        <v>1952</v>
      </c>
      <c r="E78" s="40">
        <v>6</v>
      </c>
      <c r="F78" s="43" t="s">
        <v>45</v>
      </c>
      <c r="G78" s="43" t="s">
        <v>184</v>
      </c>
    </row>
    <row r="79" spans="1:7" x14ac:dyDescent="0.25">
      <c r="A79" s="40">
        <v>74</v>
      </c>
      <c r="B79" s="40" t="s">
        <v>315</v>
      </c>
      <c r="C79" s="40" t="s">
        <v>168</v>
      </c>
      <c r="D79" s="40" t="s">
        <v>1945</v>
      </c>
      <c r="E79" s="40">
        <v>9</v>
      </c>
      <c r="F79" s="43" t="s">
        <v>45</v>
      </c>
      <c r="G79" s="43" t="s">
        <v>184</v>
      </c>
    </row>
    <row r="80" spans="1:7" x14ac:dyDescent="0.25">
      <c r="A80" s="40">
        <v>75</v>
      </c>
      <c r="B80" s="40" t="s">
        <v>316</v>
      </c>
      <c r="C80" s="40" t="s">
        <v>168</v>
      </c>
      <c r="D80" s="40" t="s">
        <v>1945</v>
      </c>
      <c r="E80" s="40">
        <v>3</v>
      </c>
      <c r="F80" s="43" t="s">
        <v>45</v>
      </c>
      <c r="G80" s="43" t="s">
        <v>184</v>
      </c>
    </row>
    <row r="81" spans="1:7" x14ac:dyDescent="0.25">
      <c r="A81" s="40">
        <v>76</v>
      </c>
      <c r="B81" s="40" t="s">
        <v>317</v>
      </c>
      <c r="C81" s="40" t="s">
        <v>168</v>
      </c>
      <c r="D81" s="40" t="s">
        <v>1945</v>
      </c>
      <c r="E81" s="40">
        <v>5</v>
      </c>
      <c r="F81" s="43" t="s">
        <v>45</v>
      </c>
      <c r="G81" s="43" t="s">
        <v>184</v>
      </c>
    </row>
    <row r="82" spans="1:7" x14ac:dyDescent="0.25">
      <c r="A82" s="40">
        <v>77</v>
      </c>
      <c r="B82" s="40" t="s">
        <v>318</v>
      </c>
      <c r="C82" s="40" t="s">
        <v>167</v>
      </c>
      <c r="D82" s="40" t="s">
        <v>180</v>
      </c>
      <c r="E82" s="40">
        <v>2</v>
      </c>
      <c r="F82" s="43" t="s">
        <v>45</v>
      </c>
      <c r="G82" s="43" t="s">
        <v>180</v>
      </c>
    </row>
    <row r="83" spans="1:7" x14ac:dyDescent="0.25">
      <c r="A83" s="40">
        <v>78</v>
      </c>
      <c r="B83" s="40" t="s">
        <v>319</v>
      </c>
      <c r="C83" s="40" t="s">
        <v>168</v>
      </c>
      <c r="D83" s="40" t="s">
        <v>1938</v>
      </c>
      <c r="E83" s="40">
        <v>9</v>
      </c>
      <c r="F83" s="43" t="s">
        <v>45</v>
      </c>
      <c r="G83" s="43" t="s">
        <v>191</v>
      </c>
    </row>
    <row r="84" spans="1:7" x14ac:dyDescent="0.25">
      <c r="A84" s="40">
        <v>79</v>
      </c>
      <c r="B84" s="40" t="s">
        <v>320</v>
      </c>
      <c r="C84" s="40" t="s">
        <v>168</v>
      </c>
      <c r="D84" s="40" t="s">
        <v>1954</v>
      </c>
      <c r="E84" s="40">
        <v>10</v>
      </c>
      <c r="F84" s="43" t="s">
        <v>45</v>
      </c>
      <c r="G84" s="43" t="s">
        <v>2006</v>
      </c>
    </row>
    <row r="85" spans="1:7" x14ac:dyDescent="0.25">
      <c r="A85" s="40">
        <v>80</v>
      </c>
      <c r="B85" s="40" t="s">
        <v>321</v>
      </c>
      <c r="C85" s="40" t="s">
        <v>167</v>
      </c>
      <c r="D85" s="40" t="s">
        <v>1955</v>
      </c>
      <c r="E85" s="40">
        <v>5</v>
      </c>
      <c r="F85" s="43" t="s">
        <v>45</v>
      </c>
      <c r="G85" s="43" t="s">
        <v>183</v>
      </c>
    </row>
    <row r="86" spans="1:7" x14ac:dyDescent="0.25">
      <c r="A86" s="40">
        <v>81</v>
      </c>
      <c r="B86" s="40" t="s">
        <v>322</v>
      </c>
      <c r="C86" s="40" t="s">
        <v>168</v>
      </c>
      <c r="D86" s="40" t="s">
        <v>192</v>
      </c>
      <c r="E86" s="40">
        <v>3</v>
      </c>
      <c r="F86" s="43" t="s">
        <v>45</v>
      </c>
      <c r="G86" s="43" t="s">
        <v>192</v>
      </c>
    </row>
    <row r="87" spans="1:7" x14ac:dyDescent="0.25">
      <c r="A87" s="40">
        <v>82</v>
      </c>
      <c r="B87" s="40" t="s">
        <v>323</v>
      </c>
      <c r="C87" s="40" t="s">
        <v>167</v>
      </c>
      <c r="D87" s="40" t="s">
        <v>193</v>
      </c>
      <c r="E87" s="40">
        <v>6</v>
      </c>
      <c r="F87" s="43" t="s">
        <v>45</v>
      </c>
      <c r="G87" s="43" t="s">
        <v>1986</v>
      </c>
    </row>
    <row r="88" spans="1:7" x14ac:dyDescent="0.25">
      <c r="A88" s="40">
        <v>83</v>
      </c>
      <c r="B88" s="40" t="s">
        <v>324</v>
      </c>
      <c r="C88" s="40" t="s">
        <v>168</v>
      </c>
      <c r="D88" s="40" t="s">
        <v>180</v>
      </c>
      <c r="E88" s="40">
        <v>2</v>
      </c>
      <c r="F88" s="43" t="s">
        <v>45</v>
      </c>
      <c r="G88" s="43" t="s">
        <v>180</v>
      </c>
    </row>
    <row r="89" spans="1:7" x14ac:dyDescent="0.25">
      <c r="A89" s="40">
        <v>84</v>
      </c>
      <c r="B89" s="40" t="s">
        <v>325</v>
      </c>
      <c r="C89" s="40" t="s">
        <v>167</v>
      </c>
      <c r="D89" s="40" t="s">
        <v>181</v>
      </c>
      <c r="E89" s="40">
        <v>6</v>
      </c>
      <c r="F89" s="43" t="s">
        <v>45</v>
      </c>
      <c r="G89" s="43" t="s">
        <v>181</v>
      </c>
    </row>
    <row r="90" spans="1:7" x14ac:dyDescent="0.25">
      <c r="A90" s="40">
        <v>85</v>
      </c>
      <c r="B90" s="40" t="s">
        <v>326</v>
      </c>
      <c r="C90" s="40" t="s">
        <v>168</v>
      </c>
      <c r="D90" s="40" t="s">
        <v>1956</v>
      </c>
      <c r="E90" s="40">
        <v>4</v>
      </c>
      <c r="F90" s="43" t="s">
        <v>45</v>
      </c>
      <c r="G90" s="43" t="s">
        <v>1984</v>
      </c>
    </row>
    <row r="91" spans="1:7" x14ac:dyDescent="0.25">
      <c r="A91" s="40">
        <v>86</v>
      </c>
      <c r="B91" s="40" t="s">
        <v>327</v>
      </c>
      <c r="C91" s="40" t="s">
        <v>167</v>
      </c>
      <c r="D91" s="40" t="s">
        <v>198</v>
      </c>
      <c r="E91" s="40">
        <v>8</v>
      </c>
      <c r="F91" s="43" t="s">
        <v>45</v>
      </c>
      <c r="G91" s="43" t="s">
        <v>188</v>
      </c>
    </row>
    <row r="92" spans="1:7" x14ac:dyDescent="0.25">
      <c r="A92" s="40">
        <v>87</v>
      </c>
      <c r="B92" s="40" t="s">
        <v>328</v>
      </c>
      <c r="C92" s="40" t="s">
        <v>168</v>
      </c>
      <c r="D92" s="40" t="s">
        <v>180</v>
      </c>
      <c r="E92" s="40">
        <v>9</v>
      </c>
      <c r="F92" s="43" t="s">
        <v>45</v>
      </c>
      <c r="G92" s="43" t="s">
        <v>180</v>
      </c>
    </row>
    <row r="93" spans="1:7" x14ac:dyDescent="0.25">
      <c r="A93" s="40">
        <v>88</v>
      </c>
      <c r="B93" s="40" t="s">
        <v>329</v>
      </c>
      <c r="C93" s="40" t="s">
        <v>168</v>
      </c>
      <c r="D93" s="40" t="s">
        <v>178</v>
      </c>
      <c r="E93" s="40">
        <v>13</v>
      </c>
      <c r="F93" s="43" t="s">
        <v>45</v>
      </c>
      <c r="G93" s="43" t="s">
        <v>178</v>
      </c>
    </row>
    <row r="94" spans="1:7" x14ac:dyDescent="0.25">
      <c r="A94" s="40">
        <v>89</v>
      </c>
      <c r="B94" s="40" t="s">
        <v>330</v>
      </c>
      <c r="C94" s="40" t="s">
        <v>168</v>
      </c>
      <c r="D94" s="40" t="s">
        <v>178</v>
      </c>
      <c r="E94" s="40">
        <v>7</v>
      </c>
      <c r="F94" s="43" t="s">
        <v>45</v>
      </c>
      <c r="G94" s="43" t="s">
        <v>178</v>
      </c>
    </row>
    <row r="95" spans="1:7" x14ac:dyDescent="0.25">
      <c r="A95" s="40">
        <v>90</v>
      </c>
      <c r="B95" s="40" t="s">
        <v>331</v>
      </c>
      <c r="C95" s="40" t="s">
        <v>167</v>
      </c>
      <c r="D95" s="40" t="s">
        <v>181</v>
      </c>
      <c r="E95" s="40">
        <v>7</v>
      </c>
      <c r="F95" s="43" t="s">
        <v>45</v>
      </c>
      <c r="G95" s="43" t="s">
        <v>181</v>
      </c>
    </row>
    <row r="96" spans="1:7" x14ac:dyDescent="0.25">
      <c r="A96" s="40">
        <v>91</v>
      </c>
      <c r="B96" s="40" t="s">
        <v>332</v>
      </c>
      <c r="C96" s="40" t="s">
        <v>167</v>
      </c>
      <c r="D96" s="40" t="s">
        <v>186</v>
      </c>
      <c r="E96" s="40">
        <v>7</v>
      </c>
      <c r="F96" s="43" t="s">
        <v>45</v>
      </c>
      <c r="G96" s="43" t="s">
        <v>186</v>
      </c>
    </row>
    <row r="97" spans="1:7" x14ac:dyDescent="0.25">
      <c r="A97" s="40">
        <v>92</v>
      </c>
      <c r="B97" s="40" t="s">
        <v>333</v>
      </c>
      <c r="C97" s="40" t="s">
        <v>167</v>
      </c>
      <c r="D97" s="40" t="s">
        <v>193</v>
      </c>
      <c r="E97" s="40">
        <v>5</v>
      </c>
      <c r="F97" s="43" t="s">
        <v>45</v>
      </c>
      <c r="G97" s="43" t="s">
        <v>169</v>
      </c>
    </row>
    <row r="98" spans="1:7" x14ac:dyDescent="0.25">
      <c r="A98" s="40">
        <v>93</v>
      </c>
      <c r="B98" s="40" t="s">
        <v>334</v>
      </c>
      <c r="C98" s="40" t="s">
        <v>167</v>
      </c>
      <c r="D98" s="40" t="s">
        <v>1957</v>
      </c>
      <c r="E98" s="40">
        <v>5</v>
      </c>
      <c r="F98" s="43" t="s">
        <v>45</v>
      </c>
      <c r="G98" s="43" t="s">
        <v>169</v>
      </c>
    </row>
    <row r="99" spans="1:7" x14ac:dyDescent="0.25">
      <c r="A99" s="40">
        <v>94</v>
      </c>
      <c r="B99" s="40" t="s">
        <v>335</v>
      </c>
      <c r="C99" s="40" t="s">
        <v>167</v>
      </c>
      <c r="D99" s="40" t="s">
        <v>1951</v>
      </c>
      <c r="E99" s="40">
        <v>3</v>
      </c>
      <c r="F99" s="43" t="s">
        <v>45</v>
      </c>
      <c r="G99" s="43" t="s">
        <v>185</v>
      </c>
    </row>
    <row r="100" spans="1:7" x14ac:dyDescent="0.25">
      <c r="A100" s="40">
        <v>95</v>
      </c>
      <c r="B100" s="40" t="s">
        <v>336</v>
      </c>
      <c r="C100" s="40" t="s">
        <v>168</v>
      </c>
      <c r="D100" s="40" t="s">
        <v>193</v>
      </c>
      <c r="E100" s="40">
        <v>6</v>
      </c>
      <c r="F100" s="43" t="s">
        <v>45</v>
      </c>
      <c r="G100" s="43" t="s">
        <v>1985</v>
      </c>
    </row>
    <row r="101" spans="1:7" x14ac:dyDescent="0.25">
      <c r="A101" s="40">
        <v>96</v>
      </c>
      <c r="B101" s="40" t="s">
        <v>337</v>
      </c>
      <c r="C101" s="40" t="s">
        <v>167</v>
      </c>
      <c r="D101" s="40" t="s">
        <v>180</v>
      </c>
      <c r="E101" s="40">
        <v>9</v>
      </c>
      <c r="F101" s="43" t="s">
        <v>45</v>
      </c>
      <c r="G101" s="43" t="s">
        <v>180</v>
      </c>
    </row>
    <row r="102" spans="1:7" x14ac:dyDescent="0.25">
      <c r="A102" s="40">
        <v>97</v>
      </c>
      <c r="B102" s="40" t="s">
        <v>338</v>
      </c>
      <c r="C102" s="40" t="s">
        <v>167</v>
      </c>
      <c r="D102" s="40" t="s">
        <v>2007</v>
      </c>
      <c r="E102" s="40">
        <v>1</v>
      </c>
      <c r="F102" s="43" t="s">
        <v>45</v>
      </c>
      <c r="G102" s="43" t="s">
        <v>179</v>
      </c>
    </row>
    <row r="103" spans="1:7" x14ac:dyDescent="0.25">
      <c r="A103" s="40">
        <v>98</v>
      </c>
      <c r="B103" s="40" t="s">
        <v>339</v>
      </c>
      <c r="C103" s="40" t="s">
        <v>167</v>
      </c>
      <c r="D103" s="40" t="s">
        <v>192</v>
      </c>
      <c r="E103" s="40">
        <v>1</v>
      </c>
      <c r="F103" s="43" t="s">
        <v>45</v>
      </c>
      <c r="G103" s="43" t="s">
        <v>192</v>
      </c>
    </row>
    <row r="104" spans="1:7" x14ac:dyDescent="0.25">
      <c r="A104" s="40">
        <v>99</v>
      </c>
      <c r="B104" s="40" t="s">
        <v>340</v>
      </c>
      <c r="C104" s="40" t="s">
        <v>168</v>
      </c>
      <c r="D104" s="40" t="s">
        <v>1940</v>
      </c>
      <c r="E104" s="40">
        <v>5</v>
      </c>
      <c r="F104" s="43" t="s">
        <v>51</v>
      </c>
    </row>
    <row r="105" spans="1:7" x14ac:dyDescent="0.25">
      <c r="A105" s="40">
        <v>100</v>
      </c>
      <c r="B105" s="40" t="s">
        <v>341</v>
      </c>
      <c r="C105" s="40" t="s">
        <v>168</v>
      </c>
      <c r="D105" s="40" t="s">
        <v>193</v>
      </c>
      <c r="E105" s="40">
        <v>4</v>
      </c>
      <c r="F105" s="43" t="s">
        <v>45</v>
      </c>
      <c r="G105" s="43" t="s">
        <v>169</v>
      </c>
    </row>
    <row r="106" spans="1:7" x14ac:dyDescent="0.25">
      <c r="A106" s="40">
        <v>101</v>
      </c>
      <c r="B106" s="40" t="s">
        <v>342</v>
      </c>
      <c r="C106" s="40" t="s">
        <v>167</v>
      </c>
      <c r="D106" s="40" t="s">
        <v>2007</v>
      </c>
      <c r="E106" s="40">
        <v>3</v>
      </c>
      <c r="F106" s="43" t="s">
        <v>45</v>
      </c>
      <c r="G106" s="43" t="s">
        <v>179</v>
      </c>
    </row>
    <row r="107" spans="1:7" x14ac:dyDescent="0.25">
      <c r="A107" s="40">
        <v>102</v>
      </c>
      <c r="B107" s="40" t="s">
        <v>343</v>
      </c>
      <c r="C107" s="40" t="s">
        <v>167</v>
      </c>
      <c r="D107" s="40" t="s">
        <v>2007</v>
      </c>
      <c r="E107" s="40">
        <v>6</v>
      </c>
      <c r="F107" s="43" t="s">
        <v>45</v>
      </c>
      <c r="G107" s="43" t="s">
        <v>179</v>
      </c>
    </row>
    <row r="108" spans="1:7" x14ac:dyDescent="0.25">
      <c r="A108" s="40">
        <v>103</v>
      </c>
      <c r="B108" s="40" t="s">
        <v>344</v>
      </c>
      <c r="C108" s="40" t="s">
        <v>167</v>
      </c>
      <c r="D108" s="40" t="s">
        <v>1958</v>
      </c>
      <c r="E108" s="40">
        <v>5</v>
      </c>
      <c r="F108" s="43" t="s">
        <v>45</v>
      </c>
      <c r="G108" s="43" t="s">
        <v>190</v>
      </c>
    </row>
    <row r="109" spans="1:7" x14ac:dyDescent="0.25">
      <c r="A109" s="40">
        <v>104</v>
      </c>
      <c r="B109" s="40" t="s">
        <v>345</v>
      </c>
      <c r="C109" s="40" t="s">
        <v>168</v>
      </c>
      <c r="D109" s="40" t="s">
        <v>192</v>
      </c>
      <c r="E109" s="40">
        <v>1</v>
      </c>
      <c r="F109" s="43" t="s">
        <v>45</v>
      </c>
      <c r="G109" s="43" t="s">
        <v>192</v>
      </c>
    </row>
    <row r="110" spans="1:7" x14ac:dyDescent="0.25">
      <c r="A110" s="40">
        <v>105</v>
      </c>
      <c r="B110" s="40" t="s">
        <v>346</v>
      </c>
      <c r="C110" s="40" t="s">
        <v>168</v>
      </c>
      <c r="D110" s="40" t="s">
        <v>2007</v>
      </c>
      <c r="E110" s="40">
        <v>6</v>
      </c>
      <c r="F110" s="43" t="s">
        <v>45</v>
      </c>
      <c r="G110" s="43" t="s">
        <v>179</v>
      </c>
    </row>
    <row r="111" spans="1:7" x14ac:dyDescent="0.25">
      <c r="A111" s="40">
        <v>106</v>
      </c>
      <c r="B111" s="40" t="s">
        <v>347</v>
      </c>
      <c r="C111" s="40" t="s">
        <v>168</v>
      </c>
      <c r="D111" s="40" t="s">
        <v>1940</v>
      </c>
      <c r="E111" s="40">
        <v>2</v>
      </c>
      <c r="F111" s="43" t="s">
        <v>51</v>
      </c>
    </row>
    <row r="112" spans="1:7" x14ac:dyDescent="0.25">
      <c r="A112" s="40">
        <v>107</v>
      </c>
      <c r="B112" s="40" t="s">
        <v>348</v>
      </c>
      <c r="C112" s="40" t="s">
        <v>167</v>
      </c>
      <c r="D112" s="40" t="s">
        <v>2007</v>
      </c>
      <c r="E112" s="40">
        <v>7</v>
      </c>
      <c r="F112" s="43" t="s">
        <v>45</v>
      </c>
      <c r="G112" s="43" t="s">
        <v>179</v>
      </c>
    </row>
    <row r="113" spans="1:7" x14ac:dyDescent="0.25">
      <c r="A113" s="40">
        <v>108</v>
      </c>
      <c r="B113" s="40" t="s">
        <v>349</v>
      </c>
      <c r="C113" s="40" t="s">
        <v>168</v>
      </c>
      <c r="D113" s="40" t="s">
        <v>181</v>
      </c>
      <c r="E113" s="40">
        <v>1</v>
      </c>
      <c r="F113" s="43" t="s">
        <v>45</v>
      </c>
      <c r="G113" s="43" t="s">
        <v>179</v>
      </c>
    </row>
    <row r="114" spans="1:7" x14ac:dyDescent="0.25">
      <c r="A114" s="40">
        <v>109</v>
      </c>
      <c r="B114" s="40" t="s">
        <v>350</v>
      </c>
      <c r="C114" s="40" t="s">
        <v>168</v>
      </c>
      <c r="D114" s="40" t="s">
        <v>198</v>
      </c>
      <c r="E114" s="40">
        <v>1</v>
      </c>
      <c r="F114" s="43" t="s">
        <v>45</v>
      </c>
      <c r="G114" s="43" t="s">
        <v>187</v>
      </c>
    </row>
    <row r="115" spans="1:7" x14ac:dyDescent="0.25">
      <c r="A115" s="40">
        <v>110</v>
      </c>
      <c r="B115" s="40" t="s">
        <v>351</v>
      </c>
      <c r="C115" s="40" t="s">
        <v>167</v>
      </c>
      <c r="D115" s="40" t="s">
        <v>198</v>
      </c>
      <c r="E115" s="40">
        <v>2</v>
      </c>
      <c r="F115" s="43" t="s">
        <v>45</v>
      </c>
      <c r="G115" s="43" t="s">
        <v>187</v>
      </c>
    </row>
    <row r="116" spans="1:7" x14ac:dyDescent="0.25">
      <c r="A116" s="40">
        <v>111</v>
      </c>
      <c r="B116" s="40" t="s">
        <v>352</v>
      </c>
      <c r="C116" s="40" t="s">
        <v>167</v>
      </c>
      <c r="D116" s="40" t="s">
        <v>193</v>
      </c>
      <c r="E116" s="40">
        <v>2</v>
      </c>
      <c r="F116" s="43" t="s">
        <v>45</v>
      </c>
      <c r="G116" s="43" t="s">
        <v>169</v>
      </c>
    </row>
    <row r="117" spans="1:7" x14ac:dyDescent="0.25">
      <c r="A117" s="40">
        <v>112</v>
      </c>
      <c r="B117" s="40" t="s">
        <v>353</v>
      </c>
      <c r="C117" s="40" t="s">
        <v>168</v>
      </c>
      <c r="D117" s="40" t="s">
        <v>193</v>
      </c>
      <c r="E117" s="40">
        <v>6</v>
      </c>
      <c r="F117" s="43" t="s">
        <v>45</v>
      </c>
      <c r="G117" s="43" t="s">
        <v>169</v>
      </c>
    </row>
    <row r="118" spans="1:7" x14ac:dyDescent="0.25">
      <c r="A118" s="40">
        <v>113</v>
      </c>
      <c r="B118" s="40" t="s">
        <v>354</v>
      </c>
      <c r="C118" s="40" t="s">
        <v>168</v>
      </c>
      <c r="D118" s="40" t="s">
        <v>198</v>
      </c>
      <c r="E118" s="40">
        <v>7</v>
      </c>
      <c r="F118" s="43" t="s">
        <v>45</v>
      </c>
      <c r="G118" s="43" t="s">
        <v>188</v>
      </c>
    </row>
    <row r="119" spans="1:7" x14ac:dyDescent="0.25">
      <c r="A119" s="40">
        <v>114</v>
      </c>
      <c r="B119" s="40" t="s">
        <v>355</v>
      </c>
      <c r="C119" s="40" t="s">
        <v>168</v>
      </c>
      <c r="D119" s="40" t="s">
        <v>193</v>
      </c>
      <c r="E119" s="40">
        <v>4</v>
      </c>
      <c r="F119" s="43" t="s">
        <v>45</v>
      </c>
      <c r="G119" s="43" t="s">
        <v>1985</v>
      </c>
    </row>
    <row r="120" spans="1:7" x14ac:dyDescent="0.25">
      <c r="A120" s="40">
        <v>115</v>
      </c>
      <c r="B120" s="40" t="s">
        <v>356</v>
      </c>
      <c r="C120" s="40" t="s">
        <v>168</v>
      </c>
      <c r="D120" s="40" t="s">
        <v>193</v>
      </c>
      <c r="E120" s="40">
        <v>3</v>
      </c>
      <c r="F120" s="43" t="s">
        <v>45</v>
      </c>
      <c r="G120" s="43" t="s">
        <v>169</v>
      </c>
    </row>
    <row r="121" spans="1:7" x14ac:dyDescent="0.25">
      <c r="A121" s="40">
        <v>116</v>
      </c>
      <c r="B121" s="40" t="s">
        <v>357</v>
      </c>
      <c r="C121" s="40" t="s">
        <v>168</v>
      </c>
      <c r="D121" s="40" t="s">
        <v>193</v>
      </c>
      <c r="E121" s="40">
        <v>1</v>
      </c>
      <c r="F121" s="43" t="s">
        <v>45</v>
      </c>
      <c r="G121" s="43" t="s">
        <v>1986</v>
      </c>
    </row>
    <row r="122" spans="1:7" x14ac:dyDescent="0.25">
      <c r="A122" s="40">
        <v>117</v>
      </c>
      <c r="B122" s="40" t="s">
        <v>358</v>
      </c>
      <c r="C122" s="40" t="s">
        <v>168</v>
      </c>
      <c r="D122" s="40" t="s">
        <v>193</v>
      </c>
      <c r="E122" s="40">
        <v>5</v>
      </c>
      <c r="F122" s="43" t="s">
        <v>45</v>
      </c>
      <c r="G122" s="43" t="s">
        <v>169</v>
      </c>
    </row>
    <row r="123" spans="1:7" x14ac:dyDescent="0.25">
      <c r="A123" s="40">
        <v>118</v>
      </c>
      <c r="B123" s="40" t="s">
        <v>359</v>
      </c>
      <c r="C123" s="40" t="s">
        <v>168</v>
      </c>
      <c r="D123" s="40" t="s">
        <v>193</v>
      </c>
      <c r="E123" s="40">
        <v>1</v>
      </c>
      <c r="F123" s="43" t="s">
        <v>45</v>
      </c>
      <c r="G123" s="43" t="s">
        <v>169</v>
      </c>
    </row>
    <row r="124" spans="1:7" x14ac:dyDescent="0.25">
      <c r="A124" s="40">
        <v>119</v>
      </c>
      <c r="B124" s="40" t="s">
        <v>360</v>
      </c>
      <c r="C124" s="40" t="s">
        <v>168</v>
      </c>
      <c r="D124" s="40" t="s">
        <v>193</v>
      </c>
      <c r="E124" s="40">
        <v>7</v>
      </c>
      <c r="F124" s="43" t="s">
        <v>51</v>
      </c>
    </row>
    <row r="125" spans="1:7" x14ac:dyDescent="0.25">
      <c r="A125" s="40">
        <v>120</v>
      </c>
      <c r="B125" s="40" t="s">
        <v>361</v>
      </c>
      <c r="C125" s="40" t="s">
        <v>167</v>
      </c>
      <c r="D125" s="40" t="s">
        <v>193</v>
      </c>
      <c r="E125" s="40">
        <v>6</v>
      </c>
      <c r="F125" s="43" t="s">
        <v>45</v>
      </c>
      <c r="G125" s="43" t="s">
        <v>1986</v>
      </c>
    </row>
    <row r="126" spans="1:7" x14ac:dyDescent="0.25">
      <c r="A126" s="40">
        <v>121</v>
      </c>
      <c r="B126" s="40" t="s">
        <v>362</v>
      </c>
      <c r="C126" s="40" t="s">
        <v>167</v>
      </c>
      <c r="D126" s="40" t="s">
        <v>193</v>
      </c>
      <c r="E126" s="40">
        <v>6</v>
      </c>
      <c r="F126" s="43" t="s">
        <v>45</v>
      </c>
      <c r="G126" s="43" t="s">
        <v>1985</v>
      </c>
    </row>
    <row r="127" spans="1:7" x14ac:dyDescent="0.25">
      <c r="A127" s="40">
        <v>122</v>
      </c>
      <c r="B127" s="40" t="s">
        <v>363</v>
      </c>
      <c r="C127" s="40" t="s">
        <v>168</v>
      </c>
      <c r="D127" s="40" t="s">
        <v>172</v>
      </c>
      <c r="E127" s="40">
        <v>1</v>
      </c>
      <c r="F127" s="43" t="s">
        <v>45</v>
      </c>
      <c r="G127" s="43" t="s">
        <v>172</v>
      </c>
    </row>
    <row r="128" spans="1:7" x14ac:dyDescent="0.25">
      <c r="A128" s="40">
        <v>123</v>
      </c>
      <c r="B128" s="40" t="s">
        <v>364</v>
      </c>
      <c r="C128" s="40" t="s">
        <v>167</v>
      </c>
      <c r="D128" s="40" t="s">
        <v>1940</v>
      </c>
      <c r="E128" s="40">
        <v>2</v>
      </c>
      <c r="F128" s="43" t="s">
        <v>51</v>
      </c>
    </row>
    <row r="129" spans="1:7" x14ac:dyDescent="0.25">
      <c r="A129" s="40">
        <v>124</v>
      </c>
      <c r="B129" s="40" t="s">
        <v>365</v>
      </c>
      <c r="C129" s="40" t="s">
        <v>168</v>
      </c>
      <c r="D129" s="40" t="s">
        <v>198</v>
      </c>
      <c r="E129" s="40">
        <v>1</v>
      </c>
      <c r="F129" s="43" t="s">
        <v>45</v>
      </c>
      <c r="G129" s="43" t="s">
        <v>187</v>
      </c>
    </row>
    <row r="130" spans="1:7" x14ac:dyDescent="0.25">
      <c r="A130" s="40">
        <v>125</v>
      </c>
      <c r="B130" s="40" t="s">
        <v>366</v>
      </c>
      <c r="C130" s="40" t="s">
        <v>167</v>
      </c>
      <c r="D130" s="40" t="s">
        <v>178</v>
      </c>
      <c r="E130" s="40">
        <v>8</v>
      </c>
      <c r="F130" s="43" t="s">
        <v>45</v>
      </c>
      <c r="G130" s="43" t="s">
        <v>178</v>
      </c>
    </row>
    <row r="131" spans="1:7" x14ac:dyDescent="0.25">
      <c r="A131" s="40">
        <v>126</v>
      </c>
      <c r="B131" s="40" t="s">
        <v>367</v>
      </c>
      <c r="C131" s="40" t="s">
        <v>168</v>
      </c>
      <c r="D131" s="40" t="s">
        <v>1940</v>
      </c>
      <c r="E131" s="40">
        <v>5</v>
      </c>
      <c r="F131" s="43" t="s">
        <v>51</v>
      </c>
    </row>
    <row r="132" spans="1:7" x14ac:dyDescent="0.25">
      <c r="A132" s="40">
        <v>127</v>
      </c>
      <c r="B132" s="40" t="s">
        <v>368</v>
      </c>
      <c r="C132" s="40" t="s">
        <v>168</v>
      </c>
      <c r="D132" s="40" t="s">
        <v>192</v>
      </c>
      <c r="E132" s="40">
        <v>2</v>
      </c>
      <c r="F132" s="43" t="s">
        <v>45</v>
      </c>
      <c r="G132" s="43" t="s">
        <v>192</v>
      </c>
    </row>
    <row r="133" spans="1:7" x14ac:dyDescent="0.25">
      <c r="A133" s="40">
        <v>128</v>
      </c>
      <c r="B133" s="40" t="s">
        <v>369</v>
      </c>
      <c r="C133" s="40" t="s">
        <v>168</v>
      </c>
      <c r="D133" s="40" t="s">
        <v>192</v>
      </c>
      <c r="E133" s="40">
        <v>4</v>
      </c>
      <c r="F133" s="43" t="s">
        <v>45</v>
      </c>
      <c r="G133" s="43" t="s">
        <v>192</v>
      </c>
    </row>
    <row r="134" spans="1:7" x14ac:dyDescent="0.25">
      <c r="A134" s="40">
        <v>129</v>
      </c>
      <c r="B134" s="40" t="s">
        <v>370</v>
      </c>
      <c r="C134" s="40" t="s">
        <v>167</v>
      </c>
      <c r="D134" s="40" t="s">
        <v>192</v>
      </c>
      <c r="E134" s="40">
        <v>1</v>
      </c>
      <c r="F134" s="43" t="s">
        <v>45</v>
      </c>
      <c r="G134" s="43" t="s">
        <v>192</v>
      </c>
    </row>
    <row r="135" spans="1:7" x14ac:dyDescent="0.25">
      <c r="A135" s="40">
        <v>130</v>
      </c>
      <c r="B135" s="40" t="s">
        <v>371</v>
      </c>
      <c r="C135" s="40" t="s">
        <v>167</v>
      </c>
      <c r="D135" s="40" t="s">
        <v>181</v>
      </c>
      <c r="E135" s="40">
        <v>2</v>
      </c>
      <c r="F135" s="43" t="s">
        <v>45</v>
      </c>
      <c r="G135" s="43" t="s">
        <v>179</v>
      </c>
    </row>
    <row r="136" spans="1:7" x14ac:dyDescent="0.25">
      <c r="A136" s="40">
        <v>131</v>
      </c>
      <c r="B136" s="40" t="s">
        <v>372</v>
      </c>
      <c r="C136" s="40" t="s">
        <v>167</v>
      </c>
      <c r="D136" s="40" t="s">
        <v>198</v>
      </c>
      <c r="E136" s="40">
        <v>2</v>
      </c>
      <c r="F136" s="43" t="s">
        <v>45</v>
      </c>
      <c r="G136" s="43" t="s">
        <v>187</v>
      </c>
    </row>
    <row r="137" spans="1:7" x14ac:dyDescent="0.25">
      <c r="A137" s="40">
        <v>132</v>
      </c>
      <c r="B137" s="40" t="s">
        <v>373</v>
      </c>
      <c r="C137" s="40" t="s">
        <v>168</v>
      </c>
      <c r="D137" s="40" t="s">
        <v>178</v>
      </c>
      <c r="E137" s="40">
        <v>2</v>
      </c>
      <c r="F137" s="43" t="s">
        <v>45</v>
      </c>
      <c r="G137" s="43" t="s">
        <v>178</v>
      </c>
    </row>
    <row r="138" spans="1:7" x14ac:dyDescent="0.25">
      <c r="A138" s="40">
        <v>133</v>
      </c>
      <c r="B138" s="40" t="s">
        <v>374</v>
      </c>
      <c r="C138" s="40" t="s">
        <v>168</v>
      </c>
      <c r="D138" s="40" t="s">
        <v>198</v>
      </c>
      <c r="E138" s="40">
        <v>4</v>
      </c>
      <c r="F138" s="43" t="s">
        <v>45</v>
      </c>
      <c r="G138" s="43" t="s">
        <v>187</v>
      </c>
    </row>
    <row r="139" spans="1:7" x14ac:dyDescent="0.25">
      <c r="A139" s="40">
        <v>134</v>
      </c>
      <c r="B139" s="40" t="s">
        <v>375</v>
      </c>
      <c r="C139" s="40" t="s">
        <v>168</v>
      </c>
      <c r="D139" s="40" t="s">
        <v>195</v>
      </c>
      <c r="E139" s="40">
        <v>2</v>
      </c>
      <c r="F139" s="43" t="s">
        <v>45</v>
      </c>
      <c r="G139" s="43" t="s">
        <v>2006</v>
      </c>
    </row>
    <row r="140" spans="1:7" x14ac:dyDescent="0.25">
      <c r="A140" s="40">
        <v>135</v>
      </c>
      <c r="B140" s="40" t="s">
        <v>376</v>
      </c>
      <c r="C140" s="40" t="s">
        <v>167</v>
      </c>
      <c r="D140" s="40" t="s">
        <v>1932</v>
      </c>
      <c r="E140" s="40">
        <v>5</v>
      </c>
      <c r="F140" s="43" t="s">
        <v>45</v>
      </c>
      <c r="G140" s="43" t="s">
        <v>1980</v>
      </c>
    </row>
    <row r="141" spans="1:7" x14ac:dyDescent="0.25">
      <c r="A141" s="40">
        <v>136</v>
      </c>
      <c r="B141" s="40" t="s">
        <v>377</v>
      </c>
      <c r="C141" s="40" t="s">
        <v>167</v>
      </c>
      <c r="D141" s="40" t="s">
        <v>181</v>
      </c>
      <c r="E141" s="40">
        <v>8</v>
      </c>
      <c r="F141" s="43" t="s">
        <v>45</v>
      </c>
      <c r="G141" s="43" t="s">
        <v>181</v>
      </c>
    </row>
    <row r="142" spans="1:7" x14ac:dyDescent="0.25">
      <c r="A142" s="40">
        <v>137</v>
      </c>
      <c r="B142" s="40" t="s">
        <v>378</v>
      </c>
      <c r="C142" s="40" t="s">
        <v>167</v>
      </c>
      <c r="D142" s="40" t="s">
        <v>198</v>
      </c>
      <c r="E142" s="40">
        <v>5</v>
      </c>
      <c r="F142" s="43" t="s">
        <v>45</v>
      </c>
      <c r="G142" s="43" t="s">
        <v>187</v>
      </c>
    </row>
    <row r="143" spans="1:7" x14ac:dyDescent="0.25">
      <c r="A143" s="40">
        <v>138</v>
      </c>
      <c r="B143" s="40" t="s">
        <v>379</v>
      </c>
      <c r="C143" s="40" t="s">
        <v>167</v>
      </c>
      <c r="D143" s="40" t="s">
        <v>178</v>
      </c>
      <c r="E143" s="40">
        <v>14</v>
      </c>
      <c r="F143" s="43" t="s">
        <v>45</v>
      </c>
      <c r="G143" s="43" t="s">
        <v>178</v>
      </c>
    </row>
    <row r="144" spans="1:7" x14ac:dyDescent="0.25">
      <c r="A144" s="40">
        <v>139</v>
      </c>
      <c r="B144" s="40" t="s">
        <v>380</v>
      </c>
      <c r="C144" s="40" t="s">
        <v>167</v>
      </c>
      <c r="D144" s="40" t="s">
        <v>180</v>
      </c>
      <c r="E144" s="40">
        <v>6</v>
      </c>
      <c r="F144" s="43" t="s">
        <v>45</v>
      </c>
      <c r="G144" s="43" t="s">
        <v>180</v>
      </c>
    </row>
    <row r="145" spans="1:7" x14ac:dyDescent="0.25">
      <c r="A145" s="40">
        <v>140</v>
      </c>
      <c r="B145" s="40" t="s">
        <v>381</v>
      </c>
      <c r="C145" s="40" t="s">
        <v>168</v>
      </c>
      <c r="D145" s="40" t="s">
        <v>172</v>
      </c>
      <c r="E145" s="40">
        <v>4</v>
      </c>
      <c r="F145" s="43" t="s">
        <v>45</v>
      </c>
      <c r="G145" s="43" t="s">
        <v>172</v>
      </c>
    </row>
    <row r="146" spans="1:7" x14ac:dyDescent="0.25">
      <c r="A146" s="40">
        <v>141</v>
      </c>
      <c r="B146" s="40" t="s">
        <v>382</v>
      </c>
      <c r="C146" s="40" t="s">
        <v>167</v>
      </c>
      <c r="D146" s="40" t="s">
        <v>1959</v>
      </c>
      <c r="E146" s="40">
        <v>7</v>
      </c>
      <c r="F146" s="43" t="s">
        <v>45</v>
      </c>
      <c r="G146" s="43" t="s">
        <v>190</v>
      </c>
    </row>
    <row r="147" spans="1:7" x14ac:dyDescent="0.25">
      <c r="A147" s="40">
        <v>142</v>
      </c>
      <c r="B147" s="40" t="s">
        <v>383</v>
      </c>
      <c r="C147" s="40" t="s">
        <v>167</v>
      </c>
      <c r="D147" s="40" t="s">
        <v>172</v>
      </c>
      <c r="E147" s="40">
        <v>3</v>
      </c>
      <c r="F147" s="43" t="s">
        <v>45</v>
      </c>
      <c r="G147" s="43" t="s">
        <v>172</v>
      </c>
    </row>
    <row r="148" spans="1:7" x14ac:dyDescent="0.25">
      <c r="A148" s="40">
        <v>143</v>
      </c>
      <c r="B148" s="40" t="s">
        <v>384</v>
      </c>
      <c r="C148" s="40" t="s">
        <v>168</v>
      </c>
      <c r="D148" s="40" t="s">
        <v>1947</v>
      </c>
      <c r="E148" s="40">
        <v>5</v>
      </c>
      <c r="F148" s="43" t="s">
        <v>45</v>
      </c>
      <c r="G148" s="43" t="s">
        <v>169</v>
      </c>
    </row>
    <row r="149" spans="1:7" x14ac:dyDescent="0.25">
      <c r="A149" s="40">
        <v>144</v>
      </c>
      <c r="B149" s="40" t="s">
        <v>385</v>
      </c>
      <c r="C149" s="40" t="s">
        <v>167</v>
      </c>
      <c r="D149" s="40" t="s">
        <v>195</v>
      </c>
      <c r="E149" s="40">
        <v>4</v>
      </c>
      <c r="F149" s="43" t="s">
        <v>45</v>
      </c>
      <c r="G149" s="43" t="s">
        <v>2006</v>
      </c>
    </row>
    <row r="150" spans="1:7" x14ac:dyDescent="0.25">
      <c r="A150" s="40">
        <v>145</v>
      </c>
      <c r="B150" s="40" t="s">
        <v>386</v>
      </c>
      <c r="C150" s="40" t="s">
        <v>168</v>
      </c>
      <c r="D150" s="40" t="s">
        <v>1960</v>
      </c>
      <c r="E150" s="40">
        <v>5</v>
      </c>
      <c r="F150" s="43" t="s">
        <v>45</v>
      </c>
      <c r="G150" s="43" t="s">
        <v>183</v>
      </c>
    </row>
    <row r="151" spans="1:7" x14ac:dyDescent="0.25">
      <c r="A151" s="40">
        <v>146</v>
      </c>
      <c r="B151" s="40" t="s">
        <v>387</v>
      </c>
      <c r="C151" s="40" t="s">
        <v>167</v>
      </c>
      <c r="D151" s="40" t="s">
        <v>1946</v>
      </c>
      <c r="E151" s="40">
        <v>1</v>
      </c>
      <c r="F151" s="43" t="s">
        <v>45</v>
      </c>
      <c r="G151" s="43" t="s">
        <v>179</v>
      </c>
    </row>
    <row r="152" spans="1:7" x14ac:dyDescent="0.25">
      <c r="A152" s="40">
        <v>147</v>
      </c>
      <c r="B152" s="40" t="s">
        <v>388</v>
      </c>
      <c r="C152" s="40" t="s">
        <v>167</v>
      </c>
      <c r="D152" s="40" t="s">
        <v>1961</v>
      </c>
      <c r="E152" s="40">
        <v>3</v>
      </c>
      <c r="F152" s="43" t="s">
        <v>45</v>
      </c>
      <c r="G152" s="43" t="s">
        <v>175</v>
      </c>
    </row>
    <row r="153" spans="1:7" x14ac:dyDescent="0.25">
      <c r="A153" s="40">
        <v>148</v>
      </c>
      <c r="B153" s="40" t="s">
        <v>389</v>
      </c>
      <c r="C153" s="40" t="s">
        <v>167</v>
      </c>
      <c r="D153" s="40" t="s">
        <v>1951</v>
      </c>
      <c r="E153" s="40">
        <v>6</v>
      </c>
      <c r="F153" s="43" t="s">
        <v>45</v>
      </c>
      <c r="G153" s="43" t="s">
        <v>182</v>
      </c>
    </row>
    <row r="154" spans="1:7" x14ac:dyDescent="0.25">
      <c r="A154" s="40">
        <v>149</v>
      </c>
      <c r="B154" s="40" t="s">
        <v>390</v>
      </c>
      <c r="C154" s="40" t="s">
        <v>168</v>
      </c>
      <c r="D154" s="40" t="s">
        <v>181</v>
      </c>
      <c r="E154" s="40">
        <v>1</v>
      </c>
      <c r="F154" s="43" t="s">
        <v>45</v>
      </c>
      <c r="G154" s="43" t="s">
        <v>179</v>
      </c>
    </row>
    <row r="155" spans="1:7" x14ac:dyDescent="0.25">
      <c r="A155" s="40">
        <v>150</v>
      </c>
      <c r="B155" s="40" t="s">
        <v>391</v>
      </c>
      <c r="C155" s="40" t="s">
        <v>167</v>
      </c>
      <c r="D155" s="40" t="s">
        <v>1962</v>
      </c>
      <c r="E155" s="40">
        <v>2</v>
      </c>
      <c r="F155" s="43" t="s">
        <v>45</v>
      </c>
      <c r="G155" s="43" t="s">
        <v>179</v>
      </c>
    </row>
    <row r="156" spans="1:7" x14ac:dyDescent="0.25">
      <c r="A156" s="40">
        <v>151</v>
      </c>
      <c r="B156" s="40" t="s">
        <v>392</v>
      </c>
      <c r="C156" s="40" t="s">
        <v>167</v>
      </c>
      <c r="D156" s="40" t="s">
        <v>183</v>
      </c>
      <c r="E156" s="40">
        <v>8</v>
      </c>
      <c r="F156" s="43" t="s">
        <v>45</v>
      </c>
      <c r="G156" s="43" t="s">
        <v>183</v>
      </c>
    </row>
    <row r="157" spans="1:7" x14ac:dyDescent="0.25">
      <c r="A157" s="40">
        <v>152</v>
      </c>
      <c r="B157" s="40" t="s">
        <v>393</v>
      </c>
      <c r="C157" s="40" t="s">
        <v>168</v>
      </c>
      <c r="D157" s="40" t="s">
        <v>192</v>
      </c>
      <c r="E157" s="40">
        <v>1</v>
      </c>
      <c r="F157" s="43" t="s">
        <v>45</v>
      </c>
      <c r="G157" s="43" t="s">
        <v>192</v>
      </c>
    </row>
    <row r="158" spans="1:7" x14ac:dyDescent="0.25">
      <c r="A158" s="40">
        <v>153</v>
      </c>
      <c r="B158" s="40" t="s">
        <v>394</v>
      </c>
      <c r="C158" s="40" t="s">
        <v>167</v>
      </c>
      <c r="D158" s="40" t="s">
        <v>1958</v>
      </c>
      <c r="E158" s="40">
        <v>11</v>
      </c>
      <c r="F158" s="43" t="s">
        <v>45</v>
      </c>
      <c r="G158" s="43" t="s">
        <v>190</v>
      </c>
    </row>
    <row r="159" spans="1:7" x14ac:dyDescent="0.25">
      <c r="A159" s="40">
        <v>154</v>
      </c>
      <c r="B159" s="40" t="s">
        <v>395</v>
      </c>
      <c r="C159" s="40" t="s">
        <v>167</v>
      </c>
      <c r="D159" s="40" t="s">
        <v>186</v>
      </c>
      <c r="E159" s="40">
        <v>6</v>
      </c>
      <c r="F159" s="43" t="s">
        <v>45</v>
      </c>
      <c r="G159" s="43" t="s">
        <v>186</v>
      </c>
    </row>
    <row r="160" spans="1:7" x14ac:dyDescent="0.25">
      <c r="A160" s="40">
        <v>155</v>
      </c>
      <c r="B160" s="40" t="s">
        <v>396</v>
      </c>
      <c r="C160" s="40" t="s">
        <v>167</v>
      </c>
      <c r="D160" s="40" t="s">
        <v>1958</v>
      </c>
      <c r="E160" s="40">
        <v>5</v>
      </c>
      <c r="F160" s="43" t="s">
        <v>45</v>
      </c>
      <c r="G160" s="43" t="s">
        <v>190</v>
      </c>
    </row>
    <row r="161" spans="1:7" x14ac:dyDescent="0.25">
      <c r="A161" s="40">
        <v>156</v>
      </c>
      <c r="B161" s="40" t="s">
        <v>397</v>
      </c>
      <c r="C161" s="40" t="s">
        <v>168</v>
      </c>
      <c r="D161" s="40" t="s">
        <v>1941</v>
      </c>
      <c r="E161" s="40">
        <v>8</v>
      </c>
      <c r="F161" s="43" t="s">
        <v>45</v>
      </c>
      <c r="G161" s="43" t="s">
        <v>1984</v>
      </c>
    </row>
    <row r="162" spans="1:7" x14ac:dyDescent="0.25">
      <c r="A162" s="40">
        <v>157</v>
      </c>
      <c r="B162" s="40" t="s">
        <v>398</v>
      </c>
      <c r="C162" s="40" t="s">
        <v>168</v>
      </c>
      <c r="D162" s="40" t="s">
        <v>193</v>
      </c>
      <c r="E162" s="40">
        <v>4</v>
      </c>
      <c r="F162" s="43" t="s">
        <v>45</v>
      </c>
      <c r="G162" s="43" t="s">
        <v>1985</v>
      </c>
    </row>
    <row r="163" spans="1:7" x14ac:dyDescent="0.25">
      <c r="A163" s="40">
        <v>158</v>
      </c>
      <c r="B163" s="40" t="s">
        <v>399</v>
      </c>
      <c r="C163" s="40" t="s">
        <v>168</v>
      </c>
      <c r="D163" s="40" t="s">
        <v>192</v>
      </c>
      <c r="E163" s="40">
        <v>7</v>
      </c>
      <c r="F163" s="43" t="s">
        <v>45</v>
      </c>
      <c r="G163" s="43" t="s">
        <v>192</v>
      </c>
    </row>
    <row r="164" spans="1:7" x14ac:dyDescent="0.25">
      <c r="A164" s="40">
        <v>159</v>
      </c>
      <c r="B164" s="40" t="s">
        <v>400</v>
      </c>
      <c r="C164" s="40" t="s">
        <v>168</v>
      </c>
      <c r="D164" s="40" t="s">
        <v>193</v>
      </c>
      <c r="E164" s="40">
        <v>1</v>
      </c>
      <c r="F164" s="43" t="s">
        <v>45</v>
      </c>
      <c r="G164" s="43" t="s">
        <v>1986</v>
      </c>
    </row>
    <row r="165" spans="1:7" x14ac:dyDescent="0.25">
      <c r="A165" s="40">
        <v>160</v>
      </c>
      <c r="B165" s="40" t="s">
        <v>401</v>
      </c>
      <c r="C165" s="40" t="s">
        <v>168</v>
      </c>
      <c r="D165" s="40" t="s">
        <v>193</v>
      </c>
      <c r="E165" s="40">
        <v>5</v>
      </c>
      <c r="F165" s="43" t="s">
        <v>45</v>
      </c>
      <c r="G165" s="43" t="s">
        <v>169</v>
      </c>
    </row>
    <row r="166" spans="1:7" x14ac:dyDescent="0.25">
      <c r="A166" s="40">
        <v>161</v>
      </c>
      <c r="B166" s="40" t="s">
        <v>402</v>
      </c>
      <c r="C166" s="40" t="s">
        <v>168</v>
      </c>
      <c r="D166" s="40" t="s">
        <v>193</v>
      </c>
      <c r="E166" s="40">
        <v>1</v>
      </c>
      <c r="F166" s="43" t="s">
        <v>45</v>
      </c>
      <c r="G166" s="43" t="s">
        <v>1985</v>
      </c>
    </row>
    <row r="167" spans="1:7" x14ac:dyDescent="0.25">
      <c r="A167" s="40">
        <v>162</v>
      </c>
      <c r="B167" s="40" t="s">
        <v>403</v>
      </c>
      <c r="C167" s="40" t="s">
        <v>168</v>
      </c>
      <c r="D167" s="40" t="s">
        <v>193</v>
      </c>
      <c r="E167" s="40">
        <v>5</v>
      </c>
      <c r="F167" s="43" t="s">
        <v>45</v>
      </c>
      <c r="G167" s="43" t="s">
        <v>169</v>
      </c>
    </row>
    <row r="168" spans="1:7" x14ac:dyDescent="0.25">
      <c r="A168" s="40">
        <v>163</v>
      </c>
      <c r="B168" s="40" t="s">
        <v>404</v>
      </c>
      <c r="C168" s="40" t="s">
        <v>168</v>
      </c>
      <c r="D168" s="40" t="s">
        <v>193</v>
      </c>
      <c r="E168" s="40">
        <v>2</v>
      </c>
      <c r="F168" s="43" t="s">
        <v>51</v>
      </c>
    </row>
    <row r="169" spans="1:7" x14ac:dyDescent="0.25">
      <c r="A169" s="40">
        <v>164</v>
      </c>
      <c r="B169" s="40" t="s">
        <v>405</v>
      </c>
      <c r="C169" s="40" t="s">
        <v>168</v>
      </c>
      <c r="D169" s="40" t="s">
        <v>192</v>
      </c>
      <c r="E169" s="40">
        <v>7</v>
      </c>
      <c r="F169" s="43" t="s">
        <v>45</v>
      </c>
      <c r="G169" s="43" t="s">
        <v>192</v>
      </c>
    </row>
    <row r="170" spans="1:7" x14ac:dyDescent="0.25">
      <c r="A170" s="40">
        <v>165</v>
      </c>
      <c r="B170" s="40" t="s">
        <v>406</v>
      </c>
      <c r="C170" s="40" t="s">
        <v>168</v>
      </c>
      <c r="D170" s="40" t="s">
        <v>193</v>
      </c>
      <c r="E170" s="40">
        <v>6</v>
      </c>
      <c r="F170" s="43" t="s">
        <v>45</v>
      </c>
      <c r="G170" s="43" t="s">
        <v>1985</v>
      </c>
    </row>
    <row r="171" spans="1:7" x14ac:dyDescent="0.25">
      <c r="A171" s="40">
        <v>166</v>
      </c>
      <c r="B171" s="40" t="s">
        <v>407</v>
      </c>
      <c r="C171" s="40" t="s">
        <v>168</v>
      </c>
      <c r="D171" s="40" t="s">
        <v>193</v>
      </c>
      <c r="E171" s="40">
        <v>1</v>
      </c>
      <c r="F171" s="43" t="s">
        <v>45</v>
      </c>
      <c r="G171" s="43" t="s">
        <v>1985</v>
      </c>
    </row>
    <row r="172" spans="1:7" x14ac:dyDescent="0.25">
      <c r="A172" s="40">
        <v>167</v>
      </c>
      <c r="B172" s="40" t="s">
        <v>408</v>
      </c>
      <c r="C172" s="40" t="s">
        <v>167</v>
      </c>
      <c r="D172" s="40" t="s">
        <v>193</v>
      </c>
      <c r="E172" s="40">
        <v>2</v>
      </c>
      <c r="F172" s="43" t="s">
        <v>45</v>
      </c>
      <c r="G172" s="43" t="s">
        <v>1985</v>
      </c>
    </row>
    <row r="173" spans="1:7" x14ac:dyDescent="0.25">
      <c r="A173" s="40">
        <v>168</v>
      </c>
      <c r="B173" s="40" t="s">
        <v>409</v>
      </c>
      <c r="C173" s="40" t="s">
        <v>167</v>
      </c>
      <c r="D173" s="40" t="s">
        <v>193</v>
      </c>
      <c r="E173" s="40">
        <v>3</v>
      </c>
      <c r="F173" s="43" t="s">
        <v>45</v>
      </c>
      <c r="G173" s="43" t="s">
        <v>1985</v>
      </c>
    </row>
    <row r="174" spans="1:7" x14ac:dyDescent="0.25">
      <c r="A174" s="40">
        <v>169</v>
      </c>
      <c r="B174" s="40" t="s">
        <v>410</v>
      </c>
      <c r="C174" s="40" t="s">
        <v>167</v>
      </c>
      <c r="D174" s="40" t="s">
        <v>193</v>
      </c>
      <c r="E174" s="40">
        <v>3</v>
      </c>
      <c r="F174" s="43" t="s">
        <v>45</v>
      </c>
      <c r="G174" s="43" t="s">
        <v>1985</v>
      </c>
    </row>
    <row r="175" spans="1:7" x14ac:dyDescent="0.25">
      <c r="A175" s="40">
        <v>170</v>
      </c>
      <c r="B175" s="40" t="s">
        <v>411</v>
      </c>
      <c r="C175" s="40" t="s">
        <v>167</v>
      </c>
      <c r="D175" s="40" t="s">
        <v>186</v>
      </c>
      <c r="E175" s="40">
        <v>8</v>
      </c>
      <c r="F175" s="43" t="s">
        <v>45</v>
      </c>
      <c r="G175" s="43" t="s">
        <v>186</v>
      </c>
    </row>
    <row r="176" spans="1:7" x14ac:dyDescent="0.25">
      <c r="A176" s="40">
        <v>171</v>
      </c>
      <c r="B176" s="40" t="s">
        <v>412</v>
      </c>
      <c r="C176" s="40" t="s">
        <v>168</v>
      </c>
      <c r="D176" s="40" t="s">
        <v>1938</v>
      </c>
      <c r="E176" s="40">
        <v>4</v>
      </c>
      <c r="F176" s="43" t="s">
        <v>45</v>
      </c>
      <c r="G176" s="43" t="s">
        <v>191</v>
      </c>
    </row>
    <row r="177" spans="1:7" x14ac:dyDescent="0.25">
      <c r="A177" s="40">
        <v>172</v>
      </c>
      <c r="B177" s="40" t="s">
        <v>413</v>
      </c>
      <c r="C177" s="40" t="s">
        <v>168</v>
      </c>
      <c r="D177" s="40" t="s">
        <v>1963</v>
      </c>
      <c r="E177" s="40">
        <v>12</v>
      </c>
      <c r="F177" s="43" t="s">
        <v>45</v>
      </c>
      <c r="G177" s="43" t="s">
        <v>191</v>
      </c>
    </row>
    <row r="178" spans="1:7" x14ac:dyDescent="0.25">
      <c r="A178" s="40">
        <v>173</v>
      </c>
      <c r="B178" s="40" t="s">
        <v>414</v>
      </c>
      <c r="C178" s="40" t="s">
        <v>168</v>
      </c>
      <c r="D178" s="40" t="s">
        <v>1958</v>
      </c>
      <c r="E178" s="40">
        <v>6</v>
      </c>
      <c r="F178" s="43" t="s">
        <v>45</v>
      </c>
      <c r="G178" s="43" t="s">
        <v>190</v>
      </c>
    </row>
    <row r="179" spans="1:7" x14ac:dyDescent="0.25">
      <c r="A179" s="40">
        <v>174</v>
      </c>
      <c r="B179" s="40" t="s">
        <v>415</v>
      </c>
      <c r="C179" s="40" t="s">
        <v>167</v>
      </c>
      <c r="D179" s="40" t="s">
        <v>195</v>
      </c>
      <c r="E179" s="40">
        <v>8</v>
      </c>
      <c r="F179" s="43" t="s">
        <v>45</v>
      </c>
      <c r="G179" s="43" t="s">
        <v>2006</v>
      </c>
    </row>
    <row r="180" spans="1:7" x14ac:dyDescent="0.25">
      <c r="A180" s="40">
        <v>175</v>
      </c>
      <c r="B180" s="40" t="s">
        <v>416</v>
      </c>
      <c r="C180" s="40" t="s">
        <v>167</v>
      </c>
      <c r="D180" s="40" t="s">
        <v>195</v>
      </c>
      <c r="E180" s="40">
        <v>6</v>
      </c>
      <c r="F180" s="43" t="s">
        <v>45</v>
      </c>
      <c r="G180" s="43" t="s">
        <v>2006</v>
      </c>
    </row>
    <row r="181" spans="1:7" x14ac:dyDescent="0.25">
      <c r="A181" s="40">
        <v>176</v>
      </c>
      <c r="B181" s="40" t="s">
        <v>417</v>
      </c>
      <c r="C181" s="40" t="s">
        <v>167</v>
      </c>
      <c r="D181" s="40" t="s">
        <v>1938</v>
      </c>
      <c r="E181" s="40">
        <v>5</v>
      </c>
      <c r="F181" s="43" t="s">
        <v>45</v>
      </c>
      <c r="G181" s="43" t="s">
        <v>190</v>
      </c>
    </row>
    <row r="182" spans="1:7" x14ac:dyDescent="0.25">
      <c r="A182" s="40">
        <v>177</v>
      </c>
      <c r="B182" s="40" t="s">
        <v>418</v>
      </c>
      <c r="C182" s="40" t="s">
        <v>168</v>
      </c>
      <c r="D182" s="40" t="s">
        <v>195</v>
      </c>
      <c r="E182" s="40">
        <v>6</v>
      </c>
      <c r="F182" s="43" t="s">
        <v>45</v>
      </c>
      <c r="G182" s="43" t="s">
        <v>190</v>
      </c>
    </row>
    <row r="183" spans="1:7" x14ac:dyDescent="0.25">
      <c r="A183" s="40">
        <v>178</v>
      </c>
      <c r="B183" s="40" t="s">
        <v>419</v>
      </c>
      <c r="C183" s="40" t="s">
        <v>168</v>
      </c>
      <c r="D183" s="40" t="s">
        <v>1964</v>
      </c>
      <c r="E183" s="40">
        <v>3</v>
      </c>
      <c r="F183" s="43" t="s">
        <v>45</v>
      </c>
      <c r="G183" s="43" t="s">
        <v>2006</v>
      </c>
    </row>
    <row r="184" spans="1:7" x14ac:dyDescent="0.25">
      <c r="A184" s="40">
        <v>179</v>
      </c>
      <c r="B184" s="40" t="s">
        <v>420</v>
      </c>
      <c r="C184" s="40" t="s">
        <v>167</v>
      </c>
      <c r="D184" s="40" t="s">
        <v>1958</v>
      </c>
      <c r="E184" s="40">
        <v>2</v>
      </c>
      <c r="F184" s="43" t="s">
        <v>45</v>
      </c>
      <c r="G184" s="43" t="s">
        <v>190</v>
      </c>
    </row>
    <row r="185" spans="1:7" x14ac:dyDescent="0.25">
      <c r="A185" s="40">
        <v>180</v>
      </c>
      <c r="B185" s="40" t="s">
        <v>421</v>
      </c>
      <c r="C185" s="40" t="s">
        <v>168</v>
      </c>
      <c r="D185" s="40" t="s">
        <v>1958</v>
      </c>
      <c r="E185" s="40">
        <v>7</v>
      </c>
      <c r="F185" s="43" t="s">
        <v>45</v>
      </c>
      <c r="G185" s="43" t="s">
        <v>190</v>
      </c>
    </row>
    <row r="186" spans="1:7" x14ac:dyDescent="0.25">
      <c r="A186" s="40">
        <v>181</v>
      </c>
      <c r="B186" s="40" t="s">
        <v>422</v>
      </c>
      <c r="C186" s="40" t="s">
        <v>168</v>
      </c>
      <c r="D186" s="40" t="s">
        <v>1938</v>
      </c>
      <c r="E186" s="40">
        <v>8</v>
      </c>
      <c r="F186" s="43" t="s">
        <v>45</v>
      </c>
      <c r="G186" s="43" t="s">
        <v>191</v>
      </c>
    </row>
    <row r="187" spans="1:7" x14ac:dyDescent="0.25">
      <c r="A187" s="40">
        <v>182</v>
      </c>
      <c r="B187" s="40" t="s">
        <v>423</v>
      </c>
      <c r="C187" s="40" t="s">
        <v>167</v>
      </c>
      <c r="D187" s="40" t="s">
        <v>1938</v>
      </c>
      <c r="E187" s="40">
        <v>6</v>
      </c>
      <c r="F187" s="43" t="s">
        <v>45</v>
      </c>
      <c r="G187" s="43" t="s">
        <v>191</v>
      </c>
    </row>
    <row r="188" spans="1:7" x14ac:dyDescent="0.25">
      <c r="A188" s="40">
        <v>183</v>
      </c>
      <c r="B188" s="40" t="s">
        <v>424</v>
      </c>
      <c r="C188" s="40" t="s">
        <v>167</v>
      </c>
      <c r="D188" s="40" t="s">
        <v>1938</v>
      </c>
      <c r="E188" s="40">
        <v>4</v>
      </c>
      <c r="F188" s="43" t="s">
        <v>45</v>
      </c>
      <c r="G188" s="43" t="s">
        <v>190</v>
      </c>
    </row>
    <row r="189" spans="1:7" x14ac:dyDescent="0.25">
      <c r="A189" s="40">
        <v>184</v>
      </c>
      <c r="B189" s="40" t="s">
        <v>425</v>
      </c>
      <c r="C189" s="40" t="s">
        <v>168</v>
      </c>
      <c r="D189" s="40" t="s">
        <v>180</v>
      </c>
      <c r="E189" s="40">
        <v>3</v>
      </c>
      <c r="F189" s="43" t="s">
        <v>45</v>
      </c>
      <c r="G189" s="43" t="s">
        <v>180</v>
      </c>
    </row>
    <row r="190" spans="1:7" x14ac:dyDescent="0.25">
      <c r="A190" s="40">
        <v>185</v>
      </c>
      <c r="B190" s="40" t="s">
        <v>426</v>
      </c>
      <c r="C190" s="40" t="s">
        <v>167</v>
      </c>
      <c r="D190" s="40" t="s">
        <v>181</v>
      </c>
      <c r="E190" s="40">
        <v>3</v>
      </c>
      <c r="F190" s="43" t="s">
        <v>45</v>
      </c>
      <c r="G190" s="43" t="s">
        <v>179</v>
      </c>
    </row>
    <row r="191" spans="1:7" x14ac:dyDescent="0.25">
      <c r="A191" s="40">
        <v>186</v>
      </c>
      <c r="B191" s="40" t="s">
        <v>427</v>
      </c>
      <c r="C191" s="40" t="s">
        <v>168</v>
      </c>
      <c r="D191" s="40" t="s">
        <v>1962</v>
      </c>
      <c r="E191" s="40">
        <v>2</v>
      </c>
      <c r="F191" s="43" t="s">
        <v>45</v>
      </c>
      <c r="G191" s="43" t="s">
        <v>179</v>
      </c>
    </row>
    <row r="192" spans="1:7" x14ac:dyDescent="0.25">
      <c r="A192" s="40">
        <v>187</v>
      </c>
      <c r="B192" s="40" t="s">
        <v>428</v>
      </c>
      <c r="C192" s="40" t="s">
        <v>168</v>
      </c>
      <c r="D192" s="40" t="s">
        <v>181</v>
      </c>
      <c r="E192" s="40">
        <v>2</v>
      </c>
      <c r="F192" s="43" t="s">
        <v>45</v>
      </c>
      <c r="G192" s="43" t="s">
        <v>179</v>
      </c>
    </row>
    <row r="193" spans="1:7" x14ac:dyDescent="0.25">
      <c r="A193" s="40">
        <v>188</v>
      </c>
      <c r="B193" s="40" t="s">
        <v>429</v>
      </c>
      <c r="C193" s="40" t="s">
        <v>168</v>
      </c>
      <c r="D193" s="40" t="s">
        <v>1946</v>
      </c>
      <c r="E193" s="40">
        <v>6</v>
      </c>
      <c r="F193" s="43" t="s">
        <v>45</v>
      </c>
      <c r="G193" s="43" t="s">
        <v>179</v>
      </c>
    </row>
    <row r="194" spans="1:7" x14ac:dyDescent="0.25">
      <c r="A194" s="40">
        <v>189</v>
      </c>
      <c r="B194" s="40" t="s">
        <v>430</v>
      </c>
      <c r="C194" s="40" t="s">
        <v>168</v>
      </c>
      <c r="D194" s="40" t="s">
        <v>181</v>
      </c>
      <c r="E194" s="40">
        <v>6</v>
      </c>
      <c r="F194" s="43" t="s">
        <v>45</v>
      </c>
      <c r="G194" s="43" t="s">
        <v>179</v>
      </c>
    </row>
    <row r="195" spans="1:7" x14ac:dyDescent="0.25">
      <c r="A195" s="40">
        <v>190</v>
      </c>
      <c r="B195" s="40" t="s">
        <v>431</v>
      </c>
      <c r="C195" s="40" t="s">
        <v>167</v>
      </c>
      <c r="D195" s="40" t="s">
        <v>1960</v>
      </c>
      <c r="E195" s="40">
        <v>8</v>
      </c>
      <c r="F195" s="43" t="s">
        <v>45</v>
      </c>
      <c r="G195" s="43" t="s">
        <v>183</v>
      </c>
    </row>
    <row r="196" spans="1:7" x14ac:dyDescent="0.25">
      <c r="A196" s="40">
        <v>191</v>
      </c>
      <c r="B196" s="40" t="s">
        <v>432</v>
      </c>
      <c r="C196" s="40" t="s">
        <v>167</v>
      </c>
      <c r="D196" s="40" t="s">
        <v>181</v>
      </c>
      <c r="E196" s="40">
        <v>5</v>
      </c>
      <c r="F196" s="43" t="s">
        <v>45</v>
      </c>
      <c r="G196" s="43" t="s">
        <v>181</v>
      </c>
    </row>
    <row r="197" spans="1:7" x14ac:dyDescent="0.25">
      <c r="A197" s="40">
        <v>192</v>
      </c>
      <c r="B197" s="40" t="s">
        <v>433</v>
      </c>
      <c r="C197" s="40" t="s">
        <v>168</v>
      </c>
      <c r="D197" s="40" t="s">
        <v>1942</v>
      </c>
      <c r="E197" s="40">
        <v>7</v>
      </c>
      <c r="F197" s="43" t="s">
        <v>45</v>
      </c>
      <c r="G197" s="43" t="s">
        <v>177</v>
      </c>
    </row>
    <row r="198" spans="1:7" x14ac:dyDescent="0.25">
      <c r="A198" s="40">
        <v>193</v>
      </c>
      <c r="B198" s="40" t="s">
        <v>434</v>
      </c>
      <c r="C198" s="40" t="s">
        <v>168</v>
      </c>
      <c r="D198" s="40" t="s">
        <v>198</v>
      </c>
      <c r="E198" s="40">
        <v>3</v>
      </c>
      <c r="F198" s="43" t="s">
        <v>45</v>
      </c>
      <c r="G198" s="43" t="s">
        <v>188</v>
      </c>
    </row>
    <row r="199" spans="1:7" x14ac:dyDescent="0.25">
      <c r="A199" s="40">
        <v>194</v>
      </c>
      <c r="B199" s="40" t="s">
        <v>435</v>
      </c>
      <c r="C199" s="40" t="s">
        <v>168</v>
      </c>
      <c r="D199" s="40" t="s">
        <v>1965</v>
      </c>
      <c r="E199" s="40">
        <v>4</v>
      </c>
      <c r="F199" s="43" t="s">
        <v>45</v>
      </c>
      <c r="G199" s="43" t="s">
        <v>172</v>
      </c>
    </row>
    <row r="200" spans="1:7" x14ac:dyDescent="0.25">
      <c r="A200" s="40">
        <v>195</v>
      </c>
      <c r="B200" s="40" t="s">
        <v>436</v>
      </c>
      <c r="C200" s="40" t="s">
        <v>168</v>
      </c>
      <c r="D200" s="40" t="s">
        <v>1942</v>
      </c>
      <c r="E200" s="40">
        <v>2</v>
      </c>
      <c r="F200" s="43" t="s">
        <v>45</v>
      </c>
      <c r="G200" s="43" t="s">
        <v>184</v>
      </c>
    </row>
    <row r="201" spans="1:7" x14ac:dyDescent="0.25">
      <c r="A201" s="40">
        <v>196</v>
      </c>
      <c r="B201" s="40" t="s">
        <v>437</v>
      </c>
      <c r="C201" s="40" t="s">
        <v>167</v>
      </c>
      <c r="D201" s="40" t="s">
        <v>1942</v>
      </c>
      <c r="E201" s="40">
        <v>6</v>
      </c>
      <c r="F201" s="43" t="s">
        <v>45</v>
      </c>
      <c r="G201" s="43" t="s">
        <v>184</v>
      </c>
    </row>
    <row r="202" spans="1:7" x14ac:dyDescent="0.25">
      <c r="A202" s="40">
        <v>197</v>
      </c>
      <c r="B202" s="40" t="s">
        <v>438</v>
      </c>
      <c r="C202" s="40" t="s">
        <v>167</v>
      </c>
      <c r="D202" s="40" t="s">
        <v>175</v>
      </c>
      <c r="E202" s="40">
        <v>5</v>
      </c>
      <c r="F202" s="43" t="s">
        <v>45</v>
      </c>
      <c r="G202" s="43" t="s">
        <v>175</v>
      </c>
    </row>
    <row r="203" spans="1:7" x14ac:dyDescent="0.25">
      <c r="A203" s="40">
        <v>198</v>
      </c>
      <c r="B203" s="40" t="s">
        <v>439</v>
      </c>
      <c r="C203" s="40" t="s">
        <v>168</v>
      </c>
      <c r="D203" s="40" t="s">
        <v>1942</v>
      </c>
      <c r="E203" s="40">
        <v>6</v>
      </c>
      <c r="F203" s="43" t="s">
        <v>45</v>
      </c>
      <c r="G203" s="43" t="s">
        <v>184</v>
      </c>
    </row>
    <row r="204" spans="1:7" x14ac:dyDescent="0.25">
      <c r="A204" s="40">
        <v>199</v>
      </c>
      <c r="B204" s="40" t="s">
        <v>440</v>
      </c>
      <c r="C204" s="40" t="s">
        <v>168</v>
      </c>
      <c r="D204" s="40" t="s">
        <v>1942</v>
      </c>
      <c r="E204" s="40">
        <v>10</v>
      </c>
      <c r="F204" s="43" t="s">
        <v>45</v>
      </c>
      <c r="G204" s="43" t="s">
        <v>184</v>
      </c>
    </row>
    <row r="205" spans="1:7" x14ac:dyDescent="0.25">
      <c r="A205" s="40">
        <v>200</v>
      </c>
      <c r="B205" s="40" t="s">
        <v>441</v>
      </c>
      <c r="C205" s="40" t="s">
        <v>167</v>
      </c>
      <c r="D205" s="40" t="s">
        <v>198</v>
      </c>
      <c r="E205" s="40">
        <v>4</v>
      </c>
      <c r="F205" s="43" t="s">
        <v>45</v>
      </c>
      <c r="G205" s="43" t="s">
        <v>187</v>
      </c>
    </row>
    <row r="206" spans="1:7" x14ac:dyDescent="0.25">
      <c r="A206" s="40">
        <v>201</v>
      </c>
      <c r="B206" s="40" t="s">
        <v>442</v>
      </c>
      <c r="C206" s="40" t="s">
        <v>167</v>
      </c>
      <c r="D206" s="40" t="s">
        <v>181</v>
      </c>
      <c r="E206" s="40">
        <v>6</v>
      </c>
      <c r="F206" s="43" t="s">
        <v>45</v>
      </c>
      <c r="G206" s="43" t="s">
        <v>179</v>
      </c>
    </row>
    <row r="207" spans="1:7" x14ac:dyDescent="0.25">
      <c r="A207" s="40">
        <v>202</v>
      </c>
      <c r="B207" s="40" t="s">
        <v>443</v>
      </c>
      <c r="C207" s="40" t="s">
        <v>167</v>
      </c>
      <c r="D207" s="40" t="s">
        <v>172</v>
      </c>
      <c r="E207" s="40">
        <v>9</v>
      </c>
      <c r="F207" s="43" t="s">
        <v>45</v>
      </c>
      <c r="G207" s="43" t="s">
        <v>172</v>
      </c>
    </row>
    <row r="208" spans="1:7" x14ac:dyDescent="0.25">
      <c r="A208" s="40">
        <v>203</v>
      </c>
      <c r="B208" s="40" t="s">
        <v>444</v>
      </c>
      <c r="C208" s="40" t="s">
        <v>168</v>
      </c>
      <c r="D208" s="40" t="s">
        <v>198</v>
      </c>
      <c r="E208" s="40">
        <v>12</v>
      </c>
      <c r="F208" s="43" t="s">
        <v>45</v>
      </c>
      <c r="G208" s="43" t="s">
        <v>188</v>
      </c>
    </row>
    <row r="209" spans="1:7" x14ac:dyDescent="0.25">
      <c r="A209" s="40">
        <v>204</v>
      </c>
      <c r="B209" s="40" t="s">
        <v>445</v>
      </c>
      <c r="C209" s="40" t="s">
        <v>168</v>
      </c>
      <c r="D209" s="40" t="s">
        <v>174</v>
      </c>
      <c r="E209" s="40">
        <v>4</v>
      </c>
      <c r="F209" s="43" t="s">
        <v>45</v>
      </c>
      <c r="G209" s="43" t="s">
        <v>174</v>
      </c>
    </row>
    <row r="210" spans="1:7" x14ac:dyDescent="0.25">
      <c r="A210" s="40">
        <v>205</v>
      </c>
      <c r="B210" s="40" t="s">
        <v>446</v>
      </c>
      <c r="C210" s="40" t="s">
        <v>168</v>
      </c>
      <c r="D210" s="40" t="s">
        <v>1937</v>
      </c>
      <c r="E210" s="40">
        <v>7</v>
      </c>
      <c r="F210" s="43" t="s">
        <v>45</v>
      </c>
      <c r="G210" s="43" t="s">
        <v>174</v>
      </c>
    </row>
    <row r="211" spans="1:7" x14ac:dyDescent="0.25">
      <c r="A211" s="40">
        <v>206</v>
      </c>
      <c r="B211" s="40" t="s">
        <v>447</v>
      </c>
      <c r="C211" s="40" t="s">
        <v>168</v>
      </c>
      <c r="D211" s="40" t="s">
        <v>174</v>
      </c>
      <c r="E211" s="40">
        <v>6</v>
      </c>
      <c r="F211" s="43" t="s">
        <v>45</v>
      </c>
      <c r="G211" s="43" t="s">
        <v>174</v>
      </c>
    </row>
    <row r="212" spans="1:7" x14ac:dyDescent="0.25">
      <c r="A212" s="40">
        <v>207</v>
      </c>
      <c r="B212" s="40" t="s">
        <v>448</v>
      </c>
      <c r="C212" s="40" t="s">
        <v>168</v>
      </c>
      <c r="D212" s="40" t="s">
        <v>186</v>
      </c>
      <c r="E212" s="40">
        <v>1</v>
      </c>
      <c r="F212" s="43" t="s">
        <v>45</v>
      </c>
      <c r="G212" s="43" t="s">
        <v>186</v>
      </c>
    </row>
    <row r="213" spans="1:7" x14ac:dyDescent="0.25">
      <c r="A213" s="40">
        <v>208</v>
      </c>
      <c r="B213" s="40" t="s">
        <v>449</v>
      </c>
      <c r="C213" s="40" t="s">
        <v>167</v>
      </c>
      <c r="D213" s="40" t="s">
        <v>1932</v>
      </c>
      <c r="E213" s="40">
        <v>10</v>
      </c>
      <c r="F213" s="43" t="s">
        <v>45</v>
      </c>
      <c r="G213" s="43" t="s">
        <v>1980</v>
      </c>
    </row>
    <row r="214" spans="1:7" x14ac:dyDescent="0.25">
      <c r="A214" s="40">
        <v>209</v>
      </c>
      <c r="B214" s="40" t="s">
        <v>450</v>
      </c>
      <c r="C214" s="40" t="s">
        <v>167</v>
      </c>
      <c r="D214" s="40" t="s">
        <v>1961</v>
      </c>
      <c r="E214" s="40">
        <v>12</v>
      </c>
      <c r="F214" s="43" t="s">
        <v>45</v>
      </c>
      <c r="G214" s="43" t="s">
        <v>175</v>
      </c>
    </row>
    <row r="215" spans="1:7" x14ac:dyDescent="0.25">
      <c r="A215" s="40">
        <v>210</v>
      </c>
      <c r="B215" s="40" t="s">
        <v>451</v>
      </c>
      <c r="C215" s="40" t="s">
        <v>168</v>
      </c>
      <c r="D215" s="40" t="s">
        <v>198</v>
      </c>
      <c r="E215" s="40">
        <v>1</v>
      </c>
      <c r="F215" s="43" t="s">
        <v>45</v>
      </c>
      <c r="G215" s="43" t="s">
        <v>188</v>
      </c>
    </row>
    <row r="216" spans="1:7" x14ac:dyDescent="0.25">
      <c r="A216" s="40">
        <v>211</v>
      </c>
      <c r="B216" s="40" t="s">
        <v>452</v>
      </c>
      <c r="C216" s="40" t="s">
        <v>167</v>
      </c>
      <c r="D216" s="40" t="s">
        <v>1932</v>
      </c>
      <c r="E216" s="40">
        <v>12</v>
      </c>
      <c r="F216" s="43" t="s">
        <v>45</v>
      </c>
      <c r="G216" s="43" t="s">
        <v>1980</v>
      </c>
    </row>
    <row r="217" spans="1:7" x14ac:dyDescent="0.25">
      <c r="A217" s="40">
        <v>212</v>
      </c>
      <c r="B217" s="40" t="s">
        <v>453</v>
      </c>
      <c r="C217" s="40" t="s">
        <v>168</v>
      </c>
      <c r="D217" s="40" t="s">
        <v>1943</v>
      </c>
      <c r="E217" s="40">
        <v>5</v>
      </c>
      <c r="F217" s="43" t="s">
        <v>45</v>
      </c>
      <c r="G217" s="43" t="s">
        <v>183</v>
      </c>
    </row>
    <row r="218" spans="1:7" x14ac:dyDescent="0.25">
      <c r="A218" s="40">
        <v>213</v>
      </c>
      <c r="B218" s="40" t="s">
        <v>454</v>
      </c>
      <c r="C218" s="40" t="s">
        <v>168</v>
      </c>
      <c r="D218" s="40" t="s">
        <v>193</v>
      </c>
      <c r="E218" s="40">
        <v>6</v>
      </c>
      <c r="F218" s="43" t="s">
        <v>51</v>
      </c>
    </row>
    <row r="219" spans="1:7" x14ac:dyDescent="0.25">
      <c r="A219" s="40">
        <v>214</v>
      </c>
      <c r="B219" s="40" t="s">
        <v>455</v>
      </c>
      <c r="C219" s="40" t="s">
        <v>167</v>
      </c>
      <c r="D219" s="40" t="s">
        <v>1966</v>
      </c>
      <c r="E219" s="40">
        <v>10</v>
      </c>
      <c r="F219" s="43" t="s">
        <v>45</v>
      </c>
      <c r="G219" s="43" t="s">
        <v>177</v>
      </c>
    </row>
    <row r="220" spans="1:7" x14ac:dyDescent="0.25">
      <c r="A220" s="40">
        <v>215</v>
      </c>
      <c r="B220" s="40" t="s">
        <v>456</v>
      </c>
      <c r="C220" s="40" t="s">
        <v>168</v>
      </c>
      <c r="D220" s="40" t="s">
        <v>1963</v>
      </c>
      <c r="E220" s="40">
        <v>3</v>
      </c>
      <c r="F220" s="43" t="s">
        <v>45</v>
      </c>
      <c r="G220" s="43" t="s">
        <v>191</v>
      </c>
    </row>
    <row r="221" spans="1:7" x14ac:dyDescent="0.25">
      <c r="A221" s="40">
        <v>216</v>
      </c>
      <c r="B221" s="40" t="s">
        <v>457</v>
      </c>
      <c r="C221" s="40" t="s">
        <v>167</v>
      </c>
      <c r="D221" s="40" t="s">
        <v>180</v>
      </c>
      <c r="E221" s="40">
        <v>3</v>
      </c>
      <c r="F221" s="43" t="s">
        <v>45</v>
      </c>
      <c r="G221" s="43" t="s">
        <v>180</v>
      </c>
    </row>
    <row r="222" spans="1:7" x14ac:dyDescent="0.25">
      <c r="A222" s="40">
        <v>217</v>
      </c>
      <c r="B222" s="40" t="s">
        <v>458</v>
      </c>
      <c r="C222" s="40" t="s">
        <v>168</v>
      </c>
      <c r="D222" s="40" t="s">
        <v>1934</v>
      </c>
      <c r="E222" s="40">
        <v>7</v>
      </c>
      <c r="F222" s="43" t="s">
        <v>45</v>
      </c>
      <c r="G222" s="43" t="s">
        <v>182</v>
      </c>
    </row>
    <row r="223" spans="1:7" x14ac:dyDescent="0.25">
      <c r="A223" s="40">
        <v>218</v>
      </c>
      <c r="B223" s="40" t="s">
        <v>459</v>
      </c>
      <c r="C223" s="40" t="s">
        <v>168</v>
      </c>
      <c r="D223" s="40" t="s">
        <v>181</v>
      </c>
      <c r="E223" s="40">
        <v>1</v>
      </c>
      <c r="F223" s="43" t="s">
        <v>45</v>
      </c>
      <c r="G223" s="43" t="s">
        <v>179</v>
      </c>
    </row>
    <row r="224" spans="1:7" x14ac:dyDescent="0.25">
      <c r="A224" s="40">
        <v>219</v>
      </c>
      <c r="B224" s="40" t="s">
        <v>460</v>
      </c>
      <c r="C224" s="40" t="s">
        <v>167</v>
      </c>
      <c r="D224" s="40" t="s">
        <v>180</v>
      </c>
      <c r="E224" s="40">
        <v>4</v>
      </c>
      <c r="F224" s="43" t="s">
        <v>45</v>
      </c>
      <c r="G224" s="43" t="s">
        <v>180</v>
      </c>
    </row>
    <row r="225" spans="1:7" x14ac:dyDescent="0.25">
      <c r="A225" s="40">
        <v>220</v>
      </c>
      <c r="B225" s="40" t="s">
        <v>461</v>
      </c>
      <c r="C225" s="40" t="s">
        <v>167</v>
      </c>
      <c r="D225" s="40" t="s">
        <v>180</v>
      </c>
      <c r="F225" s="43" t="s">
        <v>45</v>
      </c>
      <c r="G225" s="43" t="s">
        <v>180</v>
      </c>
    </row>
    <row r="226" spans="1:7" x14ac:dyDescent="0.25">
      <c r="A226" s="40">
        <v>221</v>
      </c>
      <c r="B226" s="40" t="s">
        <v>462</v>
      </c>
      <c r="C226" s="40" t="s">
        <v>167</v>
      </c>
      <c r="D226" s="40" t="s">
        <v>181</v>
      </c>
      <c r="E226" s="40">
        <v>7</v>
      </c>
      <c r="F226" s="43" t="s">
        <v>45</v>
      </c>
      <c r="G226" s="43" t="s">
        <v>181</v>
      </c>
    </row>
    <row r="227" spans="1:7" x14ac:dyDescent="0.25">
      <c r="A227" s="40">
        <v>222</v>
      </c>
      <c r="B227" s="40" t="s">
        <v>463</v>
      </c>
      <c r="C227" s="40" t="s">
        <v>167</v>
      </c>
      <c r="D227" s="40" t="s">
        <v>180</v>
      </c>
      <c r="E227" s="40">
        <v>13</v>
      </c>
      <c r="F227" s="43" t="s">
        <v>45</v>
      </c>
      <c r="G227" s="43" t="s">
        <v>180</v>
      </c>
    </row>
    <row r="228" spans="1:7" x14ac:dyDescent="0.25">
      <c r="A228" s="40">
        <v>223</v>
      </c>
      <c r="B228" s="40" t="s">
        <v>464</v>
      </c>
      <c r="C228" s="40" t="s">
        <v>167</v>
      </c>
      <c r="D228" s="40" t="s">
        <v>180</v>
      </c>
      <c r="E228" s="40">
        <v>5</v>
      </c>
      <c r="F228" s="43" t="s">
        <v>45</v>
      </c>
      <c r="G228" s="43" t="s">
        <v>180</v>
      </c>
    </row>
    <row r="229" spans="1:7" x14ac:dyDescent="0.25">
      <c r="A229" s="40">
        <v>224</v>
      </c>
      <c r="B229" s="40" t="s">
        <v>465</v>
      </c>
      <c r="C229" s="40" t="s">
        <v>167</v>
      </c>
      <c r="D229" s="40" t="s">
        <v>192</v>
      </c>
      <c r="E229" s="40">
        <v>4</v>
      </c>
      <c r="F229" s="43" t="s">
        <v>45</v>
      </c>
      <c r="G229" s="43" t="s">
        <v>192</v>
      </c>
    </row>
    <row r="230" spans="1:7" x14ac:dyDescent="0.25">
      <c r="A230" s="40">
        <v>225</v>
      </c>
      <c r="B230" s="40" t="s">
        <v>466</v>
      </c>
      <c r="C230" s="40" t="s">
        <v>167</v>
      </c>
      <c r="D230" s="40" t="s">
        <v>185</v>
      </c>
      <c r="E230" s="40">
        <v>1</v>
      </c>
      <c r="F230" s="43" t="s">
        <v>45</v>
      </c>
      <c r="G230" s="43" t="s">
        <v>185</v>
      </c>
    </row>
    <row r="231" spans="1:7" x14ac:dyDescent="0.25">
      <c r="A231" s="40">
        <v>226</v>
      </c>
      <c r="B231" s="40" t="s">
        <v>467</v>
      </c>
      <c r="C231" s="40" t="s">
        <v>168</v>
      </c>
      <c r="D231" s="40" t="s">
        <v>193</v>
      </c>
      <c r="E231" s="40">
        <v>1</v>
      </c>
      <c r="F231" s="43" t="s">
        <v>51</v>
      </c>
    </row>
    <row r="232" spans="1:7" x14ac:dyDescent="0.25">
      <c r="A232" s="40">
        <v>227</v>
      </c>
      <c r="B232" s="40" t="s">
        <v>468</v>
      </c>
      <c r="C232" s="40" t="s">
        <v>168</v>
      </c>
      <c r="D232" s="40" t="s">
        <v>181</v>
      </c>
      <c r="E232" s="40">
        <v>9</v>
      </c>
      <c r="F232" s="43" t="s">
        <v>45</v>
      </c>
      <c r="G232" s="43" t="s">
        <v>181</v>
      </c>
    </row>
    <row r="233" spans="1:7" x14ac:dyDescent="0.25">
      <c r="A233" s="40">
        <v>228</v>
      </c>
      <c r="B233" s="40" t="s">
        <v>469</v>
      </c>
      <c r="C233" s="40" t="s">
        <v>168</v>
      </c>
      <c r="D233" s="40" t="s">
        <v>181</v>
      </c>
      <c r="E233" s="40">
        <v>6</v>
      </c>
      <c r="F233" s="43" t="s">
        <v>45</v>
      </c>
      <c r="G233" s="43" t="s">
        <v>179</v>
      </c>
    </row>
    <row r="234" spans="1:7" x14ac:dyDescent="0.25">
      <c r="A234" s="40">
        <v>229</v>
      </c>
      <c r="B234" s="40" t="s">
        <v>470</v>
      </c>
      <c r="C234" s="40" t="s">
        <v>167</v>
      </c>
      <c r="D234" s="40" t="s">
        <v>1962</v>
      </c>
      <c r="E234" s="40">
        <v>5</v>
      </c>
      <c r="F234" s="43" t="s">
        <v>45</v>
      </c>
      <c r="G234" s="43" t="s">
        <v>179</v>
      </c>
    </row>
    <row r="235" spans="1:7" x14ac:dyDescent="0.25">
      <c r="A235" s="40">
        <v>230</v>
      </c>
      <c r="B235" s="40" t="s">
        <v>471</v>
      </c>
      <c r="C235" s="40" t="s">
        <v>168</v>
      </c>
      <c r="D235" s="40" t="s">
        <v>1962</v>
      </c>
      <c r="E235" s="40">
        <v>6</v>
      </c>
      <c r="F235" s="43" t="s">
        <v>45</v>
      </c>
      <c r="G235" s="43" t="s">
        <v>179</v>
      </c>
    </row>
    <row r="236" spans="1:7" x14ac:dyDescent="0.25">
      <c r="A236" s="40">
        <v>231</v>
      </c>
      <c r="B236" s="40" t="s">
        <v>472</v>
      </c>
      <c r="C236" s="40" t="s">
        <v>167</v>
      </c>
      <c r="D236" s="40" t="s">
        <v>1946</v>
      </c>
      <c r="E236" s="40">
        <v>3</v>
      </c>
      <c r="F236" s="43" t="s">
        <v>45</v>
      </c>
      <c r="G236" s="43" t="s">
        <v>179</v>
      </c>
    </row>
    <row r="237" spans="1:7" x14ac:dyDescent="0.25">
      <c r="A237" s="40">
        <v>232</v>
      </c>
      <c r="B237" s="40" t="s">
        <v>473</v>
      </c>
      <c r="C237" s="40" t="s">
        <v>167</v>
      </c>
      <c r="D237" s="40" t="s">
        <v>1962</v>
      </c>
      <c r="E237" s="40">
        <v>4</v>
      </c>
      <c r="F237" s="43" t="s">
        <v>45</v>
      </c>
      <c r="G237" s="43" t="s">
        <v>179</v>
      </c>
    </row>
    <row r="238" spans="1:7" x14ac:dyDescent="0.25">
      <c r="A238" s="40">
        <v>233</v>
      </c>
      <c r="B238" s="40" t="s">
        <v>474</v>
      </c>
      <c r="C238" s="40" t="s">
        <v>168</v>
      </c>
      <c r="D238" s="40" t="s">
        <v>193</v>
      </c>
      <c r="E238" s="40">
        <v>5</v>
      </c>
      <c r="F238" s="43" t="s">
        <v>45</v>
      </c>
      <c r="G238" s="43" t="s">
        <v>169</v>
      </c>
    </row>
    <row r="239" spans="1:7" x14ac:dyDescent="0.25">
      <c r="A239" s="40">
        <v>234</v>
      </c>
      <c r="B239" s="40" t="s">
        <v>475</v>
      </c>
      <c r="C239" s="40" t="s">
        <v>167</v>
      </c>
      <c r="D239" s="40" t="s">
        <v>1967</v>
      </c>
      <c r="E239" s="40">
        <v>6</v>
      </c>
      <c r="F239" s="43" t="s">
        <v>45</v>
      </c>
      <c r="G239" s="43" t="s">
        <v>172</v>
      </c>
    </row>
    <row r="240" spans="1:7" x14ac:dyDescent="0.25">
      <c r="A240" s="40">
        <v>235</v>
      </c>
      <c r="B240" s="40" t="s">
        <v>476</v>
      </c>
      <c r="C240" s="40" t="s">
        <v>167</v>
      </c>
      <c r="D240" s="40" t="s">
        <v>181</v>
      </c>
      <c r="E240" s="40">
        <v>8</v>
      </c>
      <c r="F240" s="43" t="s">
        <v>45</v>
      </c>
      <c r="G240" s="43" t="s">
        <v>179</v>
      </c>
    </row>
    <row r="241" spans="1:7" x14ac:dyDescent="0.25">
      <c r="A241" s="40">
        <v>236</v>
      </c>
      <c r="B241" s="40" t="s">
        <v>477</v>
      </c>
      <c r="C241" s="40" t="s">
        <v>168</v>
      </c>
      <c r="D241" s="40" t="s">
        <v>198</v>
      </c>
      <c r="E241" s="40">
        <v>5</v>
      </c>
      <c r="F241" s="43" t="s">
        <v>45</v>
      </c>
      <c r="G241" s="43" t="s">
        <v>188</v>
      </c>
    </row>
    <row r="242" spans="1:7" x14ac:dyDescent="0.25">
      <c r="A242" s="40">
        <v>237</v>
      </c>
      <c r="B242" s="40" t="s">
        <v>478</v>
      </c>
      <c r="C242" s="40" t="s">
        <v>167</v>
      </c>
      <c r="D242" s="40" t="s">
        <v>181</v>
      </c>
      <c r="E242" s="40">
        <v>5</v>
      </c>
      <c r="F242" s="43" t="s">
        <v>45</v>
      </c>
      <c r="G242" s="43" t="s">
        <v>179</v>
      </c>
    </row>
    <row r="243" spans="1:7" x14ac:dyDescent="0.25">
      <c r="A243" s="40">
        <v>238</v>
      </c>
      <c r="B243" s="40" t="s">
        <v>479</v>
      </c>
      <c r="C243" s="40" t="s">
        <v>167</v>
      </c>
      <c r="D243" s="40" t="s">
        <v>193</v>
      </c>
      <c r="E243" s="40">
        <v>2</v>
      </c>
      <c r="F243" s="43" t="s">
        <v>45</v>
      </c>
      <c r="G243" s="43" t="s">
        <v>1985</v>
      </c>
    </row>
    <row r="244" spans="1:7" x14ac:dyDescent="0.25">
      <c r="A244" s="40">
        <v>239</v>
      </c>
      <c r="B244" s="40" t="s">
        <v>480</v>
      </c>
      <c r="C244" s="40" t="s">
        <v>167</v>
      </c>
      <c r="D244" s="40" t="s">
        <v>2007</v>
      </c>
      <c r="E244" s="40">
        <v>2</v>
      </c>
      <c r="F244" s="43" t="s">
        <v>45</v>
      </c>
      <c r="G244" s="43" t="s">
        <v>179</v>
      </c>
    </row>
    <row r="245" spans="1:7" x14ac:dyDescent="0.25">
      <c r="A245" s="40">
        <v>240</v>
      </c>
      <c r="B245" s="40" t="s">
        <v>481</v>
      </c>
      <c r="C245" s="40" t="s">
        <v>167</v>
      </c>
      <c r="D245" s="40" t="s">
        <v>185</v>
      </c>
      <c r="E245" s="40">
        <v>3</v>
      </c>
      <c r="F245" s="43" t="s">
        <v>45</v>
      </c>
      <c r="G245" s="43" t="s">
        <v>185</v>
      </c>
    </row>
    <row r="246" spans="1:7" x14ac:dyDescent="0.25">
      <c r="A246" s="40">
        <v>241</v>
      </c>
      <c r="B246" s="40" t="s">
        <v>482</v>
      </c>
      <c r="C246" s="40" t="s">
        <v>168</v>
      </c>
      <c r="D246" s="40" t="s">
        <v>1962</v>
      </c>
      <c r="E246" s="40">
        <v>4</v>
      </c>
      <c r="F246" s="43" t="s">
        <v>45</v>
      </c>
      <c r="G246" s="43" t="s">
        <v>179</v>
      </c>
    </row>
    <row r="247" spans="1:7" x14ac:dyDescent="0.25">
      <c r="A247" s="40">
        <v>242</v>
      </c>
      <c r="B247" s="40" t="s">
        <v>483</v>
      </c>
      <c r="C247" s="40" t="s">
        <v>168</v>
      </c>
      <c r="D247" s="40" t="s">
        <v>1944</v>
      </c>
      <c r="E247" s="40">
        <v>5</v>
      </c>
      <c r="F247" s="43" t="s">
        <v>45</v>
      </c>
      <c r="G247" s="43" t="s">
        <v>183</v>
      </c>
    </row>
    <row r="248" spans="1:7" x14ac:dyDescent="0.25">
      <c r="A248" s="40">
        <v>243</v>
      </c>
      <c r="B248" s="40" t="s">
        <v>484</v>
      </c>
      <c r="C248" s="40" t="s">
        <v>167</v>
      </c>
      <c r="D248" s="40" t="s">
        <v>172</v>
      </c>
      <c r="E248" s="40">
        <v>6</v>
      </c>
      <c r="F248" s="43" t="s">
        <v>45</v>
      </c>
      <c r="G248" s="43" t="s">
        <v>172</v>
      </c>
    </row>
    <row r="249" spans="1:7" x14ac:dyDescent="0.25">
      <c r="A249" s="40">
        <v>244</v>
      </c>
      <c r="B249" s="40" t="s">
        <v>485</v>
      </c>
      <c r="C249" s="40" t="s">
        <v>167</v>
      </c>
      <c r="D249" s="40" t="s">
        <v>1946</v>
      </c>
      <c r="E249" s="40">
        <v>7</v>
      </c>
      <c r="F249" s="43" t="s">
        <v>45</v>
      </c>
      <c r="G249" s="43" t="s">
        <v>179</v>
      </c>
    </row>
    <row r="250" spans="1:7" x14ac:dyDescent="0.25">
      <c r="A250" s="40">
        <v>245</v>
      </c>
      <c r="B250" s="40" t="s">
        <v>486</v>
      </c>
      <c r="C250" s="40" t="s">
        <v>168</v>
      </c>
      <c r="D250" s="40" t="s">
        <v>1955</v>
      </c>
      <c r="E250" s="40">
        <v>4</v>
      </c>
      <c r="F250" s="43" t="s">
        <v>1978</v>
      </c>
    </row>
    <row r="251" spans="1:7" x14ac:dyDescent="0.25">
      <c r="A251" s="40">
        <v>246</v>
      </c>
      <c r="B251" s="40" t="s">
        <v>487</v>
      </c>
      <c r="C251" s="40" t="s">
        <v>167</v>
      </c>
      <c r="D251" s="40" t="s">
        <v>1944</v>
      </c>
      <c r="E251" s="40">
        <v>11</v>
      </c>
      <c r="F251" s="43" t="s">
        <v>45</v>
      </c>
      <c r="G251" s="43" t="s">
        <v>183</v>
      </c>
    </row>
    <row r="252" spans="1:7" x14ac:dyDescent="0.25">
      <c r="A252" s="40">
        <v>247</v>
      </c>
      <c r="B252" s="40" t="s">
        <v>488</v>
      </c>
      <c r="C252" s="40" t="s">
        <v>167</v>
      </c>
      <c r="D252" s="40" t="s">
        <v>1943</v>
      </c>
      <c r="E252" s="40">
        <v>15</v>
      </c>
      <c r="F252" s="43" t="s">
        <v>45</v>
      </c>
      <c r="G252" s="43" t="s">
        <v>183</v>
      </c>
    </row>
    <row r="253" spans="1:7" x14ac:dyDescent="0.25">
      <c r="A253" s="40">
        <v>248</v>
      </c>
      <c r="B253" s="40" t="s">
        <v>489</v>
      </c>
      <c r="C253" s="40" t="s">
        <v>167</v>
      </c>
      <c r="D253" s="40" t="s">
        <v>1944</v>
      </c>
      <c r="E253" s="40">
        <v>9</v>
      </c>
      <c r="F253" s="43" t="s">
        <v>45</v>
      </c>
      <c r="G253" s="43" t="s">
        <v>183</v>
      </c>
    </row>
    <row r="254" spans="1:7" x14ac:dyDescent="0.25">
      <c r="A254" s="40">
        <v>249</v>
      </c>
      <c r="B254" s="40" t="s">
        <v>490</v>
      </c>
      <c r="C254" s="40" t="s">
        <v>168</v>
      </c>
      <c r="D254" s="40" t="s">
        <v>193</v>
      </c>
      <c r="E254" s="40">
        <v>7</v>
      </c>
      <c r="F254" s="43" t="s">
        <v>45</v>
      </c>
      <c r="G254" s="43" t="s">
        <v>1985</v>
      </c>
    </row>
    <row r="255" spans="1:7" x14ac:dyDescent="0.25">
      <c r="A255" s="40">
        <v>250</v>
      </c>
      <c r="B255" s="40" t="s">
        <v>491</v>
      </c>
      <c r="C255" s="40" t="s">
        <v>167</v>
      </c>
      <c r="D255" s="40" t="s">
        <v>1944</v>
      </c>
      <c r="E255" s="40">
        <v>5</v>
      </c>
      <c r="F255" s="43" t="s">
        <v>45</v>
      </c>
      <c r="G255" s="43" t="s">
        <v>183</v>
      </c>
    </row>
    <row r="256" spans="1:7" x14ac:dyDescent="0.25">
      <c r="A256" s="40">
        <v>251</v>
      </c>
      <c r="B256" s="40" t="s">
        <v>492</v>
      </c>
      <c r="C256" s="40" t="s">
        <v>168</v>
      </c>
      <c r="D256" s="40" t="s">
        <v>181</v>
      </c>
      <c r="E256" s="40">
        <v>10</v>
      </c>
      <c r="F256" s="43" t="s">
        <v>45</v>
      </c>
      <c r="G256" s="43" t="s">
        <v>181</v>
      </c>
    </row>
    <row r="257" spans="1:7" x14ac:dyDescent="0.25">
      <c r="A257" s="40">
        <v>252</v>
      </c>
      <c r="B257" s="40" t="s">
        <v>493</v>
      </c>
      <c r="C257" s="40" t="s">
        <v>167</v>
      </c>
      <c r="D257" s="40" t="s">
        <v>1950</v>
      </c>
      <c r="E257" s="40">
        <v>8</v>
      </c>
      <c r="F257" s="43" t="s">
        <v>45</v>
      </c>
      <c r="G257" s="43" t="s">
        <v>183</v>
      </c>
    </row>
    <row r="258" spans="1:7" x14ac:dyDescent="0.25">
      <c r="A258" s="40">
        <v>253</v>
      </c>
      <c r="B258" s="40" t="s">
        <v>494</v>
      </c>
      <c r="C258" s="40" t="s">
        <v>167</v>
      </c>
      <c r="D258" s="40" t="s">
        <v>1943</v>
      </c>
      <c r="E258" s="40">
        <v>10</v>
      </c>
      <c r="F258" s="43" t="s">
        <v>45</v>
      </c>
      <c r="G258" s="43" t="s">
        <v>183</v>
      </c>
    </row>
    <row r="259" spans="1:7" x14ac:dyDescent="0.25">
      <c r="A259" s="40">
        <v>254</v>
      </c>
      <c r="B259" s="40" t="s">
        <v>495</v>
      </c>
      <c r="C259" s="40" t="s">
        <v>168</v>
      </c>
      <c r="D259" s="40" t="s">
        <v>198</v>
      </c>
      <c r="E259" s="40">
        <v>2</v>
      </c>
      <c r="F259" s="43" t="s">
        <v>45</v>
      </c>
      <c r="G259" s="43" t="s">
        <v>188</v>
      </c>
    </row>
    <row r="260" spans="1:7" x14ac:dyDescent="0.25">
      <c r="A260" s="40">
        <v>255</v>
      </c>
      <c r="B260" s="40" t="s">
        <v>496</v>
      </c>
      <c r="C260" s="40" t="s">
        <v>167</v>
      </c>
      <c r="D260" s="40" t="s">
        <v>186</v>
      </c>
      <c r="E260" s="40">
        <v>13</v>
      </c>
      <c r="F260" s="43" t="s">
        <v>45</v>
      </c>
      <c r="G260" s="43" t="s">
        <v>186</v>
      </c>
    </row>
    <row r="261" spans="1:7" x14ac:dyDescent="0.25">
      <c r="A261" s="40">
        <v>256</v>
      </c>
      <c r="B261" s="40" t="s">
        <v>497</v>
      </c>
      <c r="C261" s="40" t="s">
        <v>168</v>
      </c>
      <c r="D261" s="40" t="s">
        <v>192</v>
      </c>
      <c r="E261" s="40">
        <v>2</v>
      </c>
      <c r="F261" s="43" t="s">
        <v>45</v>
      </c>
      <c r="G261" s="43" t="s">
        <v>192</v>
      </c>
    </row>
    <row r="262" spans="1:7" x14ac:dyDescent="0.25">
      <c r="A262" s="40">
        <v>257</v>
      </c>
      <c r="B262" s="40" t="s">
        <v>498</v>
      </c>
      <c r="C262" s="40" t="s">
        <v>168</v>
      </c>
      <c r="D262" s="40" t="s">
        <v>198</v>
      </c>
      <c r="E262" s="40">
        <v>3</v>
      </c>
      <c r="F262" s="43" t="s">
        <v>51</v>
      </c>
    </row>
    <row r="263" spans="1:7" x14ac:dyDescent="0.25">
      <c r="A263" s="40">
        <v>258</v>
      </c>
      <c r="B263" s="40" t="s">
        <v>499</v>
      </c>
      <c r="C263" s="40" t="s">
        <v>167</v>
      </c>
      <c r="D263" s="40" t="s">
        <v>1937</v>
      </c>
      <c r="E263" s="40">
        <v>6</v>
      </c>
      <c r="F263" s="43" t="s">
        <v>45</v>
      </c>
      <c r="G263" s="43" t="s">
        <v>174</v>
      </c>
    </row>
    <row r="264" spans="1:7" x14ac:dyDescent="0.25">
      <c r="A264" s="40">
        <v>259</v>
      </c>
      <c r="B264" s="40" t="s">
        <v>500</v>
      </c>
      <c r="C264" s="40" t="s">
        <v>167</v>
      </c>
      <c r="D264" s="40" t="s">
        <v>1951</v>
      </c>
      <c r="E264" s="40">
        <v>5</v>
      </c>
      <c r="F264" s="43" t="s">
        <v>45</v>
      </c>
      <c r="G264" s="43" t="s">
        <v>182</v>
      </c>
    </row>
    <row r="265" spans="1:7" x14ac:dyDescent="0.25">
      <c r="A265" s="40">
        <v>260</v>
      </c>
      <c r="B265" s="40" t="s">
        <v>501</v>
      </c>
      <c r="C265" s="40" t="s">
        <v>168</v>
      </c>
      <c r="D265" s="40" t="s">
        <v>1963</v>
      </c>
      <c r="E265" s="40">
        <v>3</v>
      </c>
      <c r="F265" s="43" t="s">
        <v>45</v>
      </c>
      <c r="G265" s="43" t="s">
        <v>191</v>
      </c>
    </row>
    <row r="266" spans="1:7" x14ac:dyDescent="0.25">
      <c r="A266" s="40">
        <v>261</v>
      </c>
      <c r="B266" s="40" t="s">
        <v>502</v>
      </c>
      <c r="C266" s="40" t="s">
        <v>167</v>
      </c>
      <c r="D266" s="40" t="s">
        <v>198</v>
      </c>
      <c r="E266" s="40">
        <v>2</v>
      </c>
      <c r="F266" s="43" t="s">
        <v>45</v>
      </c>
      <c r="G266" s="43" t="s">
        <v>188</v>
      </c>
    </row>
    <row r="267" spans="1:7" x14ac:dyDescent="0.25">
      <c r="A267" s="40">
        <v>262</v>
      </c>
      <c r="B267" s="40" t="s">
        <v>503</v>
      </c>
      <c r="C267" s="40" t="s">
        <v>168</v>
      </c>
      <c r="D267" s="40" t="s">
        <v>198</v>
      </c>
      <c r="E267" s="40">
        <v>6</v>
      </c>
      <c r="F267" s="43" t="s">
        <v>45</v>
      </c>
      <c r="G267" s="43" t="s">
        <v>188</v>
      </c>
    </row>
    <row r="268" spans="1:7" x14ac:dyDescent="0.25">
      <c r="A268" s="40">
        <v>263</v>
      </c>
      <c r="B268" s="40" t="s">
        <v>504</v>
      </c>
      <c r="C268" s="40" t="s">
        <v>168</v>
      </c>
      <c r="D268" s="40" t="s">
        <v>198</v>
      </c>
      <c r="E268" s="40">
        <v>9</v>
      </c>
      <c r="F268" s="43" t="s">
        <v>45</v>
      </c>
      <c r="G268" s="43" t="s">
        <v>188</v>
      </c>
    </row>
    <row r="269" spans="1:7" x14ac:dyDescent="0.25">
      <c r="A269" s="40">
        <v>264</v>
      </c>
      <c r="B269" s="40" t="s">
        <v>505</v>
      </c>
      <c r="C269" s="40" t="s">
        <v>167</v>
      </c>
      <c r="D269" s="40" t="s">
        <v>198</v>
      </c>
      <c r="E269" s="40">
        <v>5</v>
      </c>
      <c r="F269" s="43" t="s">
        <v>45</v>
      </c>
      <c r="G269" s="43" t="s">
        <v>187</v>
      </c>
    </row>
    <row r="270" spans="1:7" x14ac:dyDescent="0.25">
      <c r="A270" s="40">
        <v>265</v>
      </c>
      <c r="B270" s="40" t="s">
        <v>506</v>
      </c>
      <c r="C270" s="40" t="s">
        <v>168</v>
      </c>
      <c r="D270" s="40" t="s">
        <v>193</v>
      </c>
      <c r="E270" s="40">
        <v>3</v>
      </c>
      <c r="F270" s="43" t="s">
        <v>45</v>
      </c>
      <c r="G270" s="43" t="s">
        <v>169</v>
      </c>
    </row>
    <row r="271" spans="1:7" x14ac:dyDescent="0.25">
      <c r="A271" s="40">
        <v>266</v>
      </c>
      <c r="B271" s="40" t="s">
        <v>507</v>
      </c>
      <c r="C271" s="40" t="s">
        <v>168</v>
      </c>
      <c r="D271" s="40" t="s">
        <v>193</v>
      </c>
      <c r="E271" s="40">
        <v>4</v>
      </c>
      <c r="F271" s="43" t="s">
        <v>45</v>
      </c>
      <c r="G271" s="43" t="s">
        <v>1986</v>
      </c>
    </row>
    <row r="272" spans="1:7" x14ac:dyDescent="0.25">
      <c r="A272" s="40">
        <v>267</v>
      </c>
      <c r="B272" s="40" t="s">
        <v>508</v>
      </c>
      <c r="C272" s="40" t="s">
        <v>167</v>
      </c>
      <c r="D272" s="40" t="s">
        <v>172</v>
      </c>
      <c r="E272" s="40">
        <v>8</v>
      </c>
      <c r="F272" s="43" t="s">
        <v>45</v>
      </c>
      <c r="G272" s="43" t="s">
        <v>172</v>
      </c>
    </row>
    <row r="273" spans="1:7" x14ac:dyDescent="0.25">
      <c r="A273" s="40">
        <v>268</v>
      </c>
      <c r="B273" s="40" t="s">
        <v>509</v>
      </c>
      <c r="C273" s="40" t="s">
        <v>168</v>
      </c>
      <c r="D273" s="40" t="s">
        <v>193</v>
      </c>
      <c r="E273" s="40">
        <v>4</v>
      </c>
      <c r="F273" s="43" t="s">
        <v>45</v>
      </c>
      <c r="G273" s="43" t="s">
        <v>169</v>
      </c>
    </row>
    <row r="274" spans="1:7" x14ac:dyDescent="0.25">
      <c r="A274" s="40">
        <v>269</v>
      </c>
      <c r="B274" s="40" t="s">
        <v>510</v>
      </c>
      <c r="C274" s="40" t="s">
        <v>168</v>
      </c>
      <c r="D274" s="40" t="s">
        <v>193</v>
      </c>
      <c r="E274" s="40">
        <v>2</v>
      </c>
      <c r="F274" s="43" t="s">
        <v>45</v>
      </c>
      <c r="G274" s="43" t="s">
        <v>1985</v>
      </c>
    </row>
    <row r="275" spans="1:7" x14ac:dyDescent="0.25">
      <c r="A275" s="40">
        <v>270</v>
      </c>
      <c r="B275" s="40" t="s">
        <v>511</v>
      </c>
      <c r="C275" s="40" t="s">
        <v>167</v>
      </c>
      <c r="D275" s="40" t="s">
        <v>172</v>
      </c>
      <c r="E275" s="40">
        <v>6</v>
      </c>
      <c r="F275" s="43" t="s">
        <v>45</v>
      </c>
      <c r="G275" s="43" t="s">
        <v>172</v>
      </c>
    </row>
    <row r="276" spans="1:7" x14ac:dyDescent="0.25">
      <c r="A276" s="40">
        <v>271</v>
      </c>
      <c r="B276" s="40" t="s">
        <v>512</v>
      </c>
      <c r="C276" s="40" t="s">
        <v>167</v>
      </c>
      <c r="D276" s="40" t="s">
        <v>1968</v>
      </c>
      <c r="E276" s="40">
        <v>3</v>
      </c>
      <c r="F276" s="43" t="s">
        <v>45</v>
      </c>
      <c r="G276" s="43" t="s">
        <v>2006</v>
      </c>
    </row>
    <row r="277" spans="1:7" x14ac:dyDescent="0.25">
      <c r="A277" s="40">
        <v>272</v>
      </c>
      <c r="B277" s="40" t="s">
        <v>513</v>
      </c>
      <c r="C277" s="40" t="s">
        <v>168</v>
      </c>
      <c r="D277" s="40" t="s">
        <v>193</v>
      </c>
      <c r="E277" s="40">
        <v>2</v>
      </c>
      <c r="F277" s="43" t="s">
        <v>45</v>
      </c>
      <c r="G277" s="43" t="s">
        <v>1986</v>
      </c>
    </row>
    <row r="278" spans="1:7" x14ac:dyDescent="0.25">
      <c r="A278" s="40">
        <v>273</v>
      </c>
      <c r="B278" s="40" t="s">
        <v>514</v>
      </c>
      <c r="C278" s="40" t="s">
        <v>167</v>
      </c>
      <c r="D278" s="40" t="s">
        <v>193</v>
      </c>
      <c r="E278" s="40">
        <v>7</v>
      </c>
      <c r="F278" s="43" t="s">
        <v>45</v>
      </c>
      <c r="G278" s="43" t="s">
        <v>193</v>
      </c>
    </row>
    <row r="279" spans="1:7" x14ac:dyDescent="0.25">
      <c r="A279" s="40">
        <v>274</v>
      </c>
      <c r="B279" s="40" t="s">
        <v>515</v>
      </c>
      <c r="C279" s="40" t="s">
        <v>167</v>
      </c>
      <c r="D279" s="40" t="s">
        <v>172</v>
      </c>
      <c r="E279" s="40">
        <v>7</v>
      </c>
      <c r="F279" s="43" t="s">
        <v>45</v>
      </c>
      <c r="G279" s="43" t="s">
        <v>172</v>
      </c>
    </row>
    <row r="280" spans="1:7" x14ac:dyDescent="0.25">
      <c r="A280" s="40">
        <v>275</v>
      </c>
      <c r="B280" s="40" t="s">
        <v>516</v>
      </c>
      <c r="C280" s="40" t="s">
        <v>168</v>
      </c>
      <c r="D280" s="40" t="s">
        <v>198</v>
      </c>
      <c r="E280" s="40">
        <v>4</v>
      </c>
      <c r="F280" s="43" t="s">
        <v>51</v>
      </c>
    </row>
    <row r="281" spans="1:7" x14ac:dyDescent="0.25">
      <c r="A281" s="40">
        <v>276</v>
      </c>
      <c r="B281" s="40" t="s">
        <v>517</v>
      </c>
      <c r="C281" s="40" t="s">
        <v>167</v>
      </c>
      <c r="D281" s="40" t="s">
        <v>1968</v>
      </c>
      <c r="E281" s="40">
        <v>3</v>
      </c>
      <c r="F281" s="43" t="s">
        <v>45</v>
      </c>
      <c r="G281" s="43" t="s">
        <v>2006</v>
      </c>
    </row>
    <row r="282" spans="1:7" x14ac:dyDescent="0.25">
      <c r="A282" s="40">
        <v>277</v>
      </c>
      <c r="B282" s="40" t="s">
        <v>518</v>
      </c>
      <c r="C282" s="40" t="s">
        <v>167</v>
      </c>
      <c r="D282" s="40" t="s">
        <v>198</v>
      </c>
      <c r="E282" s="40">
        <v>6</v>
      </c>
      <c r="F282" s="43" t="s">
        <v>45</v>
      </c>
      <c r="G282" s="43" t="s">
        <v>187</v>
      </c>
    </row>
    <row r="283" spans="1:7" x14ac:dyDescent="0.25">
      <c r="A283" s="40">
        <v>278</v>
      </c>
      <c r="B283" s="40" t="s">
        <v>519</v>
      </c>
      <c r="C283" s="40" t="s">
        <v>167</v>
      </c>
      <c r="D283" s="40" t="s">
        <v>1935</v>
      </c>
      <c r="E283" s="40">
        <v>14</v>
      </c>
      <c r="F283" s="43" t="s">
        <v>45</v>
      </c>
      <c r="G283" s="43" t="s">
        <v>174</v>
      </c>
    </row>
    <row r="284" spans="1:7" x14ac:dyDescent="0.25">
      <c r="A284" s="40">
        <v>279</v>
      </c>
      <c r="B284" s="40" t="s">
        <v>520</v>
      </c>
      <c r="C284" s="40" t="s">
        <v>168</v>
      </c>
      <c r="D284" s="40" t="s">
        <v>1945</v>
      </c>
      <c r="E284" s="40">
        <v>8</v>
      </c>
      <c r="F284" s="43" t="s">
        <v>45</v>
      </c>
      <c r="G284" s="43" t="s">
        <v>184</v>
      </c>
    </row>
    <row r="285" spans="1:7" x14ac:dyDescent="0.25">
      <c r="A285" s="40">
        <v>280</v>
      </c>
      <c r="B285" s="40" t="s">
        <v>521</v>
      </c>
      <c r="C285" s="40" t="s">
        <v>167</v>
      </c>
      <c r="D285" s="40" t="s">
        <v>178</v>
      </c>
      <c r="E285" s="40">
        <v>5</v>
      </c>
      <c r="F285" s="43" t="s">
        <v>45</v>
      </c>
      <c r="G285" s="43" t="s">
        <v>178</v>
      </c>
    </row>
    <row r="286" spans="1:7" x14ac:dyDescent="0.25">
      <c r="A286" s="40">
        <v>281</v>
      </c>
      <c r="B286" s="40" t="s">
        <v>522</v>
      </c>
      <c r="C286" s="40" t="s">
        <v>167</v>
      </c>
      <c r="D286" s="40" t="s">
        <v>2007</v>
      </c>
      <c r="E286" s="40">
        <v>7</v>
      </c>
      <c r="F286" s="43" t="s">
        <v>45</v>
      </c>
      <c r="G286" s="43" t="s">
        <v>179</v>
      </c>
    </row>
    <row r="287" spans="1:7" x14ac:dyDescent="0.25">
      <c r="A287" s="40">
        <v>282</v>
      </c>
      <c r="B287" s="40" t="s">
        <v>523</v>
      </c>
      <c r="C287" s="40" t="s">
        <v>167</v>
      </c>
      <c r="D287" s="40" t="s">
        <v>198</v>
      </c>
      <c r="E287" s="40">
        <v>8</v>
      </c>
      <c r="F287" s="43" t="s">
        <v>51</v>
      </c>
    </row>
    <row r="288" spans="1:7" x14ac:dyDescent="0.25">
      <c r="A288" s="40">
        <v>283</v>
      </c>
      <c r="B288" s="40" t="s">
        <v>524</v>
      </c>
      <c r="C288" s="40" t="s">
        <v>167</v>
      </c>
      <c r="D288" s="40" t="s">
        <v>1932</v>
      </c>
      <c r="E288" s="40">
        <v>7</v>
      </c>
      <c r="F288" s="43" t="s">
        <v>45</v>
      </c>
      <c r="G288" s="43" t="s">
        <v>1980</v>
      </c>
    </row>
    <row r="289" spans="1:7" x14ac:dyDescent="0.25">
      <c r="A289" s="40">
        <v>284</v>
      </c>
      <c r="B289" s="40" t="s">
        <v>525</v>
      </c>
      <c r="C289" s="40" t="s">
        <v>168</v>
      </c>
      <c r="D289" s="40" t="s">
        <v>193</v>
      </c>
      <c r="E289" s="40">
        <v>4</v>
      </c>
      <c r="F289" s="43" t="s">
        <v>45</v>
      </c>
      <c r="G289" s="43" t="s">
        <v>169</v>
      </c>
    </row>
    <row r="290" spans="1:7" x14ac:dyDescent="0.25">
      <c r="A290" s="40">
        <v>285</v>
      </c>
      <c r="B290" s="40" t="s">
        <v>526</v>
      </c>
      <c r="C290" s="40" t="s">
        <v>168</v>
      </c>
      <c r="D290" s="40" t="s">
        <v>1947</v>
      </c>
      <c r="E290" s="40">
        <v>3</v>
      </c>
      <c r="F290" s="43" t="s">
        <v>45</v>
      </c>
      <c r="G290" s="43" t="s">
        <v>169</v>
      </c>
    </row>
    <row r="291" spans="1:7" x14ac:dyDescent="0.25">
      <c r="A291" s="40">
        <v>286</v>
      </c>
      <c r="B291" s="40" t="s">
        <v>527</v>
      </c>
      <c r="C291" s="40" t="s">
        <v>167</v>
      </c>
      <c r="D291" s="40" t="s">
        <v>181</v>
      </c>
      <c r="E291" s="40">
        <v>4</v>
      </c>
      <c r="F291" s="43" t="s">
        <v>45</v>
      </c>
      <c r="G291" s="43" t="s">
        <v>181</v>
      </c>
    </row>
    <row r="292" spans="1:7" x14ac:dyDescent="0.25">
      <c r="A292" s="40">
        <v>287</v>
      </c>
      <c r="B292" s="40" t="s">
        <v>528</v>
      </c>
      <c r="C292" s="40" t="s">
        <v>167</v>
      </c>
      <c r="D292" s="40" t="s">
        <v>181</v>
      </c>
      <c r="E292" s="40">
        <v>7</v>
      </c>
      <c r="F292" s="43" t="s">
        <v>45</v>
      </c>
      <c r="G292" s="43" t="s">
        <v>179</v>
      </c>
    </row>
    <row r="293" spans="1:7" x14ac:dyDescent="0.25">
      <c r="A293" s="40">
        <v>288</v>
      </c>
      <c r="B293" s="40" t="s">
        <v>529</v>
      </c>
      <c r="C293" s="40" t="s">
        <v>168</v>
      </c>
      <c r="D293" s="40" t="s">
        <v>193</v>
      </c>
      <c r="E293" s="40">
        <v>5</v>
      </c>
      <c r="F293" s="43" t="s">
        <v>45</v>
      </c>
      <c r="G293" s="43" t="s">
        <v>1982</v>
      </c>
    </row>
    <row r="294" spans="1:7" x14ac:dyDescent="0.25">
      <c r="A294" s="40">
        <v>289</v>
      </c>
      <c r="B294" s="40" t="s">
        <v>530</v>
      </c>
      <c r="C294" s="40" t="s">
        <v>167</v>
      </c>
      <c r="D294" s="40" t="s">
        <v>1939</v>
      </c>
      <c r="E294" s="40">
        <v>10</v>
      </c>
      <c r="F294" s="43" t="s">
        <v>45</v>
      </c>
      <c r="G294" s="43" t="s">
        <v>172</v>
      </c>
    </row>
    <row r="295" spans="1:7" x14ac:dyDescent="0.25">
      <c r="A295" s="40">
        <v>290</v>
      </c>
      <c r="B295" s="40" t="s">
        <v>531</v>
      </c>
      <c r="C295" s="40" t="s">
        <v>168</v>
      </c>
      <c r="D295" s="40" t="s">
        <v>1965</v>
      </c>
      <c r="E295" s="40">
        <v>9</v>
      </c>
      <c r="F295" s="43" t="s">
        <v>45</v>
      </c>
      <c r="G295" s="43" t="s">
        <v>172</v>
      </c>
    </row>
    <row r="296" spans="1:7" x14ac:dyDescent="0.25">
      <c r="A296" s="40">
        <v>291</v>
      </c>
      <c r="B296" s="40" t="s">
        <v>532</v>
      </c>
      <c r="C296" s="40" t="s">
        <v>168</v>
      </c>
      <c r="D296" s="40" t="s">
        <v>2007</v>
      </c>
      <c r="E296" s="40">
        <v>6</v>
      </c>
      <c r="F296" s="43" t="s">
        <v>45</v>
      </c>
      <c r="G296" s="43" t="s">
        <v>179</v>
      </c>
    </row>
    <row r="297" spans="1:7" x14ac:dyDescent="0.25">
      <c r="A297" s="40">
        <v>292</v>
      </c>
      <c r="B297" s="40" t="s">
        <v>533</v>
      </c>
      <c r="C297" s="40" t="s">
        <v>168</v>
      </c>
      <c r="D297" s="40" t="s">
        <v>1932</v>
      </c>
      <c r="E297" s="40">
        <v>4</v>
      </c>
      <c r="F297" s="43" t="s">
        <v>45</v>
      </c>
      <c r="G297" s="43" t="s">
        <v>1980</v>
      </c>
    </row>
    <row r="298" spans="1:7" x14ac:dyDescent="0.25">
      <c r="A298" s="40">
        <v>293</v>
      </c>
      <c r="B298" s="40" t="s">
        <v>534</v>
      </c>
      <c r="C298" s="40" t="s">
        <v>167</v>
      </c>
      <c r="D298" s="40" t="s">
        <v>174</v>
      </c>
      <c r="E298" s="40">
        <v>10</v>
      </c>
      <c r="F298" s="43" t="s">
        <v>45</v>
      </c>
      <c r="G298" s="43" t="s">
        <v>182</v>
      </c>
    </row>
    <row r="299" spans="1:7" x14ac:dyDescent="0.25">
      <c r="A299" s="40">
        <v>294</v>
      </c>
      <c r="B299" s="40" t="s">
        <v>535</v>
      </c>
      <c r="C299" s="40" t="s">
        <v>168</v>
      </c>
      <c r="D299" s="40" t="s">
        <v>193</v>
      </c>
      <c r="E299" s="40">
        <v>6</v>
      </c>
      <c r="F299" s="43" t="s">
        <v>45</v>
      </c>
      <c r="G299" s="43" t="s">
        <v>1988</v>
      </c>
    </row>
    <row r="300" spans="1:7" x14ac:dyDescent="0.25">
      <c r="A300" s="40">
        <v>295</v>
      </c>
      <c r="B300" s="40" t="s">
        <v>536</v>
      </c>
      <c r="C300" s="40" t="s">
        <v>167</v>
      </c>
      <c r="D300" s="40" t="s">
        <v>193</v>
      </c>
      <c r="E300" s="40">
        <v>5</v>
      </c>
      <c r="F300" s="43" t="s">
        <v>45</v>
      </c>
      <c r="G300" s="43" t="s">
        <v>1988</v>
      </c>
    </row>
    <row r="301" spans="1:7" x14ac:dyDescent="0.25">
      <c r="A301" s="40">
        <v>296</v>
      </c>
      <c r="B301" s="40" t="s">
        <v>537</v>
      </c>
      <c r="C301" s="40" t="s">
        <v>167</v>
      </c>
      <c r="D301" s="40" t="s">
        <v>193</v>
      </c>
      <c r="E301" s="40">
        <v>5</v>
      </c>
      <c r="F301" s="43" t="s">
        <v>45</v>
      </c>
      <c r="G301" s="43" t="s">
        <v>1988</v>
      </c>
    </row>
    <row r="302" spans="1:7" x14ac:dyDescent="0.25">
      <c r="A302" s="40">
        <v>297</v>
      </c>
      <c r="B302" s="40" t="s">
        <v>538</v>
      </c>
      <c r="C302" s="40" t="s">
        <v>168</v>
      </c>
      <c r="D302" s="40" t="s">
        <v>193</v>
      </c>
      <c r="E302" s="40">
        <v>1</v>
      </c>
      <c r="F302" s="43" t="s">
        <v>45</v>
      </c>
      <c r="G302" s="43" t="s">
        <v>1988</v>
      </c>
    </row>
    <row r="303" spans="1:7" x14ac:dyDescent="0.25">
      <c r="A303" s="40">
        <v>298</v>
      </c>
      <c r="B303" s="40" t="s">
        <v>539</v>
      </c>
      <c r="C303" s="40" t="s">
        <v>167</v>
      </c>
      <c r="D303" s="40" t="s">
        <v>1937</v>
      </c>
      <c r="E303" s="40">
        <v>4</v>
      </c>
      <c r="F303" s="43" t="s">
        <v>45</v>
      </c>
      <c r="G303" s="43" t="s">
        <v>174</v>
      </c>
    </row>
    <row r="304" spans="1:7" x14ac:dyDescent="0.25">
      <c r="A304" s="40">
        <v>299</v>
      </c>
      <c r="B304" s="40" t="s">
        <v>540</v>
      </c>
      <c r="C304" s="40" t="s">
        <v>167</v>
      </c>
      <c r="D304" s="40" t="s">
        <v>1932</v>
      </c>
      <c r="E304" s="40">
        <v>10</v>
      </c>
      <c r="F304" s="43" t="s">
        <v>45</v>
      </c>
      <c r="G304" s="43" t="s">
        <v>1980</v>
      </c>
    </row>
    <row r="305" spans="1:7" x14ac:dyDescent="0.25">
      <c r="A305" s="40">
        <v>300</v>
      </c>
      <c r="B305" s="40" t="s">
        <v>541</v>
      </c>
      <c r="C305" s="40" t="s">
        <v>167</v>
      </c>
      <c r="D305" s="40" t="s">
        <v>1960</v>
      </c>
      <c r="E305" s="40">
        <v>4</v>
      </c>
      <c r="F305" s="43" t="s">
        <v>45</v>
      </c>
      <c r="G305" s="43" t="s">
        <v>183</v>
      </c>
    </row>
    <row r="306" spans="1:7" x14ac:dyDescent="0.25">
      <c r="A306" s="40">
        <v>301</v>
      </c>
      <c r="B306" s="40" t="s">
        <v>542</v>
      </c>
      <c r="C306" s="40" t="s">
        <v>167</v>
      </c>
      <c r="D306" s="40" t="s">
        <v>1960</v>
      </c>
      <c r="E306" s="40">
        <v>4</v>
      </c>
      <c r="F306" s="43" t="s">
        <v>45</v>
      </c>
      <c r="G306" s="43" t="s">
        <v>183</v>
      </c>
    </row>
    <row r="307" spans="1:7" x14ac:dyDescent="0.25">
      <c r="A307" s="40">
        <v>302</v>
      </c>
      <c r="B307" s="40" t="s">
        <v>543</v>
      </c>
      <c r="C307" s="40" t="s">
        <v>167</v>
      </c>
      <c r="D307" s="40" t="s">
        <v>1960</v>
      </c>
      <c r="E307" s="40">
        <v>5</v>
      </c>
      <c r="F307" s="43" t="s">
        <v>45</v>
      </c>
      <c r="G307" s="43" t="s">
        <v>183</v>
      </c>
    </row>
    <row r="308" spans="1:7" x14ac:dyDescent="0.25">
      <c r="A308" s="40">
        <v>303</v>
      </c>
      <c r="B308" s="40" t="s">
        <v>544</v>
      </c>
      <c r="C308" s="40" t="s">
        <v>167</v>
      </c>
      <c r="D308" s="40" t="s">
        <v>1960</v>
      </c>
      <c r="E308" s="40">
        <v>6</v>
      </c>
      <c r="F308" s="43" t="s">
        <v>45</v>
      </c>
      <c r="G308" s="43" t="s">
        <v>183</v>
      </c>
    </row>
    <row r="309" spans="1:7" x14ac:dyDescent="0.25">
      <c r="A309" s="40">
        <v>304</v>
      </c>
      <c r="B309" s="40" t="s">
        <v>545</v>
      </c>
      <c r="C309" s="40" t="s">
        <v>168</v>
      </c>
      <c r="D309" s="40" t="s">
        <v>1960</v>
      </c>
      <c r="E309" s="40">
        <v>2</v>
      </c>
      <c r="F309" s="43" t="s">
        <v>45</v>
      </c>
      <c r="G309" s="43" t="s">
        <v>183</v>
      </c>
    </row>
    <row r="310" spans="1:7" x14ac:dyDescent="0.25">
      <c r="A310" s="40">
        <v>305</v>
      </c>
      <c r="B310" s="40" t="s">
        <v>546</v>
      </c>
      <c r="C310" s="40" t="s">
        <v>167</v>
      </c>
      <c r="D310" s="40" t="s">
        <v>181</v>
      </c>
      <c r="E310" s="40">
        <v>5</v>
      </c>
      <c r="F310" s="43" t="s">
        <v>45</v>
      </c>
      <c r="G310" s="43" t="s">
        <v>181</v>
      </c>
    </row>
    <row r="311" spans="1:7" x14ac:dyDescent="0.25">
      <c r="A311" s="40">
        <v>306</v>
      </c>
      <c r="B311" s="40" t="s">
        <v>547</v>
      </c>
      <c r="C311" s="40" t="s">
        <v>167</v>
      </c>
      <c r="D311" s="40" t="s">
        <v>176</v>
      </c>
      <c r="E311" s="40">
        <v>8</v>
      </c>
      <c r="F311" s="43" t="s">
        <v>45</v>
      </c>
      <c r="G311" s="43" t="s">
        <v>176</v>
      </c>
    </row>
    <row r="312" spans="1:7" x14ac:dyDescent="0.25">
      <c r="A312" s="40">
        <v>307</v>
      </c>
      <c r="B312" s="40" t="s">
        <v>548</v>
      </c>
      <c r="C312" s="40" t="s">
        <v>168</v>
      </c>
      <c r="D312" s="40" t="s">
        <v>193</v>
      </c>
      <c r="E312" s="40">
        <v>5</v>
      </c>
      <c r="F312" s="43" t="s">
        <v>45</v>
      </c>
      <c r="G312" s="43" t="s">
        <v>1986</v>
      </c>
    </row>
    <row r="313" spans="1:7" x14ac:dyDescent="0.25">
      <c r="A313" s="40">
        <v>308</v>
      </c>
      <c r="B313" s="40" t="s">
        <v>549</v>
      </c>
      <c r="C313" s="40" t="s">
        <v>167</v>
      </c>
      <c r="D313" s="40" t="s">
        <v>1944</v>
      </c>
      <c r="E313" s="40">
        <v>8</v>
      </c>
      <c r="F313" s="43" t="s">
        <v>45</v>
      </c>
      <c r="G313" s="43" t="s">
        <v>183</v>
      </c>
    </row>
    <row r="314" spans="1:7" x14ac:dyDescent="0.25">
      <c r="A314" s="40">
        <v>309</v>
      </c>
      <c r="B314" s="40" t="s">
        <v>550</v>
      </c>
      <c r="C314" s="40" t="s">
        <v>167</v>
      </c>
      <c r="D314" s="40" t="s">
        <v>1944</v>
      </c>
      <c r="E314" s="40">
        <v>8</v>
      </c>
      <c r="F314" s="43" t="s">
        <v>45</v>
      </c>
      <c r="G314" s="43" t="s">
        <v>183</v>
      </c>
    </row>
    <row r="315" spans="1:7" x14ac:dyDescent="0.25">
      <c r="A315" s="40">
        <v>310</v>
      </c>
      <c r="B315" s="40" t="s">
        <v>551</v>
      </c>
      <c r="C315" s="40" t="s">
        <v>167</v>
      </c>
      <c r="D315" s="40" t="s">
        <v>1944</v>
      </c>
      <c r="E315" s="40">
        <v>8</v>
      </c>
      <c r="F315" s="43" t="s">
        <v>45</v>
      </c>
      <c r="G315" s="43" t="s">
        <v>183</v>
      </c>
    </row>
    <row r="316" spans="1:7" x14ac:dyDescent="0.25">
      <c r="A316" s="40">
        <v>311</v>
      </c>
      <c r="B316" s="40" t="s">
        <v>552</v>
      </c>
      <c r="C316" s="40" t="s">
        <v>167</v>
      </c>
      <c r="D316" s="40" t="s">
        <v>1944</v>
      </c>
      <c r="E316" s="40">
        <v>12</v>
      </c>
      <c r="F316" s="43" t="s">
        <v>45</v>
      </c>
      <c r="G316" s="43" t="s">
        <v>183</v>
      </c>
    </row>
    <row r="317" spans="1:7" x14ac:dyDescent="0.25">
      <c r="A317" s="40">
        <v>312</v>
      </c>
      <c r="B317" s="40" t="s">
        <v>553</v>
      </c>
      <c r="C317" s="40" t="s">
        <v>167</v>
      </c>
      <c r="D317" s="40" t="s">
        <v>1944</v>
      </c>
      <c r="E317" s="40">
        <v>9</v>
      </c>
      <c r="F317" s="43" t="s">
        <v>45</v>
      </c>
      <c r="G317" s="43" t="s">
        <v>183</v>
      </c>
    </row>
    <row r="318" spans="1:7" x14ac:dyDescent="0.25">
      <c r="A318" s="40">
        <v>313</v>
      </c>
      <c r="B318" s="40" t="s">
        <v>554</v>
      </c>
      <c r="C318" s="40" t="s">
        <v>168</v>
      </c>
      <c r="D318" s="40" t="s">
        <v>1944</v>
      </c>
      <c r="E318" s="40">
        <v>3</v>
      </c>
      <c r="F318" s="43" t="s">
        <v>45</v>
      </c>
      <c r="G318" s="43" t="s">
        <v>183</v>
      </c>
    </row>
    <row r="319" spans="1:7" x14ac:dyDescent="0.25">
      <c r="A319" s="40">
        <v>314</v>
      </c>
      <c r="B319" s="40" t="s">
        <v>555</v>
      </c>
      <c r="C319" s="40" t="s">
        <v>167</v>
      </c>
      <c r="D319" s="40" t="s">
        <v>1950</v>
      </c>
      <c r="E319" s="40">
        <v>5</v>
      </c>
      <c r="F319" s="43" t="s">
        <v>45</v>
      </c>
      <c r="G319" s="43" t="s">
        <v>183</v>
      </c>
    </row>
    <row r="320" spans="1:7" x14ac:dyDescent="0.25">
      <c r="A320" s="40">
        <v>315</v>
      </c>
      <c r="B320" s="40" t="s">
        <v>556</v>
      </c>
      <c r="C320" s="40" t="s">
        <v>168</v>
      </c>
      <c r="D320" s="40" t="s">
        <v>180</v>
      </c>
      <c r="F320" s="43" t="s">
        <v>45</v>
      </c>
      <c r="G320" s="43" t="s">
        <v>180</v>
      </c>
    </row>
    <row r="321" spans="1:7" x14ac:dyDescent="0.25">
      <c r="A321" s="40">
        <v>316</v>
      </c>
      <c r="B321" s="40" t="s">
        <v>557</v>
      </c>
      <c r="C321" s="40" t="s">
        <v>167</v>
      </c>
      <c r="D321" s="40" t="s">
        <v>180</v>
      </c>
      <c r="E321" s="40">
        <v>5</v>
      </c>
      <c r="F321" s="43" t="s">
        <v>45</v>
      </c>
      <c r="G321" s="43" t="s">
        <v>180</v>
      </c>
    </row>
    <row r="322" spans="1:7" x14ac:dyDescent="0.25">
      <c r="A322" s="40">
        <v>317</v>
      </c>
      <c r="B322" s="40" t="s">
        <v>558</v>
      </c>
      <c r="C322" s="40" t="s">
        <v>167</v>
      </c>
      <c r="D322" s="40" t="s">
        <v>180</v>
      </c>
      <c r="E322" s="40">
        <v>3</v>
      </c>
      <c r="F322" s="43" t="s">
        <v>45</v>
      </c>
      <c r="G322" s="43" t="s">
        <v>180</v>
      </c>
    </row>
    <row r="323" spans="1:7" x14ac:dyDescent="0.25">
      <c r="A323" s="40">
        <v>318</v>
      </c>
      <c r="B323" s="40" t="s">
        <v>559</v>
      </c>
      <c r="C323" s="40" t="s">
        <v>167</v>
      </c>
      <c r="E323" s="40">
        <v>8</v>
      </c>
      <c r="F323" s="43" t="s">
        <v>45</v>
      </c>
      <c r="G323" s="43" t="s">
        <v>180</v>
      </c>
    </row>
    <row r="324" spans="1:7" x14ac:dyDescent="0.25">
      <c r="A324" s="40">
        <v>319</v>
      </c>
      <c r="B324" s="40" t="s">
        <v>560</v>
      </c>
      <c r="C324" s="40" t="s">
        <v>168</v>
      </c>
      <c r="D324" s="40" t="s">
        <v>180</v>
      </c>
      <c r="E324" s="40">
        <v>2</v>
      </c>
      <c r="F324" s="43" t="s">
        <v>45</v>
      </c>
      <c r="G324" s="43" t="s">
        <v>180</v>
      </c>
    </row>
    <row r="325" spans="1:7" x14ac:dyDescent="0.25">
      <c r="A325" s="40">
        <v>320</v>
      </c>
      <c r="B325" s="40" t="s">
        <v>561</v>
      </c>
      <c r="C325" s="40" t="s">
        <v>167</v>
      </c>
      <c r="D325" s="40" t="s">
        <v>193</v>
      </c>
      <c r="E325" s="40">
        <v>3</v>
      </c>
      <c r="F325" s="43" t="s">
        <v>45</v>
      </c>
      <c r="G325" s="43" t="s">
        <v>1986</v>
      </c>
    </row>
    <row r="326" spans="1:7" x14ac:dyDescent="0.25">
      <c r="A326" s="40">
        <v>321</v>
      </c>
      <c r="B326" s="40" t="s">
        <v>562</v>
      </c>
      <c r="C326" s="40" t="s">
        <v>167</v>
      </c>
      <c r="D326" s="40" t="s">
        <v>193</v>
      </c>
      <c r="E326" s="40">
        <v>2</v>
      </c>
      <c r="F326" s="43" t="s">
        <v>45</v>
      </c>
      <c r="G326" s="43" t="s">
        <v>1986</v>
      </c>
    </row>
    <row r="327" spans="1:7" x14ac:dyDescent="0.25">
      <c r="A327" s="40">
        <v>322</v>
      </c>
      <c r="B327" s="40" t="s">
        <v>563</v>
      </c>
      <c r="C327" s="40" t="s">
        <v>168</v>
      </c>
      <c r="D327" s="40" t="s">
        <v>193</v>
      </c>
      <c r="E327" s="40">
        <v>7</v>
      </c>
      <c r="F327" s="43" t="s">
        <v>45</v>
      </c>
      <c r="G327" s="43" t="s">
        <v>1986</v>
      </c>
    </row>
    <row r="328" spans="1:7" x14ac:dyDescent="0.25">
      <c r="A328" s="40">
        <v>323</v>
      </c>
      <c r="B328" s="40" t="s">
        <v>564</v>
      </c>
      <c r="C328" s="40" t="s">
        <v>168</v>
      </c>
      <c r="D328" s="40" t="s">
        <v>1944</v>
      </c>
      <c r="E328" s="40">
        <v>6</v>
      </c>
      <c r="F328" s="43" t="s">
        <v>45</v>
      </c>
      <c r="G328" s="43" t="s">
        <v>183</v>
      </c>
    </row>
    <row r="329" spans="1:7" x14ac:dyDescent="0.25">
      <c r="A329" s="40">
        <v>324</v>
      </c>
      <c r="B329" s="40" t="s">
        <v>565</v>
      </c>
      <c r="C329" s="40" t="s">
        <v>168</v>
      </c>
      <c r="D329" s="40" t="s">
        <v>193</v>
      </c>
      <c r="E329" s="40">
        <v>4</v>
      </c>
      <c r="F329" s="43" t="s">
        <v>45</v>
      </c>
      <c r="G329" s="43" t="s">
        <v>1986</v>
      </c>
    </row>
    <row r="330" spans="1:7" x14ac:dyDescent="0.25">
      <c r="A330" s="40">
        <v>325</v>
      </c>
      <c r="B330" s="40" t="s">
        <v>566</v>
      </c>
      <c r="C330" s="40" t="s">
        <v>168</v>
      </c>
      <c r="D330" s="40" t="s">
        <v>180</v>
      </c>
      <c r="E330" s="40">
        <v>7</v>
      </c>
      <c r="F330" s="43" t="s">
        <v>45</v>
      </c>
      <c r="G330" s="43" t="s">
        <v>180</v>
      </c>
    </row>
    <row r="331" spans="1:7" x14ac:dyDescent="0.25">
      <c r="A331" s="40">
        <v>326</v>
      </c>
      <c r="B331" s="40" t="s">
        <v>567</v>
      </c>
      <c r="C331" s="40" t="s">
        <v>167</v>
      </c>
      <c r="D331" s="40" t="s">
        <v>192</v>
      </c>
      <c r="E331" s="40">
        <v>6</v>
      </c>
      <c r="F331" s="43" t="s">
        <v>45</v>
      </c>
      <c r="G331" s="43" t="s">
        <v>192</v>
      </c>
    </row>
    <row r="332" spans="1:7" x14ac:dyDescent="0.25">
      <c r="A332" s="40">
        <v>327</v>
      </c>
      <c r="B332" s="40" t="s">
        <v>568</v>
      </c>
      <c r="C332" s="40" t="s">
        <v>167</v>
      </c>
      <c r="D332" s="40" t="s">
        <v>1966</v>
      </c>
      <c r="E332" s="40">
        <v>5</v>
      </c>
      <c r="F332" s="43" t="s">
        <v>45</v>
      </c>
      <c r="G332" s="43" t="s">
        <v>177</v>
      </c>
    </row>
    <row r="333" spans="1:7" x14ac:dyDescent="0.25">
      <c r="A333" s="40">
        <v>328</v>
      </c>
      <c r="B333" s="40" t="s">
        <v>569</v>
      </c>
      <c r="C333" s="40" t="s">
        <v>168</v>
      </c>
      <c r="D333" s="40" t="s">
        <v>193</v>
      </c>
      <c r="E333" s="40">
        <v>6</v>
      </c>
      <c r="F333" s="43" t="s">
        <v>45</v>
      </c>
      <c r="G333" s="43" t="s">
        <v>1985</v>
      </c>
    </row>
    <row r="334" spans="1:7" x14ac:dyDescent="0.25">
      <c r="A334" s="40">
        <v>329</v>
      </c>
      <c r="B334" s="40" t="s">
        <v>570</v>
      </c>
      <c r="C334" s="40" t="s">
        <v>167</v>
      </c>
      <c r="D334" s="40" t="s">
        <v>1940</v>
      </c>
      <c r="E334" s="40">
        <v>4</v>
      </c>
      <c r="F334" s="43" t="s">
        <v>45</v>
      </c>
      <c r="G334" s="43" t="s">
        <v>1984</v>
      </c>
    </row>
    <row r="335" spans="1:7" x14ac:dyDescent="0.25">
      <c r="A335" s="40">
        <v>330</v>
      </c>
      <c r="B335" s="40" t="s">
        <v>570</v>
      </c>
      <c r="C335" s="40" t="s">
        <v>167</v>
      </c>
      <c r="D335" s="40" t="s">
        <v>1940</v>
      </c>
      <c r="E335" s="40">
        <v>4</v>
      </c>
      <c r="F335" s="43" t="s">
        <v>45</v>
      </c>
      <c r="G335" s="43" t="s">
        <v>1984</v>
      </c>
    </row>
    <row r="336" spans="1:7" x14ac:dyDescent="0.25">
      <c r="A336" s="40">
        <v>331</v>
      </c>
      <c r="B336" s="40" t="s">
        <v>571</v>
      </c>
      <c r="C336" s="40" t="s">
        <v>167</v>
      </c>
      <c r="D336" s="40" t="s">
        <v>1934</v>
      </c>
      <c r="E336" s="40">
        <v>20</v>
      </c>
      <c r="F336" s="43" t="s">
        <v>45</v>
      </c>
      <c r="G336" s="43" t="s">
        <v>182</v>
      </c>
    </row>
    <row r="337" spans="1:7" x14ac:dyDescent="0.25">
      <c r="A337" s="40">
        <v>332</v>
      </c>
      <c r="B337" s="40" t="s">
        <v>572</v>
      </c>
      <c r="C337" s="40" t="s">
        <v>167</v>
      </c>
      <c r="D337" s="40" t="s">
        <v>1951</v>
      </c>
      <c r="E337" s="40">
        <v>4</v>
      </c>
      <c r="F337" s="43" t="s">
        <v>45</v>
      </c>
      <c r="G337" s="43" t="s">
        <v>182</v>
      </c>
    </row>
    <row r="338" spans="1:7" x14ac:dyDescent="0.25">
      <c r="A338" s="40">
        <v>333</v>
      </c>
      <c r="B338" s="40" t="s">
        <v>573</v>
      </c>
      <c r="C338" s="40" t="s">
        <v>168</v>
      </c>
      <c r="D338" s="40" t="s">
        <v>198</v>
      </c>
      <c r="E338" s="40">
        <v>4</v>
      </c>
      <c r="F338" s="43" t="s">
        <v>51</v>
      </c>
    </row>
    <row r="339" spans="1:7" x14ac:dyDescent="0.25">
      <c r="A339" s="40">
        <v>334</v>
      </c>
      <c r="B339" s="40" t="s">
        <v>574</v>
      </c>
      <c r="C339" s="40" t="s">
        <v>168</v>
      </c>
      <c r="D339" s="40" t="s">
        <v>1951</v>
      </c>
      <c r="E339" s="40">
        <v>1</v>
      </c>
      <c r="F339" s="43" t="s">
        <v>45</v>
      </c>
      <c r="G339" s="43" t="s">
        <v>182</v>
      </c>
    </row>
    <row r="340" spans="1:7" x14ac:dyDescent="0.25">
      <c r="A340" s="40">
        <v>335</v>
      </c>
      <c r="B340" s="40" t="s">
        <v>575</v>
      </c>
      <c r="C340" s="40" t="s">
        <v>167</v>
      </c>
      <c r="D340" s="40" t="s">
        <v>1934</v>
      </c>
      <c r="E340" s="40">
        <v>8</v>
      </c>
      <c r="F340" s="43" t="s">
        <v>45</v>
      </c>
      <c r="G340" s="43" t="s">
        <v>182</v>
      </c>
    </row>
    <row r="341" spans="1:7" x14ac:dyDescent="0.25">
      <c r="A341" s="40">
        <v>336</v>
      </c>
      <c r="B341" s="40" t="s">
        <v>576</v>
      </c>
      <c r="C341" s="40" t="s">
        <v>168</v>
      </c>
      <c r="D341" s="40" t="s">
        <v>1934</v>
      </c>
      <c r="E341" s="40">
        <v>7</v>
      </c>
      <c r="F341" s="43" t="s">
        <v>45</v>
      </c>
      <c r="G341" s="43" t="s">
        <v>182</v>
      </c>
    </row>
    <row r="342" spans="1:7" x14ac:dyDescent="0.25">
      <c r="A342" s="40">
        <v>337</v>
      </c>
      <c r="B342" s="40" t="s">
        <v>577</v>
      </c>
      <c r="C342" s="40" t="s">
        <v>167</v>
      </c>
      <c r="D342" s="40" t="s">
        <v>1951</v>
      </c>
      <c r="E342" s="40">
        <v>5</v>
      </c>
      <c r="F342" s="43" t="s">
        <v>45</v>
      </c>
      <c r="G342" s="43" t="s">
        <v>182</v>
      </c>
    </row>
    <row r="343" spans="1:7" x14ac:dyDescent="0.25">
      <c r="A343" s="40">
        <v>338</v>
      </c>
      <c r="B343" s="40" t="s">
        <v>578</v>
      </c>
      <c r="C343" s="40" t="s">
        <v>167</v>
      </c>
      <c r="D343" s="40" t="s">
        <v>1937</v>
      </c>
      <c r="E343" s="40">
        <v>5</v>
      </c>
      <c r="F343" s="43" t="s">
        <v>45</v>
      </c>
      <c r="G343" s="43" t="s">
        <v>174</v>
      </c>
    </row>
    <row r="344" spans="1:7" x14ac:dyDescent="0.25">
      <c r="A344" s="40">
        <v>339</v>
      </c>
      <c r="B344" s="40" t="s">
        <v>579</v>
      </c>
      <c r="C344" s="40" t="s">
        <v>167</v>
      </c>
      <c r="D344" s="40" t="s">
        <v>1934</v>
      </c>
      <c r="E344" s="40">
        <v>1</v>
      </c>
      <c r="F344" s="43" t="s">
        <v>45</v>
      </c>
      <c r="G344" s="43" t="s">
        <v>182</v>
      </c>
    </row>
    <row r="345" spans="1:7" x14ac:dyDescent="0.25">
      <c r="A345" s="40">
        <v>340</v>
      </c>
      <c r="B345" s="40" t="s">
        <v>580</v>
      </c>
      <c r="C345" s="40" t="s">
        <v>168</v>
      </c>
      <c r="D345" s="40" t="s">
        <v>1934</v>
      </c>
      <c r="E345" s="40">
        <v>7</v>
      </c>
      <c r="F345" s="43" t="s">
        <v>45</v>
      </c>
      <c r="G345" s="43" t="s">
        <v>182</v>
      </c>
    </row>
    <row r="346" spans="1:7" x14ac:dyDescent="0.25">
      <c r="A346" s="40">
        <v>341</v>
      </c>
      <c r="B346" s="40" t="s">
        <v>581</v>
      </c>
      <c r="C346" s="40" t="s">
        <v>168</v>
      </c>
      <c r="D346" s="40" t="s">
        <v>1951</v>
      </c>
      <c r="E346" s="40">
        <v>5</v>
      </c>
      <c r="F346" s="43" t="s">
        <v>45</v>
      </c>
      <c r="G346" s="43" t="s">
        <v>182</v>
      </c>
    </row>
    <row r="347" spans="1:7" x14ac:dyDescent="0.25">
      <c r="A347" s="40">
        <v>342</v>
      </c>
      <c r="B347" s="40" t="s">
        <v>581</v>
      </c>
      <c r="C347" s="40" t="s">
        <v>168</v>
      </c>
      <c r="D347" s="40" t="s">
        <v>1969</v>
      </c>
      <c r="E347" s="40">
        <v>7</v>
      </c>
      <c r="F347" s="43" t="s">
        <v>45</v>
      </c>
      <c r="G347" s="43" t="s">
        <v>2006</v>
      </c>
    </row>
    <row r="348" spans="1:7" x14ac:dyDescent="0.25">
      <c r="A348" s="40">
        <v>343</v>
      </c>
      <c r="B348" s="40" t="s">
        <v>581</v>
      </c>
      <c r="C348" s="40" t="s">
        <v>168</v>
      </c>
      <c r="D348" s="40" t="s">
        <v>1954</v>
      </c>
      <c r="E348" s="40">
        <v>10</v>
      </c>
      <c r="F348" s="43" t="s">
        <v>45</v>
      </c>
      <c r="G348" s="43" t="s">
        <v>2006</v>
      </c>
    </row>
    <row r="349" spans="1:7" x14ac:dyDescent="0.25">
      <c r="A349" s="40">
        <v>344</v>
      </c>
      <c r="B349" s="40" t="s">
        <v>582</v>
      </c>
      <c r="C349" s="40" t="s">
        <v>167</v>
      </c>
      <c r="D349" s="40" t="s">
        <v>1934</v>
      </c>
      <c r="E349" s="40">
        <v>8</v>
      </c>
      <c r="F349" s="43" t="s">
        <v>45</v>
      </c>
      <c r="G349" s="43" t="s">
        <v>182</v>
      </c>
    </row>
    <row r="350" spans="1:7" x14ac:dyDescent="0.25">
      <c r="A350" s="40">
        <v>345</v>
      </c>
      <c r="B350" s="40" t="s">
        <v>583</v>
      </c>
      <c r="C350" s="40" t="s">
        <v>168</v>
      </c>
      <c r="D350" s="40" t="s">
        <v>1934</v>
      </c>
      <c r="E350" s="40">
        <v>4</v>
      </c>
      <c r="F350" s="43" t="s">
        <v>45</v>
      </c>
      <c r="G350" s="43" t="s">
        <v>182</v>
      </c>
    </row>
    <row r="351" spans="1:7" x14ac:dyDescent="0.25">
      <c r="A351" s="40">
        <v>346</v>
      </c>
      <c r="B351" s="40" t="s">
        <v>584</v>
      </c>
      <c r="C351" s="40" t="s">
        <v>167</v>
      </c>
      <c r="D351" s="40" t="s">
        <v>1934</v>
      </c>
      <c r="E351" s="40">
        <v>2</v>
      </c>
      <c r="F351" s="43" t="s">
        <v>45</v>
      </c>
      <c r="G351" s="43" t="s">
        <v>182</v>
      </c>
    </row>
    <row r="352" spans="1:7" x14ac:dyDescent="0.25">
      <c r="A352" s="40">
        <v>347</v>
      </c>
      <c r="B352" s="40" t="s">
        <v>585</v>
      </c>
      <c r="C352" s="40" t="s">
        <v>167</v>
      </c>
      <c r="D352" s="40" t="s">
        <v>1934</v>
      </c>
      <c r="E352" s="40">
        <v>8</v>
      </c>
      <c r="F352" s="43" t="s">
        <v>45</v>
      </c>
      <c r="G352" s="43" t="s">
        <v>182</v>
      </c>
    </row>
    <row r="353" spans="1:7" x14ac:dyDescent="0.25">
      <c r="A353" s="40">
        <v>348</v>
      </c>
      <c r="B353" s="40" t="s">
        <v>586</v>
      </c>
      <c r="C353" s="40" t="s">
        <v>167</v>
      </c>
      <c r="D353" s="40" t="s">
        <v>1954</v>
      </c>
      <c r="E353" s="40">
        <v>5</v>
      </c>
      <c r="F353" s="43" t="s">
        <v>45</v>
      </c>
      <c r="G353" s="43" t="s">
        <v>2006</v>
      </c>
    </row>
    <row r="354" spans="1:7" x14ac:dyDescent="0.25">
      <c r="A354" s="40">
        <v>349</v>
      </c>
      <c r="B354" s="40" t="s">
        <v>587</v>
      </c>
      <c r="C354" s="40" t="s">
        <v>167</v>
      </c>
      <c r="D354" s="40" t="s">
        <v>1939</v>
      </c>
      <c r="E354" s="40">
        <v>7</v>
      </c>
      <c r="F354" s="43" t="s">
        <v>45</v>
      </c>
      <c r="G354" s="43" t="s">
        <v>172</v>
      </c>
    </row>
    <row r="355" spans="1:7" x14ac:dyDescent="0.25">
      <c r="A355" s="40">
        <v>350</v>
      </c>
      <c r="B355" s="40" t="s">
        <v>588</v>
      </c>
      <c r="C355" s="40" t="s">
        <v>167</v>
      </c>
      <c r="D355" s="40" t="s">
        <v>198</v>
      </c>
      <c r="E355" s="40">
        <v>2</v>
      </c>
      <c r="F355" s="43" t="s">
        <v>45</v>
      </c>
      <c r="G355" s="43" t="s">
        <v>188</v>
      </c>
    </row>
    <row r="356" spans="1:7" x14ac:dyDescent="0.25">
      <c r="A356" s="40">
        <v>351</v>
      </c>
      <c r="B356" s="40" t="s">
        <v>589</v>
      </c>
      <c r="C356" s="40" t="s">
        <v>168</v>
      </c>
      <c r="D356" s="40" t="s">
        <v>1934</v>
      </c>
      <c r="E356" s="40">
        <v>4</v>
      </c>
      <c r="F356" s="43" t="s">
        <v>45</v>
      </c>
      <c r="G356" s="43" t="s">
        <v>182</v>
      </c>
    </row>
    <row r="357" spans="1:7" x14ac:dyDescent="0.25">
      <c r="A357" s="40">
        <v>352</v>
      </c>
      <c r="B357" s="40" t="s">
        <v>590</v>
      </c>
      <c r="C357" s="40" t="s">
        <v>167</v>
      </c>
      <c r="D357" s="40" t="s">
        <v>1934</v>
      </c>
      <c r="E357" s="40">
        <v>5</v>
      </c>
      <c r="F357" s="43" t="s">
        <v>45</v>
      </c>
      <c r="G357" s="43" t="s">
        <v>182</v>
      </c>
    </row>
    <row r="358" spans="1:7" x14ac:dyDescent="0.25">
      <c r="A358" s="40">
        <v>353</v>
      </c>
      <c r="B358" s="40" t="s">
        <v>591</v>
      </c>
      <c r="C358" s="40" t="s">
        <v>168</v>
      </c>
      <c r="D358" s="40" t="s">
        <v>198</v>
      </c>
      <c r="E358" s="40">
        <v>7</v>
      </c>
      <c r="F358" s="43" t="s">
        <v>45</v>
      </c>
      <c r="G358" s="43" t="s">
        <v>187</v>
      </c>
    </row>
    <row r="359" spans="1:7" x14ac:dyDescent="0.25">
      <c r="A359" s="40">
        <v>354</v>
      </c>
      <c r="B359" s="40" t="s">
        <v>592</v>
      </c>
      <c r="C359" s="40" t="s">
        <v>167</v>
      </c>
      <c r="D359" s="40" t="s">
        <v>198</v>
      </c>
      <c r="E359" s="40">
        <v>3</v>
      </c>
      <c r="F359" s="43" t="s">
        <v>51</v>
      </c>
    </row>
    <row r="360" spans="1:7" x14ac:dyDescent="0.25">
      <c r="A360" s="40">
        <v>355</v>
      </c>
      <c r="B360" s="40" t="s">
        <v>593</v>
      </c>
      <c r="C360" s="40" t="s">
        <v>167</v>
      </c>
      <c r="D360" s="40" t="s">
        <v>192</v>
      </c>
      <c r="E360" s="40">
        <v>4</v>
      </c>
      <c r="F360" s="43" t="s">
        <v>45</v>
      </c>
      <c r="G360" s="43" t="s">
        <v>192</v>
      </c>
    </row>
    <row r="361" spans="1:7" x14ac:dyDescent="0.25">
      <c r="A361" s="40">
        <v>356</v>
      </c>
      <c r="B361" s="40" t="s">
        <v>594</v>
      </c>
      <c r="C361" s="40" t="s">
        <v>167</v>
      </c>
      <c r="D361" s="40" t="s">
        <v>2007</v>
      </c>
      <c r="E361" s="40">
        <v>5</v>
      </c>
      <c r="F361" s="43" t="s">
        <v>45</v>
      </c>
      <c r="G361" s="43" t="s">
        <v>176</v>
      </c>
    </row>
    <row r="362" spans="1:7" x14ac:dyDescent="0.25">
      <c r="A362" s="40">
        <v>357</v>
      </c>
      <c r="B362" s="40" t="s">
        <v>595</v>
      </c>
      <c r="C362" s="40" t="s">
        <v>167</v>
      </c>
      <c r="D362" s="40" t="s">
        <v>1934</v>
      </c>
      <c r="E362" s="40">
        <v>10</v>
      </c>
      <c r="F362" s="43" t="s">
        <v>45</v>
      </c>
      <c r="G362" s="43" t="s">
        <v>182</v>
      </c>
    </row>
    <row r="363" spans="1:7" x14ac:dyDescent="0.25">
      <c r="A363" s="40">
        <v>358</v>
      </c>
      <c r="B363" s="40" t="s">
        <v>596</v>
      </c>
      <c r="C363" s="40" t="s">
        <v>167</v>
      </c>
      <c r="D363" s="40" t="s">
        <v>2007</v>
      </c>
      <c r="E363" s="40">
        <v>5</v>
      </c>
      <c r="F363" s="43" t="s">
        <v>45</v>
      </c>
      <c r="G363" s="43" t="s">
        <v>179</v>
      </c>
    </row>
    <row r="364" spans="1:7" x14ac:dyDescent="0.25">
      <c r="A364" s="40">
        <v>359</v>
      </c>
      <c r="B364" s="40" t="s">
        <v>597</v>
      </c>
      <c r="C364" s="40" t="s">
        <v>168</v>
      </c>
      <c r="D364" s="40" t="s">
        <v>1962</v>
      </c>
      <c r="E364" s="40">
        <v>4</v>
      </c>
      <c r="F364" s="43" t="s">
        <v>45</v>
      </c>
      <c r="G364" s="43" t="s">
        <v>179</v>
      </c>
    </row>
    <row r="365" spans="1:7" x14ac:dyDescent="0.25">
      <c r="A365" s="40">
        <v>360</v>
      </c>
      <c r="B365" s="40" t="s">
        <v>598</v>
      </c>
      <c r="C365" s="40" t="s">
        <v>168</v>
      </c>
      <c r="D365" s="40" t="s">
        <v>1942</v>
      </c>
      <c r="E365" s="40">
        <v>7</v>
      </c>
      <c r="F365" s="43" t="s">
        <v>45</v>
      </c>
      <c r="G365" s="43" t="s">
        <v>177</v>
      </c>
    </row>
    <row r="366" spans="1:7" x14ac:dyDescent="0.25">
      <c r="A366" s="40">
        <v>361</v>
      </c>
      <c r="B366" s="40" t="s">
        <v>599</v>
      </c>
      <c r="C366" s="40" t="s">
        <v>168</v>
      </c>
      <c r="D366" s="40" t="s">
        <v>198</v>
      </c>
      <c r="E366" s="40">
        <v>5</v>
      </c>
      <c r="F366" s="43" t="s">
        <v>51</v>
      </c>
    </row>
    <row r="367" spans="1:7" x14ac:dyDescent="0.25">
      <c r="A367" s="40">
        <v>362</v>
      </c>
      <c r="B367" s="40" t="s">
        <v>600</v>
      </c>
      <c r="C367" s="40" t="s">
        <v>168</v>
      </c>
      <c r="D367" s="40" t="s">
        <v>1952</v>
      </c>
      <c r="E367" s="40">
        <v>1</v>
      </c>
      <c r="F367" s="43" t="s">
        <v>45</v>
      </c>
      <c r="G367" s="43" t="s">
        <v>184</v>
      </c>
    </row>
    <row r="368" spans="1:7" x14ac:dyDescent="0.25">
      <c r="A368" s="40">
        <v>363</v>
      </c>
      <c r="B368" s="40" t="s">
        <v>601</v>
      </c>
      <c r="C368" s="40" t="s">
        <v>168</v>
      </c>
      <c r="D368" s="40" t="s">
        <v>1970</v>
      </c>
      <c r="E368" s="40">
        <v>5</v>
      </c>
      <c r="F368" s="43" t="s">
        <v>45</v>
      </c>
      <c r="G368" s="43" t="s">
        <v>184</v>
      </c>
    </row>
    <row r="369" spans="1:7" x14ac:dyDescent="0.25">
      <c r="A369" s="40">
        <v>364</v>
      </c>
      <c r="B369" s="40" t="s">
        <v>602</v>
      </c>
      <c r="C369" s="40" t="s">
        <v>167</v>
      </c>
      <c r="D369" s="40" t="s">
        <v>1946</v>
      </c>
      <c r="E369" s="40">
        <v>6</v>
      </c>
      <c r="F369" s="43" t="s">
        <v>45</v>
      </c>
      <c r="G369" s="43" t="s">
        <v>179</v>
      </c>
    </row>
    <row r="370" spans="1:7" x14ac:dyDescent="0.25">
      <c r="A370" s="40">
        <v>365</v>
      </c>
      <c r="B370" s="40" t="s">
        <v>603</v>
      </c>
      <c r="C370" s="40" t="s">
        <v>168</v>
      </c>
      <c r="D370" s="40" t="s">
        <v>1952</v>
      </c>
      <c r="E370" s="40">
        <v>8</v>
      </c>
      <c r="F370" s="43" t="s">
        <v>45</v>
      </c>
      <c r="G370" s="43" t="s">
        <v>184</v>
      </c>
    </row>
    <row r="371" spans="1:7" x14ac:dyDescent="0.25">
      <c r="A371" s="40">
        <v>366</v>
      </c>
      <c r="B371" s="40" t="s">
        <v>604</v>
      </c>
      <c r="C371" s="40" t="s">
        <v>168</v>
      </c>
      <c r="D371" s="40" t="s">
        <v>1952</v>
      </c>
      <c r="E371" s="40">
        <v>4</v>
      </c>
      <c r="F371" s="43" t="s">
        <v>45</v>
      </c>
      <c r="G371" s="43" t="s">
        <v>184</v>
      </c>
    </row>
    <row r="372" spans="1:7" x14ac:dyDescent="0.25">
      <c r="A372" s="40">
        <v>367</v>
      </c>
      <c r="B372" s="40" t="s">
        <v>605</v>
      </c>
      <c r="C372" s="40" t="s">
        <v>168</v>
      </c>
      <c r="D372" s="40" t="s">
        <v>1946</v>
      </c>
      <c r="E372" s="40">
        <v>3</v>
      </c>
      <c r="F372" s="43" t="s">
        <v>45</v>
      </c>
      <c r="G372" s="43" t="s">
        <v>179</v>
      </c>
    </row>
    <row r="373" spans="1:7" x14ac:dyDescent="0.25">
      <c r="A373" s="40">
        <v>368</v>
      </c>
      <c r="B373" s="40" t="s">
        <v>606</v>
      </c>
      <c r="C373" s="40" t="s">
        <v>168</v>
      </c>
      <c r="D373" s="40" t="s">
        <v>1952</v>
      </c>
      <c r="E373" s="40">
        <v>4</v>
      </c>
      <c r="F373" s="43" t="s">
        <v>45</v>
      </c>
      <c r="G373" s="43" t="s">
        <v>184</v>
      </c>
    </row>
    <row r="374" spans="1:7" x14ac:dyDescent="0.25">
      <c r="A374" s="40">
        <v>369</v>
      </c>
      <c r="B374" s="40" t="s">
        <v>607</v>
      </c>
      <c r="C374" s="40" t="s">
        <v>167</v>
      </c>
      <c r="D374" s="40" t="s">
        <v>181</v>
      </c>
      <c r="E374" s="40">
        <v>8</v>
      </c>
      <c r="F374" s="43" t="s">
        <v>45</v>
      </c>
      <c r="G374" s="43" t="s">
        <v>181</v>
      </c>
    </row>
    <row r="375" spans="1:7" x14ac:dyDescent="0.25">
      <c r="A375" s="40">
        <v>370</v>
      </c>
      <c r="B375" s="40" t="s">
        <v>607</v>
      </c>
      <c r="C375" s="40" t="s">
        <v>167</v>
      </c>
      <c r="D375" s="40" t="s">
        <v>1946</v>
      </c>
      <c r="E375" s="40">
        <v>4</v>
      </c>
      <c r="F375" s="43" t="s">
        <v>45</v>
      </c>
      <c r="G375" s="43" t="s">
        <v>179</v>
      </c>
    </row>
    <row r="376" spans="1:7" x14ac:dyDescent="0.25">
      <c r="A376" s="40">
        <v>371</v>
      </c>
      <c r="B376" s="40" t="s">
        <v>608</v>
      </c>
      <c r="C376" s="40" t="s">
        <v>167</v>
      </c>
      <c r="D376" s="40" t="s">
        <v>1942</v>
      </c>
      <c r="E376" s="40">
        <v>1</v>
      </c>
      <c r="F376" s="43" t="s">
        <v>45</v>
      </c>
      <c r="G376" s="43" t="s">
        <v>184</v>
      </c>
    </row>
    <row r="377" spans="1:7" x14ac:dyDescent="0.25">
      <c r="A377" s="40">
        <v>372</v>
      </c>
      <c r="B377" s="40" t="s">
        <v>609</v>
      </c>
      <c r="C377" s="40" t="s">
        <v>168</v>
      </c>
      <c r="D377" s="40" t="s">
        <v>1962</v>
      </c>
      <c r="E377" s="40">
        <v>5</v>
      </c>
      <c r="F377" s="43" t="s">
        <v>45</v>
      </c>
      <c r="G377" s="43" t="s">
        <v>179</v>
      </c>
    </row>
    <row r="378" spans="1:7" x14ac:dyDescent="0.25">
      <c r="A378" s="40">
        <v>373</v>
      </c>
      <c r="B378" s="40" t="s">
        <v>610</v>
      </c>
      <c r="C378" s="40" t="s">
        <v>167</v>
      </c>
      <c r="D378" s="40" t="s">
        <v>2007</v>
      </c>
      <c r="E378" s="40">
        <v>8</v>
      </c>
      <c r="F378" s="43" t="s">
        <v>45</v>
      </c>
      <c r="G378" s="43" t="s">
        <v>179</v>
      </c>
    </row>
    <row r="379" spans="1:7" x14ac:dyDescent="0.25">
      <c r="A379" s="40">
        <v>374</v>
      </c>
      <c r="B379" s="40" t="s">
        <v>611</v>
      </c>
      <c r="C379" s="40" t="s">
        <v>167</v>
      </c>
      <c r="D379" s="40" t="s">
        <v>1952</v>
      </c>
      <c r="E379" s="40">
        <v>2</v>
      </c>
      <c r="F379" s="43" t="s">
        <v>45</v>
      </c>
      <c r="G379" s="43" t="s">
        <v>184</v>
      </c>
    </row>
    <row r="380" spans="1:7" x14ac:dyDescent="0.25">
      <c r="A380" s="40">
        <v>375</v>
      </c>
      <c r="B380" s="40" t="s">
        <v>612</v>
      </c>
      <c r="C380" s="40" t="s">
        <v>168</v>
      </c>
      <c r="D380" s="40" t="s">
        <v>1942</v>
      </c>
      <c r="E380" s="40">
        <v>6</v>
      </c>
      <c r="F380" s="43" t="s">
        <v>45</v>
      </c>
      <c r="G380" s="43" t="s">
        <v>184</v>
      </c>
    </row>
    <row r="381" spans="1:7" x14ac:dyDescent="0.25">
      <c r="A381" s="40">
        <v>376</v>
      </c>
      <c r="B381" s="40" t="s">
        <v>613</v>
      </c>
      <c r="C381" s="40" t="s">
        <v>167</v>
      </c>
      <c r="D381" s="40" t="s">
        <v>1955</v>
      </c>
      <c r="E381" s="40">
        <v>6</v>
      </c>
      <c r="F381" s="43" t="s">
        <v>45</v>
      </c>
      <c r="G381" s="43" t="s">
        <v>183</v>
      </c>
    </row>
    <row r="382" spans="1:7" x14ac:dyDescent="0.25">
      <c r="A382" s="40">
        <v>377</v>
      </c>
      <c r="B382" s="40" t="s">
        <v>614</v>
      </c>
      <c r="C382" s="40" t="s">
        <v>168</v>
      </c>
      <c r="D382" s="40" t="s">
        <v>198</v>
      </c>
      <c r="E382" s="40">
        <v>6</v>
      </c>
      <c r="F382" s="43" t="s">
        <v>45</v>
      </c>
      <c r="G382" s="43" t="s">
        <v>188</v>
      </c>
    </row>
    <row r="383" spans="1:7" x14ac:dyDescent="0.25">
      <c r="A383" s="40">
        <v>378</v>
      </c>
      <c r="B383" s="40" t="s">
        <v>615</v>
      </c>
      <c r="C383" s="40" t="s">
        <v>167</v>
      </c>
      <c r="D383" s="40" t="s">
        <v>180</v>
      </c>
      <c r="E383" s="40">
        <v>2</v>
      </c>
      <c r="F383" s="43" t="s">
        <v>45</v>
      </c>
      <c r="G383" s="43" t="s">
        <v>180</v>
      </c>
    </row>
    <row r="384" spans="1:7" x14ac:dyDescent="0.25">
      <c r="A384" s="40">
        <v>379</v>
      </c>
      <c r="B384" s="40" t="s">
        <v>616</v>
      </c>
      <c r="C384" s="40" t="s">
        <v>167</v>
      </c>
      <c r="D384" s="40" t="s">
        <v>1954</v>
      </c>
      <c r="E384" s="40">
        <v>6</v>
      </c>
      <c r="F384" s="43" t="s">
        <v>45</v>
      </c>
      <c r="G384" s="43" t="s">
        <v>2006</v>
      </c>
    </row>
    <row r="385" spans="1:7" x14ac:dyDescent="0.25">
      <c r="A385" s="40">
        <v>380</v>
      </c>
      <c r="B385" s="40" t="s">
        <v>617</v>
      </c>
      <c r="C385" s="40" t="s">
        <v>167</v>
      </c>
      <c r="D385" s="40" t="s">
        <v>1944</v>
      </c>
      <c r="E385" s="40">
        <v>3</v>
      </c>
      <c r="F385" s="43" t="s">
        <v>45</v>
      </c>
      <c r="G385" s="43" t="s">
        <v>183</v>
      </c>
    </row>
    <row r="386" spans="1:7" x14ac:dyDescent="0.25">
      <c r="A386" s="40">
        <v>381</v>
      </c>
      <c r="B386" s="40" t="s">
        <v>618</v>
      </c>
      <c r="C386" s="40" t="s">
        <v>168</v>
      </c>
      <c r="D386" s="40" t="s">
        <v>1966</v>
      </c>
      <c r="E386" s="40">
        <v>10</v>
      </c>
      <c r="F386" s="43" t="s">
        <v>45</v>
      </c>
      <c r="G386" s="43" t="s">
        <v>177</v>
      </c>
    </row>
    <row r="387" spans="1:7" x14ac:dyDescent="0.25">
      <c r="A387" s="40">
        <v>382</v>
      </c>
      <c r="B387" s="40" t="s">
        <v>619</v>
      </c>
      <c r="C387" s="40" t="s">
        <v>167</v>
      </c>
      <c r="D387" s="40" t="s">
        <v>1938</v>
      </c>
      <c r="E387" s="40">
        <v>2</v>
      </c>
      <c r="F387" s="43" t="s">
        <v>45</v>
      </c>
      <c r="G387" s="43" t="s">
        <v>190</v>
      </c>
    </row>
    <row r="388" spans="1:7" x14ac:dyDescent="0.25">
      <c r="A388" s="40">
        <v>383</v>
      </c>
      <c r="B388" s="40" t="s">
        <v>620</v>
      </c>
      <c r="C388" s="40" t="s">
        <v>167</v>
      </c>
      <c r="D388" s="40" t="s">
        <v>1971</v>
      </c>
      <c r="E388" s="40">
        <v>6</v>
      </c>
      <c r="F388" s="43" t="s">
        <v>45</v>
      </c>
      <c r="G388" s="43" t="s">
        <v>182</v>
      </c>
    </row>
    <row r="389" spans="1:7" x14ac:dyDescent="0.25">
      <c r="A389" s="40">
        <v>384</v>
      </c>
      <c r="B389" s="40" t="s">
        <v>621</v>
      </c>
      <c r="C389" s="40" t="s">
        <v>167</v>
      </c>
      <c r="D389" s="40" t="s">
        <v>1941</v>
      </c>
      <c r="E389" s="40">
        <v>3</v>
      </c>
      <c r="F389" s="43" t="s">
        <v>45</v>
      </c>
      <c r="G389" s="43" t="s">
        <v>2006</v>
      </c>
    </row>
    <row r="390" spans="1:7" x14ac:dyDescent="0.25">
      <c r="A390" s="40">
        <v>385</v>
      </c>
      <c r="B390" s="40" t="s">
        <v>622</v>
      </c>
      <c r="C390" s="40" t="s">
        <v>168</v>
      </c>
      <c r="D390" s="40" t="s">
        <v>195</v>
      </c>
      <c r="E390" s="40">
        <v>8</v>
      </c>
      <c r="F390" s="43" t="s">
        <v>45</v>
      </c>
      <c r="G390" s="43" t="s">
        <v>1984</v>
      </c>
    </row>
    <row r="391" spans="1:7" x14ac:dyDescent="0.25">
      <c r="A391" s="40">
        <v>386</v>
      </c>
      <c r="B391" s="40" t="s">
        <v>623</v>
      </c>
      <c r="C391" s="40" t="s">
        <v>168</v>
      </c>
      <c r="D391" s="40" t="s">
        <v>198</v>
      </c>
      <c r="E391" s="40">
        <v>10</v>
      </c>
      <c r="F391" s="43" t="s">
        <v>45</v>
      </c>
      <c r="G391" s="43" t="s">
        <v>187</v>
      </c>
    </row>
    <row r="392" spans="1:7" x14ac:dyDescent="0.25">
      <c r="A392" s="40">
        <v>387</v>
      </c>
      <c r="B392" s="40" t="s">
        <v>624</v>
      </c>
      <c r="C392" s="40" t="s">
        <v>168</v>
      </c>
      <c r="D392" s="40" t="s">
        <v>1948</v>
      </c>
      <c r="E392" s="40">
        <v>8</v>
      </c>
      <c r="F392" s="43" t="s">
        <v>45</v>
      </c>
      <c r="G392" s="43" t="s">
        <v>190</v>
      </c>
    </row>
    <row r="393" spans="1:7" x14ac:dyDescent="0.25">
      <c r="A393" s="40">
        <v>388</v>
      </c>
      <c r="B393" s="40" t="s">
        <v>625</v>
      </c>
      <c r="C393" s="40" t="s">
        <v>167</v>
      </c>
      <c r="D393" s="40" t="s">
        <v>1934</v>
      </c>
      <c r="E393" s="40">
        <v>10</v>
      </c>
      <c r="F393" s="43" t="s">
        <v>45</v>
      </c>
      <c r="G393" s="43" t="s">
        <v>182</v>
      </c>
    </row>
    <row r="394" spans="1:7" x14ac:dyDescent="0.25">
      <c r="A394" s="40">
        <v>389</v>
      </c>
      <c r="B394" s="40" t="s">
        <v>626</v>
      </c>
      <c r="C394" s="40" t="s">
        <v>168</v>
      </c>
      <c r="D394" s="40" t="s">
        <v>1951</v>
      </c>
      <c r="E394" s="40">
        <v>9</v>
      </c>
      <c r="F394" s="43" t="s">
        <v>45</v>
      </c>
      <c r="G394" s="43" t="s">
        <v>182</v>
      </c>
    </row>
    <row r="395" spans="1:7" x14ac:dyDescent="0.25">
      <c r="A395" s="40">
        <v>390</v>
      </c>
      <c r="B395" s="40" t="s">
        <v>627</v>
      </c>
      <c r="C395" s="40" t="s">
        <v>168</v>
      </c>
      <c r="D395" s="40" t="s">
        <v>1972</v>
      </c>
      <c r="E395" s="40">
        <v>5</v>
      </c>
      <c r="F395" s="43" t="s">
        <v>45</v>
      </c>
      <c r="G395" s="43" t="s">
        <v>2006</v>
      </c>
    </row>
    <row r="396" spans="1:7" x14ac:dyDescent="0.25">
      <c r="A396" s="40">
        <v>391</v>
      </c>
      <c r="B396" s="40" t="s">
        <v>628</v>
      </c>
      <c r="C396" s="40" t="s">
        <v>168</v>
      </c>
      <c r="D396" s="40" t="s">
        <v>1934</v>
      </c>
      <c r="E396" s="40">
        <v>8</v>
      </c>
      <c r="F396" s="43" t="s">
        <v>45</v>
      </c>
      <c r="G396" s="43" t="s">
        <v>182</v>
      </c>
    </row>
    <row r="397" spans="1:7" x14ac:dyDescent="0.25">
      <c r="A397" s="40">
        <v>392</v>
      </c>
      <c r="B397" s="40" t="s">
        <v>629</v>
      </c>
      <c r="C397" s="40" t="s">
        <v>168</v>
      </c>
      <c r="D397" s="40" t="s">
        <v>1935</v>
      </c>
      <c r="E397" s="40">
        <v>10</v>
      </c>
      <c r="F397" s="43" t="s">
        <v>45</v>
      </c>
      <c r="G397" s="43" t="s">
        <v>182</v>
      </c>
    </row>
    <row r="398" spans="1:7" x14ac:dyDescent="0.25">
      <c r="A398" s="40">
        <v>393</v>
      </c>
      <c r="B398" s="40" t="s">
        <v>630</v>
      </c>
      <c r="C398" s="40" t="s">
        <v>168</v>
      </c>
      <c r="D398" s="40" t="s">
        <v>198</v>
      </c>
      <c r="E398" s="40">
        <v>2</v>
      </c>
      <c r="F398" s="43" t="s">
        <v>45</v>
      </c>
      <c r="G398" s="43" t="s">
        <v>188</v>
      </c>
    </row>
    <row r="399" spans="1:7" x14ac:dyDescent="0.25">
      <c r="A399" s="40">
        <v>394</v>
      </c>
      <c r="B399" s="40" t="s">
        <v>631</v>
      </c>
      <c r="C399" s="40" t="s">
        <v>167</v>
      </c>
      <c r="D399" s="40" t="s">
        <v>181</v>
      </c>
      <c r="E399" s="40">
        <v>7</v>
      </c>
      <c r="F399" s="43" t="s">
        <v>45</v>
      </c>
      <c r="G399" s="43" t="s">
        <v>181</v>
      </c>
    </row>
    <row r="400" spans="1:7" x14ac:dyDescent="0.25">
      <c r="A400" s="40">
        <v>395</v>
      </c>
      <c r="B400" s="40" t="s">
        <v>632</v>
      </c>
      <c r="C400" s="40" t="s">
        <v>167</v>
      </c>
      <c r="D400" s="40" t="s">
        <v>1946</v>
      </c>
      <c r="E400" s="40">
        <v>9</v>
      </c>
      <c r="F400" s="43" t="s">
        <v>45</v>
      </c>
      <c r="G400" s="43" t="s">
        <v>179</v>
      </c>
    </row>
    <row r="401" spans="1:7" x14ac:dyDescent="0.25">
      <c r="A401" s="40">
        <v>396</v>
      </c>
      <c r="B401" s="40" t="s">
        <v>633</v>
      </c>
      <c r="C401" s="40" t="s">
        <v>167</v>
      </c>
      <c r="D401" s="40" t="s">
        <v>176</v>
      </c>
      <c r="E401" s="40">
        <v>3</v>
      </c>
      <c r="F401" s="43" t="s">
        <v>45</v>
      </c>
      <c r="G401" s="43" t="s">
        <v>176</v>
      </c>
    </row>
    <row r="402" spans="1:7" x14ac:dyDescent="0.25">
      <c r="A402" s="40">
        <v>397</v>
      </c>
      <c r="B402" s="40" t="s">
        <v>634</v>
      </c>
      <c r="C402" s="40" t="s">
        <v>167</v>
      </c>
      <c r="D402" s="40" t="s">
        <v>176</v>
      </c>
      <c r="E402" s="40">
        <v>5</v>
      </c>
      <c r="F402" s="43" t="s">
        <v>45</v>
      </c>
      <c r="G402" s="43" t="s">
        <v>176</v>
      </c>
    </row>
    <row r="403" spans="1:7" x14ac:dyDescent="0.25">
      <c r="A403" s="40">
        <v>398</v>
      </c>
      <c r="B403" s="40" t="s">
        <v>635</v>
      </c>
      <c r="C403" s="40" t="s">
        <v>167</v>
      </c>
      <c r="D403" s="40" t="s">
        <v>1951</v>
      </c>
      <c r="E403" s="40">
        <v>4</v>
      </c>
      <c r="F403" s="43" t="s">
        <v>45</v>
      </c>
      <c r="G403" s="43" t="s">
        <v>182</v>
      </c>
    </row>
    <row r="404" spans="1:7" x14ac:dyDescent="0.25">
      <c r="A404" s="40">
        <v>399</v>
      </c>
      <c r="B404" s="40" t="s">
        <v>636</v>
      </c>
      <c r="C404" s="40" t="s">
        <v>168</v>
      </c>
      <c r="D404" s="40" t="s">
        <v>1973</v>
      </c>
      <c r="E404" s="40">
        <v>2</v>
      </c>
      <c r="F404" s="43" t="s">
        <v>45</v>
      </c>
      <c r="G404" s="43" t="s">
        <v>175</v>
      </c>
    </row>
    <row r="405" spans="1:7" x14ac:dyDescent="0.25">
      <c r="A405" s="40">
        <v>400</v>
      </c>
      <c r="B405" s="40" t="s">
        <v>637</v>
      </c>
      <c r="C405" s="40" t="s">
        <v>168</v>
      </c>
      <c r="D405" s="40" t="s">
        <v>176</v>
      </c>
      <c r="E405" s="40">
        <v>7</v>
      </c>
      <c r="F405" s="43" t="s">
        <v>45</v>
      </c>
      <c r="G405" s="43" t="s">
        <v>176</v>
      </c>
    </row>
    <row r="406" spans="1:7" x14ac:dyDescent="0.25">
      <c r="A406" s="40">
        <v>401</v>
      </c>
      <c r="B406" s="40" t="s">
        <v>638</v>
      </c>
      <c r="C406" s="40" t="s">
        <v>167</v>
      </c>
      <c r="D406" s="40" t="s">
        <v>1951</v>
      </c>
      <c r="E406" s="40">
        <v>3</v>
      </c>
      <c r="F406" s="43" t="s">
        <v>45</v>
      </c>
      <c r="G406" s="43" t="s">
        <v>182</v>
      </c>
    </row>
    <row r="407" spans="1:7" x14ac:dyDescent="0.25">
      <c r="A407" s="40">
        <v>402</v>
      </c>
      <c r="B407" s="40" t="s">
        <v>639</v>
      </c>
      <c r="C407" s="40" t="s">
        <v>168</v>
      </c>
      <c r="D407" s="40" t="s">
        <v>1968</v>
      </c>
      <c r="E407" s="40">
        <v>5</v>
      </c>
      <c r="F407" s="43" t="s">
        <v>45</v>
      </c>
      <c r="G407" s="43" t="s">
        <v>195</v>
      </c>
    </row>
    <row r="408" spans="1:7" x14ac:dyDescent="0.25">
      <c r="A408" s="40">
        <v>403</v>
      </c>
      <c r="B408" s="40" t="s">
        <v>640</v>
      </c>
      <c r="C408" s="40" t="s">
        <v>168</v>
      </c>
      <c r="D408" s="40" t="s">
        <v>198</v>
      </c>
      <c r="E408" s="40">
        <v>6</v>
      </c>
      <c r="F408" s="43" t="s">
        <v>45</v>
      </c>
      <c r="G408" s="43" t="s">
        <v>188</v>
      </c>
    </row>
    <row r="409" spans="1:7" x14ac:dyDescent="0.25">
      <c r="A409" s="40">
        <v>404</v>
      </c>
      <c r="B409" s="40" t="s">
        <v>641</v>
      </c>
      <c r="C409" s="40" t="s">
        <v>167</v>
      </c>
      <c r="D409" s="40" t="s">
        <v>1967</v>
      </c>
      <c r="E409" s="40">
        <v>5</v>
      </c>
      <c r="F409" s="43" t="s">
        <v>45</v>
      </c>
      <c r="G409" s="43" t="s">
        <v>172</v>
      </c>
    </row>
    <row r="410" spans="1:7" x14ac:dyDescent="0.25">
      <c r="A410" s="40">
        <v>405</v>
      </c>
      <c r="B410" s="40" t="s">
        <v>642</v>
      </c>
      <c r="C410" s="40" t="s">
        <v>167</v>
      </c>
      <c r="D410" s="40" t="s">
        <v>172</v>
      </c>
      <c r="E410" s="40">
        <v>3</v>
      </c>
      <c r="F410" s="43" t="s">
        <v>45</v>
      </c>
      <c r="G410" s="43" t="s">
        <v>172</v>
      </c>
    </row>
    <row r="411" spans="1:7" x14ac:dyDescent="0.25">
      <c r="A411" s="40">
        <v>406</v>
      </c>
      <c r="B411" s="40" t="s">
        <v>643</v>
      </c>
      <c r="C411" s="40" t="s">
        <v>167</v>
      </c>
      <c r="D411" s="40" t="s">
        <v>186</v>
      </c>
      <c r="E411" s="40">
        <v>2</v>
      </c>
      <c r="F411" s="43" t="s">
        <v>45</v>
      </c>
      <c r="G411" s="43" t="s">
        <v>186</v>
      </c>
    </row>
    <row r="412" spans="1:7" x14ac:dyDescent="0.25">
      <c r="A412" s="40">
        <v>407</v>
      </c>
      <c r="B412" s="40" t="s">
        <v>644</v>
      </c>
      <c r="C412" s="40" t="s">
        <v>167</v>
      </c>
      <c r="D412" s="40" t="s">
        <v>180</v>
      </c>
      <c r="E412" s="40">
        <v>4</v>
      </c>
      <c r="F412" s="43" t="s">
        <v>45</v>
      </c>
      <c r="G412" s="43" t="s">
        <v>180</v>
      </c>
    </row>
    <row r="413" spans="1:7" x14ac:dyDescent="0.25">
      <c r="A413" s="40">
        <v>408</v>
      </c>
      <c r="B413" s="40" t="s">
        <v>645</v>
      </c>
      <c r="C413" s="40" t="s">
        <v>168</v>
      </c>
      <c r="D413" s="40" t="s">
        <v>174</v>
      </c>
      <c r="E413" s="40">
        <v>10</v>
      </c>
      <c r="F413" s="43" t="s">
        <v>45</v>
      </c>
      <c r="G413" s="43" t="s">
        <v>174</v>
      </c>
    </row>
    <row r="414" spans="1:7" x14ac:dyDescent="0.25">
      <c r="A414" s="40">
        <v>409</v>
      </c>
      <c r="B414" s="40" t="s">
        <v>646</v>
      </c>
      <c r="C414" s="40" t="s">
        <v>167</v>
      </c>
      <c r="D414" s="40" t="s">
        <v>1951</v>
      </c>
      <c r="E414" s="40">
        <v>8</v>
      </c>
      <c r="F414" s="43" t="s">
        <v>45</v>
      </c>
      <c r="G414" s="43" t="s">
        <v>182</v>
      </c>
    </row>
    <row r="415" spans="1:7" x14ac:dyDescent="0.25">
      <c r="A415" s="40">
        <v>410</v>
      </c>
      <c r="B415" s="40" t="s">
        <v>647</v>
      </c>
      <c r="C415" s="40" t="s">
        <v>167</v>
      </c>
      <c r="D415" s="40" t="s">
        <v>1951</v>
      </c>
      <c r="E415" s="40">
        <v>13</v>
      </c>
      <c r="F415" s="43" t="s">
        <v>45</v>
      </c>
      <c r="G415" s="43" t="s">
        <v>182</v>
      </c>
    </row>
    <row r="416" spans="1:7" x14ac:dyDescent="0.25">
      <c r="A416" s="40">
        <v>411</v>
      </c>
      <c r="B416" s="40" t="s">
        <v>648</v>
      </c>
      <c r="C416" s="40" t="s">
        <v>168</v>
      </c>
      <c r="D416" s="40" t="s">
        <v>1935</v>
      </c>
      <c r="E416" s="40">
        <v>9</v>
      </c>
      <c r="F416" s="43" t="s">
        <v>45</v>
      </c>
      <c r="G416" s="43" t="s">
        <v>182</v>
      </c>
    </row>
    <row r="417" spans="1:7" x14ac:dyDescent="0.25">
      <c r="A417" s="40">
        <v>412</v>
      </c>
      <c r="B417" s="40" t="s">
        <v>649</v>
      </c>
      <c r="C417" s="40" t="s">
        <v>168</v>
      </c>
      <c r="D417" s="40" t="s">
        <v>174</v>
      </c>
      <c r="E417" s="40">
        <v>5</v>
      </c>
      <c r="F417" s="43" t="s">
        <v>45</v>
      </c>
      <c r="G417" s="43" t="s">
        <v>174</v>
      </c>
    </row>
    <row r="418" spans="1:7" x14ac:dyDescent="0.25">
      <c r="A418" s="40">
        <v>413</v>
      </c>
      <c r="B418" s="40" t="s">
        <v>650</v>
      </c>
      <c r="C418" s="40" t="s">
        <v>168</v>
      </c>
      <c r="D418" s="40" t="s">
        <v>181</v>
      </c>
      <c r="E418" s="40">
        <v>6</v>
      </c>
      <c r="F418" s="43" t="s">
        <v>45</v>
      </c>
      <c r="G418" s="43" t="s">
        <v>181</v>
      </c>
    </row>
    <row r="419" spans="1:7" x14ac:dyDescent="0.25">
      <c r="A419" s="40">
        <v>414</v>
      </c>
      <c r="B419" s="40" t="s">
        <v>651</v>
      </c>
      <c r="C419" s="40" t="s">
        <v>168</v>
      </c>
      <c r="D419" s="40" t="s">
        <v>186</v>
      </c>
      <c r="E419" s="40">
        <v>1</v>
      </c>
      <c r="F419" s="43" t="s">
        <v>45</v>
      </c>
      <c r="G419" s="43" t="s">
        <v>186</v>
      </c>
    </row>
    <row r="420" spans="1:7" x14ac:dyDescent="0.25">
      <c r="A420" s="40">
        <v>415</v>
      </c>
      <c r="B420" s="40" t="s">
        <v>652</v>
      </c>
      <c r="C420" s="40" t="s">
        <v>167</v>
      </c>
      <c r="D420" s="40" t="s">
        <v>1945</v>
      </c>
      <c r="E420" s="40">
        <v>1</v>
      </c>
      <c r="F420" s="43" t="s">
        <v>45</v>
      </c>
      <c r="G420" s="43" t="s">
        <v>184</v>
      </c>
    </row>
    <row r="421" spans="1:7" x14ac:dyDescent="0.25">
      <c r="A421" s="40">
        <v>416</v>
      </c>
      <c r="B421" s="40" t="s">
        <v>653</v>
      </c>
      <c r="C421" s="40" t="s">
        <v>168</v>
      </c>
      <c r="D421" s="40" t="s">
        <v>193</v>
      </c>
      <c r="E421" s="40">
        <v>1</v>
      </c>
      <c r="F421" s="43" t="s">
        <v>45</v>
      </c>
      <c r="G421" s="43" t="s">
        <v>193</v>
      </c>
    </row>
    <row r="422" spans="1:7" x14ac:dyDescent="0.25">
      <c r="A422" s="40">
        <v>417</v>
      </c>
      <c r="B422" s="40" t="s">
        <v>654</v>
      </c>
      <c r="C422" s="40" t="s">
        <v>168</v>
      </c>
      <c r="D422" s="40" t="s">
        <v>192</v>
      </c>
      <c r="E422" s="40">
        <v>4</v>
      </c>
      <c r="F422" s="43" t="s">
        <v>45</v>
      </c>
      <c r="G422" s="43" t="s">
        <v>192</v>
      </c>
    </row>
    <row r="423" spans="1:7" x14ac:dyDescent="0.25">
      <c r="A423" s="40">
        <v>418</v>
      </c>
      <c r="B423" s="40" t="s">
        <v>655</v>
      </c>
      <c r="C423" s="40" t="s">
        <v>168</v>
      </c>
      <c r="D423" s="40" t="s">
        <v>192</v>
      </c>
      <c r="E423" s="40">
        <v>8</v>
      </c>
      <c r="F423" s="43" t="s">
        <v>45</v>
      </c>
      <c r="G423" s="43" t="s">
        <v>192</v>
      </c>
    </row>
    <row r="424" spans="1:7" x14ac:dyDescent="0.25">
      <c r="A424" s="40">
        <v>419</v>
      </c>
      <c r="B424" s="40" t="s">
        <v>656</v>
      </c>
      <c r="C424" s="40" t="s">
        <v>168</v>
      </c>
      <c r="D424" s="40" t="s">
        <v>1966</v>
      </c>
      <c r="E424" s="40">
        <v>7</v>
      </c>
      <c r="F424" s="43" t="s">
        <v>45</v>
      </c>
      <c r="G424" s="43" t="s">
        <v>177</v>
      </c>
    </row>
    <row r="425" spans="1:7" x14ac:dyDescent="0.25">
      <c r="A425" s="40">
        <v>420</v>
      </c>
      <c r="B425" s="40" t="s">
        <v>657</v>
      </c>
      <c r="C425" s="40" t="s">
        <v>167</v>
      </c>
      <c r="D425" s="40" t="s">
        <v>192</v>
      </c>
      <c r="E425" s="40">
        <v>1</v>
      </c>
      <c r="F425" s="43" t="s">
        <v>45</v>
      </c>
      <c r="G425" s="43" t="s">
        <v>192</v>
      </c>
    </row>
    <row r="426" spans="1:7" x14ac:dyDescent="0.25">
      <c r="A426" s="40">
        <v>421</v>
      </c>
      <c r="B426" s="40" t="s">
        <v>658</v>
      </c>
      <c r="C426" s="40" t="s">
        <v>167</v>
      </c>
      <c r="D426" s="40" t="s">
        <v>192</v>
      </c>
      <c r="E426" s="40">
        <v>4</v>
      </c>
      <c r="F426" s="43" t="s">
        <v>45</v>
      </c>
      <c r="G426" s="43" t="s">
        <v>192</v>
      </c>
    </row>
    <row r="427" spans="1:7" x14ac:dyDescent="0.25">
      <c r="A427" s="40">
        <v>422</v>
      </c>
      <c r="B427" s="40" t="s">
        <v>659</v>
      </c>
      <c r="C427" s="40" t="s">
        <v>167</v>
      </c>
      <c r="D427" s="40" t="s">
        <v>192</v>
      </c>
      <c r="E427" s="40">
        <v>5</v>
      </c>
      <c r="F427" s="43" t="s">
        <v>45</v>
      </c>
      <c r="G427" s="43" t="s">
        <v>192</v>
      </c>
    </row>
    <row r="428" spans="1:7" x14ac:dyDescent="0.25">
      <c r="A428" s="40">
        <v>423</v>
      </c>
      <c r="B428" s="40" t="s">
        <v>660</v>
      </c>
      <c r="C428" s="40" t="s">
        <v>167</v>
      </c>
      <c r="D428" s="40" t="s">
        <v>192</v>
      </c>
      <c r="E428" s="40">
        <v>5</v>
      </c>
      <c r="F428" s="43" t="s">
        <v>45</v>
      </c>
      <c r="G428" s="43" t="s">
        <v>192</v>
      </c>
    </row>
    <row r="429" spans="1:7" x14ac:dyDescent="0.25">
      <c r="A429" s="40">
        <v>424</v>
      </c>
      <c r="B429" s="40" t="s">
        <v>661</v>
      </c>
      <c r="C429" s="40" t="s">
        <v>168</v>
      </c>
      <c r="D429" s="40" t="s">
        <v>198</v>
      </c>
      <c r="E429" s="40">
        <v>7</v>
      </c>
      <c r="F429" s="43" t="s">
        <v>45</v>
      </c>
      <c r="G429" s="43" t="s">
        <v>198</v>
      </c>
    </row>
    <row r="430" spans="1:7" x14ac:dyDescent="0.25">
      <c r="A430" s="40">
        <v>425</v>
      </c>
      <c r="B430" s="40" t="s">
        <v>662</v>
      </c>
      <c r="C430" s="40" t="s">
        <v>167</v>
      </c>
      <c r="D430" s="40" t="s">
        <v>1953</v>
      </c>
      <c r="E430" s="40">
        <v>4</v>
      </c>
      <c r="F430" s="43" t="s">
        <v>45</v>
      </c>
      <c r="G430" s="43" t="s">
        <v>180</v>
      </c>
    </row>
    <row r="431" spans="1:7" x14ac:dyDescent="0.25">
      <c r="A431" s="40">
        <v>426</v>
      </c>
      <c r="B431" s="40" t="s">
        <v>663</v>
      </c>
      <c r="C431" s="40" t="s">
        <v>167</v>
      </c>
      <c r="D431" s="40" t="s">
        <v>192</v>
      </c>
      <c r="E431" s="40">
        <v>3</v>
      </c>
      <c r="F431" s="43" t="s">
        <v>45</v>
      </c>
      <c r="G431" s="43" t="s">
        <v>192</v>
      </c>
    </row>
    <row r="432" spans="1:7" x14ac:dyDescent="0.25">
      <c r="A432" s="40">
        <v>427</v>
      </c>
      <c r="B432" s="40" t="s">
        <v>664</v>
      </c>
      <c r="C432" s="40" t="s">
        <v>167</v>
      </c>
      <c r="D432" s="40" t="s">
        <v>1950</v>
      </c>
      <c r="E432" s="40">
        <v>8</v>
      </c>
      <c r="F432" s="43" t="s">
        <v>45</v>
      </c>
      <c r="G432" s="43" t="s">
        <v>183</v>
      </c>
    </row>
    <row r="433" spans="1:7" x14ac:dyDescent="0.25">
      <c r="A433" s="40">
        <v>428</v>
      </c>
      <c r="B433" s="40" t="s">
        <v>665</v>
      </c>
      <c r="C433" s="40" t="s">
        <v>168</v>
      </c>
      <c r="D433" s="40" t="s">
        <v>1943</v>
      </c>
      <c r="E433" s="40">
        <v>6</v>
      </c>
      <c r="F433" s="43" t="s">
        <v>45</v>
      </c>
      <c r="G433" s="43" t="s">
        <v>183</v>
      </c>
    </row>
    <row r="434" spans="1:7" x14ac:dyDescent="0.25">
      <c r="A434" s="40">
        <v>429</v>
      </c>
      <c r="B434" s="40" t="s">
        <v>666</v>
      </c>
      <c r="C434" s="40" t="s">
        <v>167</v>
      </c>
      <c r="D434" s="40" t="s">
        <v>193</v>
      </c>
      <c r="E434" s="40">
        <v>3</v>
      </c>
      <c r="F434" s="43" t="s">
        <v>45</v>
      </c>
      <c r="G434" s="43" t="s">
        <v>1985</v>
      </c>
    </row>
    <row r="435" spans="1:7" x14ac:dyDescent="0.25">
      <c r="A435" s="40">
        <v>430</v>
      </c>
      <c r="B435" s="40" t="s">
        <v>667</v>
      </c>
      <c r="C435" s="40" t="s">
        <v>167</v>
      </c>
      <c r="D435" s="40" t="s">
        <v>2007</v>
      </c>
      <c r="E435" s="40">
        <v>5</v>
      </c>
      <c r="F435" s="43" t="s">
        <v>45</v>
      </c>
      <c r="G435" s="43" t="s">
        <v>179</v>
      </c>
    </row>
    <row r="436" spans="1:7" x14ac:dyDescent="0.25">
      <c r="A436" s="40">
        <v>431</v>
      </c>
      <c r="B436" s="40" t="s">
        <v>668</v>
      </c>
      <c r="C436" s="40" t="s">
        <v>168</v>
      </c>
      <c r="D436" s="40" t="s">
        <v>193</v>
      </c>
      <c r="E436" s="40">
        <v>5</v>
      </c>
      <c r="F436" s="43" t="s">
        <v>45</v>
      </c>
      <c r="G436" s="43" t="s">
        <v>1985</v>
      </c>
    </row>
    <row r="437" spans="1:7" x14ac:dyDescent="0.25">
      <c r="A437" s="40">
        <v>432</v>
      </c>
      <c r="B437" s="40" t="s">
        <v>669</v>
      </c>
      <c r="C437" s="40" t="s">
        <v>168</v>
      </c>
      <c r="D437" s="40" t="s">
        <v>180</v>
      </c>
      <c r="E437" s="40">
        <v>5</v>
      </c>
      <c r="F437" s="43" t="s">
        <v>45</v>
      </c>
      <c r="G437" s="43" t="s">
        <v>180</v>
      </c>
    </row>
    <row r="438" spans="1:7" x14ac:dyDescent="0.25">
      <c r="A438" s="40">
        <v>433</v>
      </c>
      <c r="B438" s="40" t="s">
        <v>670</v>
      </c>
      <c r="C438" s="40" t="s">
        <v>167</v>
      </c>
      <c r="D438" s="40" t="s">
        <v>180</v>
      </c>
      <c r="E438" s="40">
        <v>3</v>
      </c>
      <c r="F438" s="43" t="s">
        <v>45</v>
      </c>
      <c r="G438" s="43" t="s">
        <v>180</v>
      </c>
    </row>
    <row r="439" spans="1:7" x14ac:dyDescent="0.25">
      <c r="A439" s="40">
        <v>434</v>
      </c>
      <c r="B439" s="40" t="s">
        <v>671</v>
      </c>
      <c r="C439" s="40" t="s">
        <v>168</v>
      </c>
      <c r="D439" s="40" t="s">
        <v>180</v>
      </c>
      <c r="E439" s="40">
        <v>9</v>
      </c>
      <c r="F439" s="43" t="s">
        <v>45</v>
      </c>
      <c r="G439" s="43" t="s">
        <v>180</v>
      </c>
    </row>
    <row r="440" spans="1:7" x14ac:dyDescent="0.25">
      <c r="A440" s="40">
        <v>435</v>
      </c>
      <c r="B440" s="40" t="s">
        <v>672</v>
      </c>
      <c r="C440" s="40" t="s">
        <v>168</v>
      </c>
      <c r="D440" s="40" t="s">
        <v>180</v>
      </c>
      <c r="E440" s="40">
        <v>3</v>
      </c>
      <c r="F440" s="43" t="s">
        <v>45</v>
      </c>
      <c r="G440" s="43" t="s">
        <v>180</v>
      </c>
    </row>
    <row r="441" spans="1:7" x14ac:dyDescent="0.25">
      <c r="A441" s="40">
        <v>436</v>
      </c>
      <c r="B441" s="40" t="s">
        <v>673</v>
      </c>
      <c r="C441" s="40" t="s">
        <v>168</v>
      </c>
      <c r="D441" s="40" t="s">
        <v>181</v>
      </c>
      <c r="E441" s="40">
        <v>5</v>
      </c>
      <c r="F441" s="43" t="s">
        <v>45</v>
      </c>
      <c r="G441" s="43" t="s">
        <v>179</v>
      </c>
    </row>
    <row r="442" spans="1:7" x14ac:dyDescent="0.25">
      <c r="A442" s="40">
        <v>437</v>
      </c>
      <c r="B442" s="40" t="s">
        <v>674</v>
      </c>
      <c r="C442" s="40" t="s">
        <v>168</v>
      </c>
      <c r="D442" s="40" t="s">
        <v>180</v>
      </c>
      <c r="E442" s="40">
        <v>7</v>
      </c>
      <c r="F442" s="43" t="s">
        <v>45</v>
      </c>
      <c r="G442" s="43" t="s">
        <v>180</v>
      </c>
    </row>
    <row r="443" spans="1:7" x14ac:dyDescent="0.25">
      <c r="A443" s="40">
        <v>438</v>
      </c>
      <c r="B443" s="40" t="s">
        <v>675</v>
      </c>
      <c r="C443" s="40" t="s">
        <v>167</v>
      </c>
      <c r="D443" s="40" t="s">
        <v>180</v>
      </c>
      <c r="E443" s="40">
        <v>3</v>
      </c>
      <c r="F443" s="43" t="s">
        <v>45</v>
      </c>
      <c r="G443" s="43" t="s">
        <v>180</v>
      </c>
    </row>
    <row r="444" spans="1:7" x14ac:dyDescent="0.25">
      <c r="A444" s="40">
        <v>439</v>
      </c>
      <c r="B444" s="40" t="s">
        <v>676</v>
      </c>
      <c r="C444" s="40" t="s">
        <v>168</v>
      </c>
      <c r="D444" s="40" t="s">
        <v>180</v>
      </c>
      <c r="F444" s="43" t="s">
        <v>45</v>
      </c>
      <c r="G444" s="43" t="s">
        <v>180</v>
      </c>
    </row>
    <row r="445" spans="1:7" x14ac:dyDescent="0.25">
      <c r="A445" s="40">
        <v>440</v>
      </c>
      <c r="B445" s="40" t="s">
        <v>677</v>
      </c>
      <c r="C445" s="40" t="s">
        <v>167</v>
      </c>
      <c r="D445" s="40" t="s">
        <v>1954</v>
      </c>
      <c r="E445" s="40">
        <v>3</v>
      </c>
      <c r="F445" s="43" t="s">
        <v>45</v>
      </c>
      <c r="G445" s="43" t="s">
        <v>2006</v>
      </c>
    </row>
    <row r="446" spans="1:7" x14ac:dyDescent="0.25">
      <c r="A446" s="40">
        <v>441</v>
      </c>
      <c r="B446" s="40" t="s">
        <v>678</v>
      </c>
      <c r="C446" s="40" t="s">
        <v>167</v>
      </c>
      <c r="D446" s="40" t="s">
        <v>1969</v>
      </c>
      <c r="E446" s="40">
        <v>3</v>
      </c>
      <c r="F446" s="43" t="s">
        <v>45</v>
      </c>
      <c r="G446" s="43" t="s">
        <v>2006</v>
      </c>
    </row>
    <row r="447" spans="1:7" x14ac:dyDescent="0.25">
      <c r="A447" s="40">
        <v>442</v>
      </c>
      <c r="B447" s="40" t="s">
        <v>679</v>
      </c>
      <c r="C447" s="40" t="s">
        <v>167</v>
      </c>
      <c r="D447" s="40" t="s">
        <v>1960</v>
      </c>
      <c r="E447" s="40">
        <v>12</v>
      </c>
      <c r="F447" s="43" t="s">
        <v>45</v>
      </c>
      <c r="G447" s="43" t="s">
        <v>183</v>
      </c>
    </row>
    <row r="448" spans="1:7" x14ac:dyDescent="0.25">
      <c r="A448" s="40">
        <v>443</v>
      </c>
      <c r="B448" s="40" t="s">
        <v>680</v>
      </c>
      <c r="C448" s="40" t="s">
        <v>168</v>
      </c>
      <c r="D448" s="40" t="s">
        <v>1963</v>
      </c>
      <c r="E448" s="40">
        <v>2</v>
      </c>
      <c r="F448" s="43" t="s">
        <v>45</v>
      </c>
      <c r="G448" s="43" t="s">
        <v>190</v>
      </c>
    </row>
    <row r="449" spans="1:7" x14ac:dyDescent="0.25">
      <c r="A449" s="40">
        <v>444</v>
      </c>
      <c r="B449" s="40" t="s">
        <v>681</v>
      </c>
      <c r="C449" s="40" t="s">
        <v>168</v>
      </c>
      <c r="D449" s="40" t="s">
        <v>1974</v>
      </c>
      <c r="E449" s="40">
        <v>10</v>
      </c>
      <c r="F449" s="43" t="s">
        <v>45</v>
      </c>
      <c r="G449" s="43" t="s">
        <v>190</v>
      </c>
    </row>
    <row r="450" spans="1:7" x14ac:dyDescent="0.25">
      <c r="A450" s="40">
        <v>445</v>
      </c>
      <c r="B450" s="40" t="s">
        <v>682</v>
      </c>
      <c r="C450" s="40" t="s">
        <v>168</v>
      </c>
      <c r="D450" s="40" t="s">
        <v>195</v>
      </c>
      <c r="E450" s="40">
        <v>3</v>
      </c>
      <c r="F450" s="43" t="s">
        <v>45</v>
      </c>
      <c r="G450" s="43" t="s">
        <v>2006</v>
      </c>
    </row>
    <row r="451" spans="1:7" x14ac:dyDescent="0.25">
      <c r="A451" s="40">
        <v>446</v>
      </c>
      <c r="B451" s="40" t="s">
        <v>683</v>
      </c>
      <c r="C451" s="40" t="s">
        <v>167</v>
      </c>
      <c r="D451" s="40" t="s">
        <v>1963</v>
      </c>
      <c r="E451" s="40">
        <v>7</v>
      </c>
      <c r="F451" s="43" t="s">
        <v>45</v>
      </c>
      <c r="G451" s="43" t="s">
        <v>191</v>
      </c>
    </row>
    <row r="452" spans="1:7" x14ac:dyDescent="0.25">
      <c r="A452" s="40">
        <v>447</v>
      </c>
      <c r="B452" s="40" t="s">
        <v>684</v>
      </c>
      <c r="C452" s="40" t="s">
        <v>167</v>
      </c>
      <c r="D452" s="40" t="s">
        <v>1975</v>
      </c>
      <c r="E452" s="40">
        <v>4</v>
      </c>
      <c r="F452" s="43" t="s">
        <v>45</v>
      </c>
      <c r="G452" s="43" t="s">
        <v>174</v>
      </c>
    </row>
    <row r="453" spans="1:7" x14ac:dyDescent="0.25">
      <c r="A453" s="40">
        <v>448</v>
      </c>
      <c r="B453" s="40" t="s">
        <v>685</v>
      </c>
      <c r="C453" s="40" t="s">
        <v>168</v>
      </c>
      <c r="D453" s="40" t="s">
        <v>1963</v>
      </c>
      <c r="E453" s="40">
        <v>4</v>
      </c>
      <c r="F453" s="43" t="s">
        <v>45</v>
      </c>
      <c r="G453" s="43" t="s">
        <v>191</v>
      </c>
    </row>
    <row r="454" spans="1:7" x14ac:dyDescent="0.25">
      <c r="A454" s="40">
        <v>449</v>
      </c>
      <c r="B454" s="40" t="s">
        <v>686</v>
      </c>
      <c r="C454" s="40" t="s">
        <v>168</v>
      </c>
      <c r="D454" s="40" t="s">
        <v>1959</v>
      </c>
      <c r="E454" s="40">
        <v>7</v>
      </c>
      <c r="F454" s="43" t="s">
        <v>45</v>
      </c>
      <c r="G454" s="43" t="s">
        <v>190</v>
      </c>
    </row>
    <row r="455" spans="1:7" x14ac:dyDescent="0.25">
      <c r="A455" s="40">
        <v>450</v>
      </c>
      <c r="B455" s="40" t="s">
        <v>687</v>
      </c>
      <c r="C455" s="40" t="s">
        <v>167</v>
      </c>
      <c r="D455" s="40" t="s">
        <v>1949</v>
      </c>
      <c r="E455" s="40">
        <v>6</v>
      </c>
      <c r="F455" s="43" t="s">
        <v>45</v>
      </c>
      <c r="G455" s="43" t="s">
        <v>191</v>
      </c>
    </row>
    <row r="456" spans="1:7" x14ac:dyDescent="0.25">
      <c r="A456" s="40">
        <v>451</v>
      </c>
      <c r="B456" s="40" t="s">
        <v>688</v>
      </c>
      <c r="C456" s="40" t="s">
        <v>167</v>
      </c>
      <c r="D456" s="40" t="s">
        <v>1938</v>
      </c>
      <c r="E456" s="40">
        <v>6</v>
      </c>
      <c r="F456" s="43" t="s">
        <v>45</v>
      </c>
      <c r="G456" s="43" t="s">
        <v>191</v>
      </c>
    </row>
    <row r="457" spans="1:7" x14ac:dyDescent="0.25">
      <c r="A457" s="40">
        <v>452</v>
      </c>
      <c r="B457" s="40" t="s">
        <v>689</v>
      </c>
      <c r="C457" s="40" t="s">
        <v>168</v>
      </c>
      <c r="D457" s="40" t="s">
        <v>193</v>
      </c>
      <c r="E457" s="40">
        <v>2</v>
      </c>
      <c r="F457" s="43" t="s">
        <v>45</v>
      </c>
      <c r="G457" s="43" t="s">
        <v>1986</v>
      </c>
    </row>
    <row r="458" spans="1:7" x14ac:dyDescent="0.25">
      <c r="A458" s="40">
        <v>453</v>
      </c>
      <c r="B458" s="40" t="s">
        <v>690</v>
      </c>
      <c r="C458" s="40" t="s">
        <v>167</v>
      </c>
      <c r="D458" s="40" t="s">
        <v>1973</v>
      </c>
      <c r="E458" s="40">
        <v>9</v>
      </c>
      <c r="F458" s="43" t="s">
        <v>45</v>
      </c>
      <c r="G458" s="43" t="s">
        <v>176</v>
      </c>
    </row>
    <row r="459" spans="1:7" x14ac:dyDescent="0.25">
      <c r="A459" s="40">
        <v>454</v>
      </c>
      <c r="B459" s="40" t="s">
        <v>691</v>
      </c>
      <c r="C459" s="40" t="s">
        <v>168</v>
      </c>
      <c r="D459" s="40" t="s">
        <v>198</v>
      </c>
      <c r="E459" s="40">
        <v>5</v>
      </c>
      <c r="F459" s="43" t="s">
        <v>45</v>
      </c>
      <c r="G459" s="43" t="s">
        <v>188</v>
      </c>
    </row>
    <row r="460" spans="1:7" x14ac:dyDescent="0.25">
      <c r="A460" s="40">
        <v>455</v>
      </c>
      <c r="B460" s="40" t="s">
        <v>692</v>
      </c>
      <c r="C460" s="40" t="s">
        <v>167</v>
      </c>
      <c r="D460" s="40" t="s">
        <v>1943</v>
      </c>
      <c r="E460" s="40">
        <v>6</v>
      </c>
      <c r="F460" s="43" t="s">
        <v>45</v>
      </c>
      <c r="G460" s="43" t="s">
        <v>183</v>
      </c>
    </row>
    <row r="461" spans="1:7" x14ac:dyDescent="0.25">
      <c r="A461" s="40">
        <v>456</v>
      </c>
      <c r="B461" s="40" t="s">
        <v>693</v>
      </c>
      <c r="C461" s="40" t="s">
        <v>167</v>
      </c>
      <c r="D461" s="40" t="s">
        <v>1943</v>
      </c>
      <c r="E461" s="40">
        <v>7</v>
      </c>
      <c r="F461" s="43" t="s">
        <v>45</v>
      </c>
      <c r="G461" s="43" t="s">
        <v>183</v>
      </c>
    </row>
    <row r="462" spans="1:7" x14ac:dyDescent="0.25">
      <c r="A462" s="40">
        <v>457</v>
      </c>
      <c r="B462" s="40" t="s">
        <v>694</v>
      </c>
      <c r="C462" s="40" t="s">
        <v>168</v>
      </c>
      <c r="D462" s="40" t="s">
        <v>1955</v>
      </c>
      <c r="E462" s="40">
        <v>8</v>
      </c>
      <c r="F462" s="43" t="s">
        <v>1978</v>
      </c>
    </row>
    <row r="463" spans="1:7" x14ac:dyDescent="0.25">
      <c r="A463" s="40">
        <v>458</v>
      </c>
      <c r="B463" s="40" t="s">
        <v>695</v>
      </c>
      <c r="C463" s="40" t="s">
        <v>168</v>
      </c>
      <c r="D463" s="40" t="s">
        <v>1952</v>
      </c>
      <c r="E463" s="40">
        <v>5</v>
      </c>
      <c r="F463" s="43" t="s">
        <v>45</v>
      </c>
      <c r="G463" s="43" t="s">
        <v>184</v>
      </c>
    </row>
    <row r="464" spans="1:7" x14ac:dyDescent="0.25">
      <c r="A464" s="40">
        <v>459</v>
      </c>
      <c r="B464" s="40" t="s">
        <v>696</v>
      </c>
      <c r="C464" s="40" t="s">
        <v>167</v>
      </c>
      <c r="D464" s="40" t="s">
        <v>1947</v>
      </c>
      <c r="E464" s="40">
        <v>1</v>
      </c>
      <c r="F464" s="43" t="s">
        <v>45</v>
      </c>
      <c r="G464" s="43" t="s">
        <v>169</v>
      </c>
    </row>
    <row r="465" spans="1:7" x14ac:dyDescent="0.25">
      <c r="A465" s="40">
        <v>460</v>
      </c>
      <c r="B465" s="40" t="s">
        <v>697</v>
      </c>
      <c r="C465" s="40" t="s">
        <v>168</v>
      </c>
      <c r="D465" s="40" t="s">
        <v>1952</v>
      </c>
      <c r="E465" s="40">
        <v>2</v>
      </c>
      <c r="F465" s="43" t="s">
        <v>45</v>
      </c>
      <c r="G465" s="43" t="s">
        <v>184</v>
      </c>
    </row>
    <row r="466" spans="1:7" x14ac:dyDescent="0.25">
      <c r="A466" s="40">
        <v>461</v>
      </c>
      <c r="B466" s="40" t="s">
        <v>698</v>
      </c>
      <c r="C466" s="40" t="s">
        <v>168</v>
      </c>
      <c r="D466" s="40" t="s">
        <v>1938</v>
      </c>
      <c r="E466" s="40">
        <v>2</v>
      </c>
      <c r="F466" s="43" t="s">
        <v>45</v>
      </c>
      <c r="G466" s="43" t="s">
        <v>190</v>
      </c>
    </row>
    <row r="467" spans="1:7" x14ac:dyDescent="0.25">
      <c r="A467" s="40">
        <v>462</v>
      </c>
      <c r="B467" s="40" t="s">
        <v>699</v>
      </c>
      <c r="C467" s="40" t="s">
        <v>167</v>
      </c>
      <c r="D467" s="40" t="s">
        <v>1944</v>
      </c>
      <c r="E467" s="40">
        <v>4</v>
      </c>
      <c r="F467" s="43" t="s">
        <v>45</v>
      </c>
      <c r="G467" s="43" t="s">
        <v>183</v>
      </c>
    </row>
    <row r="468" spans="1:7" x14ac:dyDescent="0.25">
      <c r="A468" s="40">
        <v>463</v>
      </c>
      <c r="B468" s="40" t="s">
        <v>700</v>
      </c>
      <c r="C468" s="40" t="s">
        <v>167</v>
      </c>
      <c r="D468" s="40" t="s">
        <v>1932</v>
      </c>
      <c r="E468" s="40">
        <v>3</v>
      </c>
      <c r="F468" s="43" t="s">
        <v>45</v>
      </c>
      <c r="G468" s="43" t="s">
        <v>1980</v>
      </c>
    </row>
    <row r="469" spans="1:7" x14ac:dyDescent="0.25">
      <c r="A469" s="40">
        <v>464</v>
      </c>
      <c r="B469" s="40" t="s">
        <v>701</v>
      </c>
      <c r="C469" s="40" t="s">
        <v>167</v>
      </c>
      <c r="D469" s="40" t="s">
        <v>198</v>
      </c>
      <c r="E469" s="40">
        <v>1</v>
      </c>
      <c r="F469" s="43" t="s">
        <v>45</v>
      </c>
      <c r="G469" s="43" t="s">
        <v>188</v>
      </c>
    </row>
    <row r="470" spans="1:7" x14ac:dyDescent="0.25">
      <c r="A470" s="40">
        <v>465</v>
      </c>
      <c r="B470" s="40" t="s">
        <v>702</v>
      </c>
      <c r="C470" s="40" t="s">
        <v>168</v>
      </c>
      <c r="D470" s="40" t="s">
        <v>1958</v>
      </c>
      <c r="E470" s="40">
        <v>8</v>
      </c>
      <c r="F470" s="43" t="s">
        <v>45</v>
      </c>
      <c r="G470" s="43" t="s">
        <v>190</v>
      </c>
    </row>
    <row r="471" spans="1:7" x14ac:dyDescent="0.25">
      <c r="A471" s="40">
        <v>466</v>
      </c>
      <c r="B471" s="40" t="s">
        <v>703</v>
      </c>
      <c r="C471" s="40" t="s">
        <v>167</v>
      </c>
      <c r="D471" s="40" t="s">
        <v>1935</v>
      </c>
      <c r="E471" s="40">
        <v>5</v>
      </c>
      <c r="F471" s="43" t="s">
        <v>1979</v>
      </c>
    </row>
    <row r="472" spans="1:7" x14ac:dyDescent="0.25">
      <c r="A472" s="40">
        <v>467</v>
      </c>
      <c r="B472" s="40" t="s">
        <v>704</v>
      </c>
      <c r="C472" s="40" t="s">
        <v>167</v>
      </c>
      <c r="D472" s="40" t="s">
        <v>1960</v>
      </c>
      <c r="E472" s="40">
        <v>13</v>
      </c>
      <c r="F472" s="43" t="s">
        <v>45</v>
      </c>
      <c r="G472" s="43" t="s">
        <v>183</v>
      </c>
    </row>
    <row r="473" spans="1:7" x14ac:dyDescent="0.25">
      <c r="A473" s="40">
        <v>468</v>
      </c>
      <c r="B473" s="40" t="s">
        <v>705</v>
      </c>
      <c r="C473" s="40" t="s">
        <v>167</v>
      </c>
      <c r="D473" s="40" t="s">
        <v>175</v>
      </c>
      <c r="E473" s="40">
        <v>5</v>
      </c>
      <c r="F473" s="43" t="s">
        <v>45</v>
      </c>
      <c r="G473" s="43" t="s">
        <v>175</v>
      </c>
    </row>
    <row r="474" spans="1:7" x14ac:dyDescent="0.25">
      <c r="A474" s="40">
        <v>469</v>
      </c>
      <c r="B474" s="40" t="s">
        <v>706</v>
      </c>
      <c r="C474" s="40" t="s">
        <v>168</v>
      </c>
      <c r="D474" s="40" t="s">
        <v>1955</v>
      </c>
      <c r="E474" s="40">
        <v>7</v>
      </c>
      <c r="F474" s="43" t="s">
        <v>1978</v>
      </c>
    </row>
    <row r="475" spans="1:7" x14ac:dyDescent="0.25">
      <c r="A475" s="40">
        <v>470</v>
      </c>
      <c r="B475" s="40" t="s">
        <v>707</v>
      </c>
      <c r="C475" s="40" t="s">
        <v>167</v>
      </c>
      <c r="D475" s="40" t="s">
        <v>181</v>
      </c>
      <c r="E475" s="40">
        <v>6</v>
      </c>
      <c r="F475" s="43" t="s">
        <v>45</v>
      </c>
      <c r="G475" s="43" t="s">
        <v>179</v>
      </c>
    </row>
    <row r="476" spans="1:7" x14ac:dyDescent="0.25">
      <c r="A476" s="40">
        <v>471</v>
      </c>
      <c r="B476" s="40" t="s">
        <v>708</v>
      </c>
      <c r="C476" s="40" t="s">
        <v>167</v>
      </c>
      <c r="D476" s="40" t="s">
        <v>1952</v>
      </c>
      <c r="E476" s="40">
        <v>2</v>
      </c>
      <c r="F476" s="43" t="s">
        <v>45</v>
      </c>
      <c r="G476" s="43" t="s">
        <v>184</v>
      </c>
    </row>
    <row r="477" spans="1:7" x14ac:dyDescent="0.25">
      <c r="A477" s="40">
        <v>472</v>
      </c>
      <c r="B477" s="40" t="s">
        <v>709</v>
      </c>
      <c r="C477" s="40" t="s">
        <v>168</v>
      </c>
      <c r="D477" s="40" t="s">
        <v>1958</v>
      </c>
      <c r="E477" s="40">
        <v>4</v>
      </c>
      <c r="F477" s="43" t="s">
        <v>45</v>
      </c>
      <c r="G477" s="43" t="s">
        <v>190</v>
      </c>
    </row>
    <row r="478" spans="1:7" x14ac:dyDescent="0.25">
      <c r="A478" s="40">
        <v>473</v>
      </c>
      <c r="B478" s="40" t="s">
        <v>710</v>
      </c>
      <c r="C478" s="40" t="s">
        <v>167</v>
      </c>
      <c r="D478" s="40" t="s">
        <v>1962</v>
      </c>
      <c r="E478" s="40">
        <v>9</v>
      </c>
      <c r="F478" s="43" t="s">
        <v>45</v>
      </c>
      <c r="G478" s="43" t="s">
        <v>179</v>
      </c>
    </row>
    <row r="479" spans="1:7" x14ac:dyDescent="0.25">
      <c r="A479" s="40">
        <v>474</v>
      </c>
      <c r="B479" s="40" t="s">
        <v>711</v>
      </c>
      <c r="C479" s="40" t="s">
        <v>167</v>
      </c>
      <c r="D479" s="40" t="s">
        <v>181</v>
      </c>
      <c r="E479" s="40">
        <v>3</v>
      </c>
      <c r="F479" s="43" t="s">
        <v>45</v>
      </c>
      <c r="G479" s="43" t="s">
        <v>179</v>
      </c>
    </row>
    <row r="480" spans="1:7" x14ac:dyDescent="0.25">
      <c r="A480" s="40">
        <v>475</v>
      </c>
      <c r="B480" s="40" t="s">
        <v>712</v>
      </c>
      <c r="C480" s="40" t="s">
        <v>167</v>
      </c>
      <c r="D480" s="40" t="s">
        <v>2007</v>
      </c>
      <c r="E480" s="40">
        <v>7</v>
      </c>
      <c r="F480" s="43" t="s">
        <v>45</v>
      </c>
      <c r="G480" s="43" t="s">
        <v>179</v>
      </c>
    </row>
    <row r="481" spans="1:7" x14ac:dyDescent="0.25">
      <c r="A481" s="40">
        <v>476</v>
      </c>
      <c r="B481" s="40" t="s">
        <v>713</v>
      </c>
      <c r="C481" s="40" t="s">
        <v>168</v>
      </c>
      <c r="D481" s="40" t="s">
        <v>2007</v>
      </c>
      <c r="E481" s="40">
        <v>6</v>
      </c>
      <c r="F481" s="43" t="s">
        <v>45</v>
      </c>
      <c r="G481" s="43" t="s">
        <v>179</v>
      </c>
    </row>
    <row r="482" spans="1:7" x14ac:dyDescent="0.25">
      <c r="A482" s="40">
        <v>477</v>
      </c>
      <c r="B482" s="40" t="s">
        <v>714</v>
      </c>
      <c r="C482" s="40" t="s">
        <v>168</v>
      </c>
      <c r="D482" s="40" t="s">
        <v>1939</v>
      </c>
      <c r="E482" s="40">
        <v>3</v>
      </c>
      <c r="F482" s="43" t="s">
        <v>45</v>
      </c>
      <c r="G482" s="43" t="s">
        <v>172</v>
      </c>
    </row>
    <row r="483" spans="1:7" x14ac:dyDescent="0.25">
      <c r="A483" s="40">
        <v>478</v>
      </c>
      <c r="B483" s="40" t="s">
        <v>715</v>
      </c>
      <c r="C483" s="40" t="s">
        <v>167</v>
      </c>
      <c r="D483" s="40" t="s">
        <v>198</v>
      </c>
      <c r="E483" s="40">
        <v>8</v>
      </c>
      <c r="F483" s="43" t="s">
        <v>45</v>
      </c>
      <c r="G483" s="43" t="s">
        <v>188</v>
      </c>
    </row>
    <row r="484" spans="1:7" x14ac:dyDescent="0.25">
      <c r="A484" s="40">
        <v>479</v>
      </c>
      <c r="B484" s="40" t="s">
        <v>716</v>
      </c>
      <c r="C484" s="40" t="s">
        <v>167</v>
      </c>
      <c r="D484" s="40" t="s">
        <v>193</v>
      </c>
      <c r="E484" s="40">
        <v>10</v>
      </c>
      <c r="F484" s="43" t="s">
        <v>45</v>
      </c>
      <c r="G484" s="43" t="s">
        <v>169</v>
      </c>
    </row>
    <row r="485" spans="1:7" x14ac:dyDescent="0.25">
      <c r="A485" s="40">
        <v>480</v>
      </c>
      <c r="B485" s="40" t="s">
        <v>717</v>
      </c>
      <c r="C485" s="40" t="s">
        <v>168</v>
      </c>
      <c r="D485" s="40" t="s">
        <v>1967</v>
      </c>
      <c r="E485" s="40">
        <v>1</v>
      </c>
      <c r="F485" s="43" t="s">
        <v>45</v>
      </c>
      <c r="G485" s="43" t="s">
        <v>172</v>
      </c>
    </row>
    <row r="486" spans="1:7" x14ac:dyDescent="0.25">
      <c r="A486" s="40">
        <v>481</v>
      </c>
      <c r="B486" s="40" t="s">
        <v>718</v>
      </c>
      <c r="C486" s="40" t="s">
        <v>168</v>
      </c>
      <c r="D486" s="40" t="s">
        <v>1946</v>
      </c>
      <c r="E486" s="40">
        <v>4</v>
      </c>
      <c r="F486" s="43" t="s">
        <v>45</v>
      </c>
      <c r="G486" s="43" t="s">
        <v>179</v>
      </c>
    </row>
    <row r="487" spans="1:7" x14ac:dyDescent="0.25">
      <c r="A487" s="40">
        <v>482</v>
      </c>
      <c r="B487" s="40" t="s">
        <v>719</v>
      </c>
      <c r="C487" s="40" t="s">
        <v>168</v>
      </c>
      <c r="D487" s="40" t="s">
        <v>1966</v>
      </c>
      <c r="E487" s="40">
        <v>4</v>
      </c>
      <c r="F487" s="43" t="s">
        <v>45</v>
      </c>
      <c r="G487" s="43" t="s">
        <v>177</v>
      </c>
    </row>
    <row r="488" spans="1:7" x14ac:dyDescent="0.25">
      <c r="A488" s="40">
        <v>483</v>
      </c>
      <c r="B488" s="40" t="s">
        <v>720</v>
      </c>
      <c r="C488" s="40" t="s">
        <v>167</v>
      </c>
      <c r="D488" s="40" t="s">
        <v>181</v>
      </c>
      <c r="E488" s="40">
        <v>2</v>
      </c>
      <c r="F488" s="43" t="s">
        <v>45</v>
      </c>
      <c r="G488" s="43" t="s">
        <v>181</v>
      </c>
    </row>
    <row r="489" spans="1:7" x14ac:dyDescent="0.25">
      <c r="A489" s="40">
        <v>484</v>
      </c>
      <c r="B489" s="40" t="s">
        <v>721</v>
      </c>
      <c r="C489" s="40" t="s">
        <v>167</v>
      </c>
      <c r="D489" s="40" t="s">
        <v>1932</v>
      </c>
      <c r="E489" s="40">
        <v>7</v>
      </c>
      <c r="F489" s="43" t="s">
        <v>45</v>
      </c>
      <c r="G489" s="43" t="s">
        <v>1980</v>
      </c>
    </row>
    <row r="490" spans="1:7" x14ac:dyDescent="0.25">
      <c r="A490" s="40">
        <v>485</v>
      </c>
      <c r="B490" s="40" t="s">
        <v>722</v>
      </c>
      <c r="C490" s="40" t="s">
        <v>168</v>
      </c>
      <c r="D490" s="40" t="s">
        <v>178</v>
      </c>
      <c r="E490" s="40">
        <v>11</v>
      </c>
      <c r="F490" s="43" t="s">
        <v>45</v>
      </c>
      <c r="G490" s="43" t="s">
        <v>178</v>
      </c>
    </row>
    <row r="491" spans="1:7" x14ac:dyDescent="0.25">
      <c r="A491" s="40">
        <v>486</v>
      </c>
      <c r="B491" s="40" t="s">
        <v>723</v>
      </c>
      <c r="C491" s="40" t="s">
        <v>168</v>
      </c>
      <c r="D491" s="40" t="s">
        <v>1950</v>
      </c>
      <c r="E491" s="40">
        <v>6</v>
      </c>
      <c r="F491" s="43" t="s">
        <v>45</v>
      </c>
      <c r="G491" s="43" t="s">
        <v>183</v>
      </c>
    </row>
    <row r="492" spans="1:7" x14ac:dyDescent="0.25">
      <c r="A492" s="40">
        <v>487</v>
      </c>
      <c r="B492" s="40" t="s">
        <v>724</v>
      </c>
      <c r="C492" s="40" t="s">
        <v>168</v>
      </c>
      <c r="D492" s="40" t="s">
        <v>1952</v>
      </c>
      <c r="E492" s="40">
        <v>3</v>
      </c>
      <c r="F492" s="43" t="s">
        <v>45</v>
      </c>
      <c r="G492" s="43" t="s">
        <v>184</v>
      </c>
    </row>
    <row r="493" spans="1:7" x14ac:dyDescent="0.25">
      <c r="A493" s="40">
        <v>488</v>
      </c>
      <c r="B493" s="40" t="s">
        <v>725</v>
      </c>
      <c r="C493" s="40" t="s">
        <v>167</v>
      </c>
      <c r="D493" s="40" t="s">
        <v>1951</v>
      </c>
      <c r="E493" s="40">
        <v>5</v>
      </c>
      <c r="F493" s="43" t="s">
        <v>45</v>
      </c>
      <c r="G493" s="43" t="s">
        <v>182</v>
      </c>
    </row>
    <row r="494" spans="1:7" x14ac:dyDescent="0.25">
      <c r="A494" s="40">
        <v>489</v>
      </c>
      <c r="B494" s="40" t="s">
        <v>726</v>
      </c>
      <c r="C494" s="40" t="s">
        <v>167</v>
      </c>
      <c r="D494" s="40" t="s">
        <v>1952</v>
      </c>
      <c r="E494" s="40">
        <v>8</v>
      </c>
      <c r="F494" s="43" t="s">
        <v>45</v>
      </c>
      <c r="G494" s="43" t="s">
        <v>184</v>
      </c>
    </row>
    <row r="495" spans="1:7" x14ac:dyDescent="0.25">
      <c r="A495" s="40">
        <v>490</v>
      </c>
      <c r="B495" s="40" t="s">
        <v>727</v>
      </c>
      <c r="C495" s="40" t="s">
        <v>167</v>
      </c>
      <c r="D495" s="40" t="s">
        <v>181</v>
      </c>
      <c r="E495" s="40">
        <v>3</v>
      </c>
      <c r="F495" s="43" t="s">
        <v>45</v>
      </c>
      <c r="G495" s="43" t="s">
        <v>181</v>
      </c>
    </row>
    <row r="496" spans="1:7" x14ac:dyDescent="0.25">
      <c r="A496" s="40">
        <v>491</v>
      </c>
      <c r="B496" s="40" t="s">
        <v>728</v>
      </c>
      <c r="C496" s="40" t="s">
        <v>168</v>
      </c>
      <c r="D496" s="40" t="s">
        <v>193</v>
      </c>
      <c r="E496" s="40">
        <v>8</v>
      </c>
      <c r="F496" s="43" t="s">
        <v>45</v>
      </c>
      <c r="G496" s="43" t="s">
        <v>1985</v>
      </c>
    </row>
    <row r="497" spans="1:7" x14ac:dyDescent="0.25">
      <c r="A497" s="40">
        <v>492</v>
      </c>
      <c r="B497" s="40" t="s">
        <v>729</v>
      </c>
      <c r="C497" s="40" t="s">
        <v>168</v>
      </c>
      <c r="D497" s="40" t="s">
        <v>193</v>
      </c>
      <c r="E497" s="40">
        <v>4</v>
      </c>
      <c r="F497" s="43" t="s">
        <v>45</v>
      </c>
      <c r="G497" s="43" t="s">
        <v>1985</v>
      </c>
    </row>
    <row r="498" spans="1:7" x14ac:dyDescent="0.25">
      <c r="A498" s="40">
        <v>493</v>
      </c>
      <c r="B498" s="40" t="s">
        <v>730</v>
      </c>
      <c r="C498" s="40" t="s">
        <v>168</v>
      </c>
      <c r="D498" s="40" t="s">
        <v>1966</v>
      </c>
      <c r="E498" s="40">
        <v>10</v>
      </c>
      <c r="F498" s="43" t="s">
        <v>45</v>
      </c>
      <c r="G498" s="43" t="s">
        <v>177</v>
      </c>
    </row>
    <row r="499" spans="1:7" x14ac:dyDescent="0.25">
      <c r="A499" s="40">
        <v>494</v>
      </c>
      <c r="B499" s="40" t="s">
        <v>731</v>
      </c>
      <c r="C499" s="40" t="s">
        <v>168</v>
      </c>
      <c r="D499" s="40" t="s">
        <v>186</v>
      </c>
      <c r="E499" s="40">
        <v>4</v>
      </c>
      <c r="F499" s="43" t="s">
        <v>45</v>
      </c>
      <c r="G499" s="43" t="s">
        <v>186</v>
      </c>
    </row>
    <row r="500" spans="1:7" x14ac:dyDescent="0.25">
      <c r="A500" s="40">
        <v>495</v>
      </c>
      <c r="B500" s="40" t="s">
        <v>732</v>
      </c>
      <c r="C500" s="40" t="s">
        <v>168</v>
      </c>
      <c r="D500" s="40" t="s">
        <v>186</v>
      </c>
      <c r="E500" s="40">
        <v>4</v>
      </c>
      <c r="F500" s="43" t="s">
        <v>45</v>
      </c>
      <c r="G500" s="43" t="s">
        <v>186</v>
      </c>
    </row>
    <row r="501" spans="1:7" x14ac:dyDescent="0.25">
      <c r="A501" s="40">
        <v>496</v>
      </c>
      <c r="B501" s="40" t="s">
        <v>733</v>
      </c>
      <c r="C501" s="40" t="s">
        <v>168</v>
      </c>
      <c r="D501" s="40" t="s">
        <v>1976</v>
      </c>
      <c r="E501" s="40">
        <v>10</v>
      </c>
      <c r="F501" s="43" t="s">
        <v>45</v>
      </c>
      <c r="G501" s="43" t="s">
        <v>186</v>
      </c>
    </row>
    <row r="502" spans="1:7" x14ac:dyDescent="0.25">
      <c r="A502" s="40">
        <v>497</v>
      </c>
      <c r="B502" s="40" t="s">
        <v>734</v>
      </c>
      <c r="C502" s="40" t="s">
        <v>168</v>
      </c>
      <c r="D502" s="40" t="s">
        <v>193</v>
      </c>
      <c r="E502" s="40">
        <v>2</v>
      </c>
      <c r="F502" s="43" t="s">
        <v>45</v>
      </c>
      <c r="G502" s="43" t="s">
        <v>169</v>
      </c>
    </row>
    <row r="503" spans="1:7" x14ac:dyDescent="0.25">
      <c r="A503" s="40">
        <v>498</v>
      </c>
      <c r="B503" s="40" t="s">
        <v>735</v>
      </c>
      <c r="C503" s="40" t="s">
        <v>168</v>
      </c>
      <c r="D503" s="40" t="s">
        <v>198</v>
      </c>
      <c r="E503" s="40">
        <v>6</v>
      </c>
      <c r="F503" s="43" t="s">
        <v>45</v>
      </c>
      <c r="G503" s="43" t="s">
        <v>187</v>
      </c>
    </row>
    <row r="504" spans="1:7" x14ac:dyDescent="0.25">
      <c r="A504" s="40">
        <v>499</v>
      </c>
      <c r="B504" s="40" t="s">
        <v>736</v>
      </c>
      <c r="C504" s="40" t="s">
        <v>168</v>
      </c>
      <c r="D504" s="40" t="s">
        <v>1934</v>
      </c>
      <c r="E504" s="40">
        <v>1</v>
      </c>
      <c r="F504" s="43" t="s">
        <v>45</v>
      </c>
      <c r="G504" s="43" t="s">
        <v>182</v>
      </c>
    </row>
    <row r="505" spans="1:7" x14ac:dyDescent="0.25">
      <c r="A505" s="40">
        <v>500</v>
      </c>
      <c r="B505" s="40" t="s">
        <v>737</v>
      </c>
      <c r="C505" s="40" t="s">
        <v>167</v>
      </c>
      <c r="D505" s="40" t="s">
        <v>175</v>
      </c>
      <c r="E505" s="40">
        <v>4</v>
      </c>
      <c r="F505" s="43" t="s">
        <v>45</v>
      </c>
      <c r="G505" s="43" t="s">
        <v>175</v>
      </c>
    </row>
    <row r="506" spans="1:7" x14ac:dyDescent="0.25">
      <c r="A506" s="40">
        <v>501</v>
      </c>
      <c r="B506" s="40" t="s">
        <v>738</v>
      </c>
      <c r="C506" s="40" t="s">
        <v>168</v>
      </c>
      <c r="D506" s="40" t="s">
        <v>178</v>
      </c>
      <c r="E506" s="40">
        <v>1</v>
      </c>
      <c r="F506" s="43" t="s">
        <v>45</v>
      </c>
      <c r="G506" s="43" t="s">
        <v>178</v>
      </c>
    </row>
    <row r="507" spans="1:7" x14ac:dyDescent="0.25">
      <c r="A507" s="40">
        <v>502</v>
      </c>
      <c r="B507" s="40" t="s">
        <v>739</v>
      </c>
      <c r="C507" s="40" t="s">
        <v>167</v>
      </c>
      <c r="D507" s="40" t="s">
        <v>195</v>
      </c>
      <c r="E507" s="40">
        <v>3</v>
      </c>
      <c r="F507" s="43" t="s">
        <v>45</v>
      </c>
      <c r="G507" s="43" t="s">
        <v>2006</v>
      </c>
    </row>
    <row r="508" spans="1:7" x14ac:dyDescent="0.25">
      <c r="A508" s="40">
        <v>503</v>
      </c>
      <c r="B508" s="40" t="s">
        <v>740</v>
      </c>
      <c r="C508" s="40" t="s">
        <v>167</v>
      </c>
      <c r="D508" s="40" t="s">
        <v>195</v>
      </c>
      <c r="E508" s="40">
        <v>3</v>
      </c>
      <c r="F508" s="43" t="s">
        <v>45</v>
      </c>
      <c r="G508" s="43" t="s">
        <v>2006</v>
      </c>
    </row>
    <row r="509" spans="1:7" x14ac:dyDescent="0.25">
      <c r="A509" s="40">
        <v>504</v>
      </c>
      <c r="B509" s="40" t="s">
        <v>741</v>
      </c>
      <c r="C509" s="40" t="s">
        <v>167</v>
      </c>
      <c r="D509" s="40" t="s">
        <v>1944</v>
      </c>
      <c r="E509" s="40">
        <v>10</v>
      </c>
      <c r="F509" s="43" t="s">
        <v>45</v>
      </c>
      <c r="G509" s="43" t="s">
        <v>183</v>
      </c>
    </row>
    <row r="510" spans="1:7" x14ac:dyDescent="0.25">
      <c r="A510" s="40">
        <v>505</v>
      </c>
      <c r="B510" s="40" t="s">
        <v>742</v>
      </c>
      <c r="C510" s="40" t="s">
        <v>167</v>
      </c>
      <c r="D510" s="40" t="s">
        <v>180</v>
      </c>
      <c r="E510" s="40">
        <v>6</v>
      </c>
      <c r="F510" s="43" t="s">
        <v>45</v>
      </c>
      <c r="G510" s="43" t="s">
        <v>180</v>
      </c>
    </row>
    <row r="511" spans="1:7" x14ac:dyDescent="0.25">
      <c r="A511" s="40">
        <v>506</v>
      </c>
      <c r="B511" s="40" t="s">
        <v>743</v>
      </c>
      <c r="C511" s="40" t="s">
        <v>168</v>
      </c>
      <c r="D511" s="40" t="s">
        <v>1963</v>
      </c>
      <c r="E511" s="40">
        <v>1</v>
      </c>
      <c r="F511" s="43" t="s">
        <v>45</v>
      </c>
      <c r="G511" s="43" t="s">
        <v>190</v>
      </c>
    </row>
    <row r="512" spans="1:7" x14ac:dyDescent="0.25">
      <c r="A512" s="40">
        <v>507</v>
      </c>
      <c r="B512" s="40" t="s">
        <v>744</v>
      </c>
      <c r="C512" s="40" t="s">
        <v>167</v>
      </c>
      <c r="D512" s="40" t="s">
        <v>1955</v>
      </c>
      <c r="E512" s="40">
        <v>9</v>
      </c>
      <c r="F512" s="43" t="s">
        <v>45</v>
      </c>
      <c r="G512" s="43" t="s">
        <v>183</v>
      </c>
    </row>
    <row r="513" spans="1:7" x14ac:dyDescent="0.25">
      <c r="A513" s="40">
        <v>508</v>
      </c>
      <c r="B513" s="40" t="s">
        <v>745</v>
      </c>
      <c r="C513" s="40" t="s">
        <v>168</v>
      </c>
      <c r="D513" s="40" t="s">
        <v>1944</v>
      </c>
      <c r="E513" s="40">
        <v>6</v>
      </c>
      <c r="F513" s="43" t="s">
        <v>45</v>
      </c>
      <c r="G513" s="43" t="s">
        <v>183</v>
      </c>
    </row>
    <row r="514" spans="1:7" x14ac:dyDescent="0.25">
      <c r="A514" s="40">
        <v>509</v>
      </c>
      <c r="B514" s="40" t="s">
        <v>746</v>
      </c>
      <c r="C514" s="40" t="s">
        <v>168</v>
      </c>
      <c r="D514" s="40" t="s">
        <v>1944</v>
      </c>
      <c r="E514" s="40">
        <v>7</v>
      </c>
      <c r="F514" s="43" t="s">
        <v>45</v>
      </c>
      <c r="G514" s="43" t="s">
        <v>183</v>
      </c>
    </row>
    <row r="515" spans="1:7" x14ac:dyDescent="0.25">
      <c r="A515" s="40">
        <v>510</v>
      </c>
      <c r="B515" s="40" t="s">
        <v>747</v>
      </c>
      <c r="C515" s="40" t="s">
        <v>167</v>
      </c>
      <c r="D515" s="40" t="s">
        <v>198</v>
      </c>
      <c r="E515" s="40">
        <v>4</v>
      </c>
      <c r="F515" s="43" t="s">
        <v>45</v>
      </c>
      <c r="G515" s="43" t="s">
        <v>187</v>
      </c>
    </row>
    <row r="516" spans="1:7" x14ac:dyDescent="0.25">
      <c r="A516" s="40">
        <v>511</v>
      </c>
      <c r="B516" s="40" t="s">
        <v>748</v>
      </c>
      <c r="C516" s="40" t="s">
        <v>167</v>
      </c>
      <c r="D516" s="40" t="s">
        <v>1944</v>
      </c>
      <c r="E516" s="40">
        <v>7</v>
      </c>
      <c r="F516" s="43" t="s">
        <v>45</v>
      </c>
      <c r="G516" s="43" t="s">
        <v>183</v>
      </c>
    </row>
    <row r="517" spans="1:7" x14ac:dyDescent="0.25">
      <c r="A517" s="40">
        <v>512</v>
      </c>
      <c r="B517" s="40" t="s">
        <v>749</v>
      </c>
      <c r="C517" s="40" t="s">
        <v>168</v>
      </c>
      <c r="D517" s="40" t="s">
        <v>193</v>
      </c>
      <c r="E517" s="40">
        <v>5</v>
      </c>
      <c r="F517" s="43" t="s">
        <v>45</v>
      </c>
      <c r="G517" s="43" t="s">
        <v>1985</v>
      </c>
    </row>
    <row r="518" spans="1:7" x14ac:dyDescent="0.25">
      <c r="A518" s="40">
        <v>513</v>
      </c>
      <c r="B518" s="40" t="s">
        <v>750</v>
      </c>
      <c r="C518" s="40" t="s">
        <v>167</v>
      </c>
      <c r="D518" s="40" t="s">
        <v>1966</v>
      </c>
      <c r="E518" s="40">
        <v>4</v>
      </c>
      <c r="F518" s="43" t="s">
        <v>45</v>
      </c>
      <c r="G518" s="43" t="s">
        <v>177</v>
      </c>
    </row>
    <row r="519" spans="1:7" x14ac:dyDescent="0.25">
      <c r="A519" s="40">
        <v>514</v>
      </c>
      <c r="B519" s="40" t="s">
        <v>751</v>
      </c>
      <c r="C519" s="40" t="s">
        <v>167</v>
      </c>
      <c r="D519" s="40" t="s">
        <v>198</v>
      </c>
      <c r="E519" s="40">
        <v>4</v>
      </c>
      <c r="F519" s="43" t="s">
        <v>45</v>
      </c>
      <c r="G519" s="43" t="s">
        <v>188</v>
      </c>
    </row>
    <row r="520" spans="1:7" x14ac:dyDescent="0.25">
      <c r="A520" s="40">
        <v>515</v>
      </c>
      <c r="B520" s="40" t="s">
        <v>752</v>
      </c>
      <c r="C520" s="40" t="s">
        <v>168</v>
      </c>
      <c r="D520" s="40" t="s">
        <v>1948</v>
      </c>
      <c r="E520" s="40">
        <v>2</v>
      </c>
      <c r="F520" s="43" t="s">
        <v>45</v>
      </c>
      <c r="G520" s="43" t="s">
        <v>190</v>
      </c>
    </row>
    <row r="521" spans="1:7" x14ac:dyDescent="0.25">
      <c r="A521" s="40">
        <v>516</v>
      </c>
      <c r="B521" s="40" t="s">
        <v>753</v>
      </c>
      <c r="C521" s="40" t="s">
        <v>167</v>
      </c>
      <c r="D521" s="40" t="s">
        <v>1968</v>
      </c>
      <c r="E521" s="40">
        <v>7</v>
      </c>
      <c r="F521" s="43" t="s">
        <v>45</v>
      </c>
      <c r="G521" s="43" t="s">
        <v>2006</v>
      </c>
    </row>
    <row r="522" spans="1:7" x14ac:dyDescent="0.25">
      <c r="A522" s="40">
        <v>517</v>
      </c>
      <c r="B522" s="40" t="s">
        <v>754</v>
      </c>
      <c r="C522" s="40" t="s">
        <v>168</v>
      </c>
      <c r="D522" s="40" t="s">
        <v>180</v>
      </c>
      <c r="E522" s="40">
        <v>6</v>
      </c>
      <c r="F522" s="43" t="s">
        <v>45</v>
      </c>
      <c r="G522" s="43" t="s">
        <v>180</v>
      </c>
    </row>
    <row r="523" spans="1:7" x14ac:dyDescent="0.25">
      <c r="A523" s="40">
        <v>518</v>
      </c>
      <c r="B523" s="40" t="s">
        <v>755</v>
      </c>
      <c r="C523" s="40" t="s">
        <v>167</v>
      </c>
      <c r="D523" s="40" t="s">
        <v>1965</v>
      </c>
      <c r="E523" s="40">
        <v>2</v>
      </c>
      <c r="F523" s="43" t="s">
        <v>45</v>
      </c>
      <c r="G523" s="43" t="s">
        <v>172</v>
      </c>
    </row>
    <row r="524" spans="1:7" x14ac:dyDescent="0.25">
      <c r="A524" s="40">
        <v>519</v>
      </c>
      <c r="B524" s="40" t="s">
        <v>756</v>
      </c>
      <c r="C524" s="40" t="s">
        <v>168</v>
      </c>
      <c r="D524" s="40" t="s">
        <v>1955</v>
      </c>
      <c r="E524" s="40">
        <v>9</v>
      </c>
      <c r="F524" s="43" t="s">
        <v>1978</v>
      </c>
    </row>
    <row r="525" spans="1:7" x14ac:dyDescent="0.25">
      <c r="A525" s="40">
        <v>520</v>
      </c>
      <c r="B525" s="40" t="s">
        <v>757</v>
      </c>
      <c r="C525" s="40" t="s">
        <v>167</v>
      </c>
      <c r="D525" s="40" t="s">
        <v>1960</v>
      </c>
      <c r="E525" s="40">
        <v>7</v>
      </c>
      <c r="F525" s="43" t="s">
        <v>45</v>
      </c>
      <c r="G525" s="43" t="s">
        <v>183</v>
      </c>
    </row>
    <row r="526" spans="1:7" x14ac:dyDescent="0.25">
      <c r="A526" s="40">
        <v>521</v>
      </c>
      <c r="B526" s="40" t="s">
        <v>758</v>
      </c>
      <c r="C526" s="40" t="s">
        <v>168</v>
      </c>
      <c r="D526" s="40" t="s">
        <v>1966</v>
      </c>
      <c r="E526" s="40">
        <v>7</v>
      </c>
      <c r="F526" s="43" t="s">
        <v>45</v>
      </c>
      <c r="G526" s="43" t="s">
        <v>177</v>
      </c>
    </row>
    <row r="527" spans="1:7" x14ac:dyDescent="0.25">
      <c r="A527" s="40">
        <v>522</v>
      </c>
      <c r="B527" s="40" t="s">
        <v>759</v>
      </c>
      <c r="C527" s="40" t="s">
        <v>167</v>
      </c>
      <c r="D527" s="40" t="s">
        <v>1943</v>
      </c>
      <c r="E527" s="40">
        <v>3</v>
      </c>
      <c r="F527" s="43" t="s">
        <v>45</v>
      </c>
      <c r="G527" s="43" t="s">
        <v>183</v>
      </c>
    </row>
    <row r="528" spans="1:7" x14ac:dyDescent="0.25">
      <c r="A528" s="40">
        <v>523</v>
      </c>
      <c r="B528" s="40" t="s">
        <v>760</v>
      </c>
      <c r="C528" s="40" t="s">
        <v>168</v>
      </c>
      <c r="D528" s="40" t="s">
        <v>1943</v>
      </c>
      <c r="E528" s="40">
        <v>3</v>
      </c>
      <c r="F528" s="43" t="s">
        <v>45</v>
      </c>
      <c r="G528" s="43" t="s">
        <v>183</v>
      </c>
    </row>
    <row r="529" spans="1:7" x14ac:dyDescent="0.25">
      <c r="A529" s="40">
        <v>524</v>
      </c>
      <c r="B529" s="40" t="s">
        <v>761</v>
      </c>
      <c r="C529" s="40" t="s">
        <v>167</v>
      </c>
      <c r="D529" s="40" t="s">
        <v>178</v>
      </c>
      <c r="E529" s="40">
        <v>5</v>
      </c>
      <c r="F529" s="43" t="s">
        <v>45</v>
      </c>
      <c r="G529" s="43" t="s">
        <v>178</v>
      </c>
    </row>
    <row r="530" spans="1:7" x14ac:dyDescent="0.25">
      <c r="A530" s="40">
        <v>525</v>
      </c>
      <c r="B530" s="40" t="s">
        <v>762</v>
      </c>
      <c r="C530" s="40" t="s">
        <v>167</v>
      </c>
      <c r="D530" s="40" t="s">
        <v>1966</v>
      </c>
      <c r="E530" s="40">
        <v>5</v>
      </c>
      <c r="F530" s="43" t="s">
        <v>45</v>
      </c>
      <c r="G530" s="43" t="s">
        <v>177</v>
      </c>
    </row>
    <row r="531" spans="1:7" x14ac:dyDescent="0.25">
      <c r="A531" s="40">
        <v>526</v>
      </c>
      <c r="B531" s="40" t="s">
        <v>763</v>
      </c>
      <c r="C531" s="40" t="s">
        <v>168</v>
      </c>
      <c r="D531" s="40" t="s">
        <v>1939</v>
      </c>
      <c r="E531" s="40">
        <v>5</v>
      </c>
      <c r="F531" s="43" t="s">
        <v>45</v>
      </c>
      <c r="G531" s="43" t="s">
        <v>172</v>
      </c>
    </row>
    <row r="532" spans="1:7" x14ac:dyDescent="0.25">
      <c r="A532" s="40">
        <v>527</v>
      </c>
      <c r="B532" s="40" t="s">
        <v>764</v>
      </c>
      <c r="C532" s="40" t="s">
        <v>167</v>
      </c>
      <c r="D532" s="40" t="s">
        <v>178</v>
      </c>
      <c r="E532" s="40">
        <v>10</v>
      </c>
      <c r="F532" s="43" t="s">
        <v>45</v>
      </c>
      <c r="G532" s="43" t="s">
        <v>178</v>
      </c>
    </row>
    <row r="533" spans="1:7" x14ac:dyDescent="0.25">
      <c r="A533" s="40">
        <v>528</v>
      </c>
      <c r="B533" s="40" t="s">
        <v>765</v>
      </c>
      <c r="C533" s="40" t="s">
        <v>168</v>
      </c>
      <c r="D533" s="40" t="s">
        <v>186</v>
      </c>
      <c r="E533" s="40">
        <v>10</v>
      </c>
      <c r="F533" s="43" t="s">
        <v>45</v>
      </c>
      <c r="G533" s="43" t="s">
        <v>186</v>
      </c>
    </row>
    <row r="534" spans="1:7" x14ac:dyDescent="0.25">
      <c r="A534" s="40">
        <v>529</v>
      </c>
      <c r="B534" s="40" t="s">
        <v>766</v>
      </c>
      <c r="C534" s="40" t="s">
        <v>168</v>
      </c>
      <c r="D534" s="40" t="s">
        <v>178</v>
      </c>
      <c r="E534" s="40">
        <v>14</v>
      </c>
      <c r="F534" s="43" t="s">
        <v>45</v>
      </c>
      <c r="G534" s="43" t="s">
        <v>178</v>
      </c>
    </row>
    <row r="535" spans="1:7" x14ac:dyDescent="0.25">
      <c r="A535" s="40">
        <v>530</v>
      </c>
      <c r="B535" s="40" t="s">
        <v>767</v>
      </c>
      <c r="C535" s="40" t="s">
        <v>167</v>
      </c>
      <c r="D535" s="40" t="s">
        <v>1939</v>
      </c>
      <c r="E535" s="40">
        <v>7</v>
      </c>
      <c r="F535" s="43" t="s">
        <v>45</v>
      </c>
      <c r="G535" s="43" t="s">
        <v>172</v>
      </c>
    </row>
    <row r="536" spans="1:7" x14ac:dyDescent="0.25">
      <c r="A536" s="40">
        <v>531</v>
      </c>
      <c r="B536" s="40" t="s">
        <v>768</v>
      </c>
      <c r="C536" s="40" t="s">
        <v>168</v>
      </c>
      <c r="D536" s="40" t="s">
        <v>172</v>
      </c>
      <c r="E536" s="40">
        <v>7</v>
      </c>
      <c r="F536" s="43" t="s">
        <v>45</v>
      </c>
      <c r="G536" s="43" t="s">
        <v>172</v>
      </c>
    </row>
    <row r="537" spans="1:7" x14ac:dyDescent="0.25">
      <c r="A537" s="40">
        <v>532</v>
      </c>
      <c r="B537" s="40" t="s">
        <v>769</v>
      </c>
      <c r="C537" s="40" t="s">
        <v>167</v>
      </c>
      <c r="D537" s="40" t="s">
        <v>193</v>
      </c>
      <c r="E537" s="40">
        <v>2</v>
      </c>
      <c r="F537" s="43" t="s">
        <v>45</v>
      </c>
      <c r="G537" s="43" t="s">
        <v>1985</v>
      </c>
    </row>
    <row r="538" spans="1:7" x14ac:dyDescent="0.25">
      <c r="A538" s="40">
        <v>533</v>
      </c>
      <c r="B538" s="40" t="s">
        <v>770</v>
      </c>
      <c r="C538" s="40" t="s">
        <v>167</v>
      </c>
      <c r="D538" s="40" t="s">
        <v>172</v>
      </c>
      <c r="E538" s="40">
        <v>6</v>
      </c>
      <c r="F538" s="43" t="s">
        <v>45</v>
      </c>
      <c r="G538" s="43" t="s">
        <v>172</v>
      </c>
    </row>
    <row r="539" spans="1:7" x14ac:dyDescent="0.25">
      <c r="A539" s="40">
        <v>534</v>
      </c>
      <c r="B539" s="40" t="s">
        <v>771</v>
      </c>
      <c r="C539" s="40" t="s">
        <v>168</v>
      </c>
      <c r="D539" s="40" t="s">
        <v>1952</v>
      </c>
      <c r="E539" s="40">
        <v>6</v>
      </c>
      <c r="F539" s="43" t="s">
        <v>45</v>
      </c>
      <c r="G539" s="43" t="s">
        <v>184</v>
      </c>
    </row>
    <row r="540" spans="1:7" x14ac:dyDescent="0.25">
      <c r="A540" s="40">
        <v>535</v>
      </c>
      <c r="B540" s="40" t="s">
        <v>772</v>
      </c>
      <c r="C540" s="40" t="s">
        <v>167</v>
      </c>
      <c r="D540" s="40" t="s">
        <v>1952</v>
      </c>
      <c r="E540" s="40">
        <v>6</v>
      </c>
      <c r="F540" s="43" t="s">
        <v>45</v>
      </c>
      <c r="G540" s="43" t="s">
        <v>184</v>
      </c>
    </row>
    <row r="541" spans="1:7" x14ac:dyDescent="0.25">
      <c r="A541" s="40">
        <v>536</v>
      </c>
      <c r="B541" s="40" t="s">
        <v>773</v>
      </c>
      <c r="C541" s="40" t="s">
        <v>167</v>
      </c>
      <c r="D541" s="40" t="s">
        <v>1952</v>
      </c>
      <c r="E541" s="40">
        <v>3</v>
      </c>
      <c r="F541" s="43" t="s">
        <v>45</v>
      </c>
      <c r="G541" s="43" t="s">
        <v>184</v>
      </c>
    </row>
    <row r="542" spans="1:7" x14ac:dyDescent="0.25">
      <c r="A542" s="40">
        <v>537</v>
      </c>
      <c r="B542" s="40" t="s">
        <v>774</v>
      </c>
      <c r="C542" s="40" t="s">
        <v>167</v>
      </c>
      <c r="D542" s="40" t="s">
        <v>1939</v>
      </c>
      <c r="E542" s="40">
        <v>6</v>
      </c>
      <c r="F542" s="43" t="s">
        <v>45</v>
      </c>
      <c r="G542" s="43" t="s">
        <v>172</v>
      </c>
    </row>
    <row r="543" spans="1:7" x14ac:dyDescent="0.25">
      <c r="A543" s="40">
        <v>538</v>
      </c>
      <c r="B543" s="40" t="s">
        <v>775</v>
      </c>
      <c r="C543" s="40" t="s">
        <v>167</v>
      </c>
      <c r="D543" s="40" t="s">
        <v>1950</v>
      </c>
      <c r="E543" s="40">
        <v>7</v>
      </c>
      <c r="F543" s="43" t="s">
        <v>45</v>
      </c>
      <c r="G543" s="43" t="s">
        <v>183</v>
      </c>
    </row>
    <row r="544" spans="1:7" x14ac:dyDescent="0.25">
      <c r="A544" s="40">
        <v>539</v>
      </c>
      <c r="B544" s="40" t="s">
        <v>776</v>
      </c>
      <c r="C544" s="40" t="s">
        <v>168</v>
      </c>
      <c r="D544" s="40" t="s">
        <v>193</v>
      </c>
      <c r="E544" s="40">
        <v>6</v>
      </c>
      <c r="F544" s="43" t="s">
        <v>45</v>
      </c>
      <c r="G544" s="43" t="s">
        <v>1985</v>
      </c>
    </row>
    <row r="545" spans="1:7" x14ac:dyDescent="0.25">
      <c r="A545" s="40">
        <v>540</v>
      </c>
      <c r="B545" s="40" t="s">
        <v>777</v>
      </c>
      <c r="C545" s="40" t="s">
        <v>168</v>
      </c>
      <c r="D545" s="40" t="s">
        <v>176</v>
      </c>
      <c r="E545" s="40">
        <v>10</v>
      </c>
      <c r="F545" s="43" t="s">
        <v>45</v>
      </c>
      <c r="G545" s="43" t="s">
        <v>176</v>
      </c>
    </row>
    <row r="546" spans="1:7" x14ac:dyDescent="0.25">
      <c r="A546" s="40">
        <v>541</v>
      </c>
      <c r="B546" s="40" t="s">
        <v>778</v>
      </c>
      <c r="C546" s="40" t="s">
        <v>167</v>
      </c>
      <c r="D546" s="40" t="s">
        <v>1932</v>
      </c>
      <c r="E546" s="40">
        <v>4</v>
      </c>
      <c r="F546" s="43" t="s">
        <v>45</v>
      </c>
      <c r="G546" s="43" t="s">
        <v>1980</v>
      </c>
    </row>
    <row r="547" spans="1:7" x14ac:dyDescent="0.25">
      <c r="A547" s="40">
        <v>542</v>
      </c>
      <c r="B547" s="40" t="s">
        <v>779</v>
      </c>
      <c r="C547" s="40" t="s">
        <v>167</v>
      </c>
      <c r="D547" s="40" t="s">
        <v>1966</v>
      </c>
      <c r="E547" s="40">
        <v>10</v>
      </c>
      <c r="F547" s="43" t="s">
        <v>45</v>
      </c>
      <c r="G547" s="43" t="s">
        <v>177</v>
      </c>
    </row>
    <row r="548" spans="1:7" x14ac:dyDescent="0.25">
      <c r="A548" s="40">
        <v>543</v>
      </c>
      <c r="B548" s="40" t="s">
        <v>780</v>
      </c>
      <c r="C548" s="40" t="s">
        <v>167</v>
      </c>
      <c r="D548" s="40" t="s">
        <v>198</v>
      </c>
      <c r="E548" s="40">
        <v>3</v>
      </c>
      <c r="F548" s="43" t="s">
        <v>45</v>
      </c>
      <c r="G548" s="43" t="s">
        <v>187</v>
      </c>
    </row>
    <row r="549" spans="1:7" x14ac:dyDescent="0.25">
      <c r="A549" s="40">
        <v>544</v>
      </c>
      <c r="B549" s="40" t="s">
        <v>781</v>
      </c>
      <c r="C549" s="40" t="s">
        <v>167</v>
      </c>
      <c r="D549" s="40" t="s">
        <v>198</v>
      </c>
      <c r="E549" s="40">
        <v>5</v>
      </c>
      <c r="F549" s="43" t="s">
        <v>45</v>
      </c>
      <c r="G549" s="43" t="s">
        <v>187</v>
      </c>
    </row>
    <row r="550" spans="1:7" x14ac:dyDescent="0.25">
      <c r="A550" s="40">
        <v>545</v>
      </c>
      <c r="B550" s="40" t="s">
        <v>782</v>
      </c>
      <c r="C550" s="40" t="s">
        <v>167</v>
      </c>
      <c r="D550" s="40" t="s">
        <v>1940</v>
      </c>
      <c r="E550" s="40">
        <v>4</v>
      </c>
      <c r="F550" s="43" t="s">
        <v>45</v>
      </c>
      <c r="G550" s="43" t="s">
        <v>1940</v>
      </c>
    </row>
    <row r="551" spans="1:7" x14ac:dyDescent="0.25">
      <c r="A551" s="40">
        <v>546</v>
      </c>
      <c r="B551" s="40" t="s">
        <v>783</v>
      </c>
      <c r="C551" s="40" t="s">
        <v>167</v>
      </c>
      <c r="D551" s="40" t="s">
        <v>193</v>
      </c>
      <c r="E551" s="40">
        <v>2</v>
      </c>
      <c r="F551" s="43" t="s">
        <v>45</v>
      </c>
      <c r="G551" s="43" t="s">
        <v>1986</v>
      </c>
    </row>
    <row r="552" spans="1:7" x14ac:dyDescent="0.25">
      <c r="A552" s="40">
        <v>547</v>
      </c>
      <c r="B552" s="40" t="s">
        <v>784</v>
      </c>
      <c r="C552" s="40" t="s">
        <v>167</v>
      </c>
      <c r="D552" s="40" t="s">
        <v>193</v>
      </c>
      <c r="E552" s="40">
        <v>5</v>
      </c>
      <c r="F552" s="43" t="s">
        <v>45</v>
      </c>
      <c r="G552" s="43" t="s">
        <v>1985</v>
      </c>
    </row>
    <row r="553" spans="1:7" x14ac:dyDescent="0.25">
      <c r="A553" s="40">
        <v>548</v>
      </c>
      <c r="B553" s="40" t="s">
        <v>785</v>
      </c>
      <c r="C553" s="40" t="s">
        <v>168</v>
      </c>
      <c r="D553" s="40" t="s">
        <v>186</v>
      </c>
      <c r="E553" s="40">
        <v>5</v>
      </c>
      <c r="F553" s="43" t="s">
        <v>45</v>
      </c>
      <c r="G553" s="43" t="s">
        <v>186</v>
      </c>
    </row>
    <row r="554" spans="1:7" x14ac:dyDescent="0.25">
      <c r="A554" s="40">
        <v>549</v>
      </c>
      <c r="B554" s="40" t="s">
        <v>786</v>
      </c>
      <c r="C554" s="40" t="s">
        <v>168</v>
      </c>
      <c r="D554" s="40" t="s">
        <v>198</v>
      </c>
      <c r="E554" s="40">
        <v>8</v>
      </c>
      <c r="F554" s="43" t="s">
        <v>45</v>
      </c>
      <c r="G554" s="43" t="s">
        <v>188</v>
      </c>
    </row>
    <row r="555" spans="1:7" x14ac:dyDescent="0.25">
      <c r="A555" s="40">
        <v>550</v>
      </c>
      <c r="B555" s="40" t="s">
        <v>787</v>
      </c>
      <c r="C555" s="40" t="s">
        <v>168</v>
      </c>
      <c r="D555" s="40" t="s">
        <v>1972</v>
      </c>
      <c r="E555" s="40">
        <v>2</v>
      </c>
      <c r="F555" s="43" t="s">
        <v>45</v>
      </c>
      <c r="G555" s="43" t="s">
        <v>2006</v>
      </c>
    </row>
    <row r="556" spans="1:7" x14ac:dyDescent="0.25">
      <c r="A556" s="40">
        <v>551</v>
      </c>
      <c r="B556" s="40" t="s">
        <v>788</v>
      </c>
      <c r="C556" s="40" t="s">
        <v>167</v>
      </c>
      <c r="D556" s="40" t="s">
        <v>180</v>
      </c>
      <c r="E556" s="40">
        <v>5</v>
      </c>
      <c r="F556" s="43" t="s">
        <v>45</v>
      </c>
      <c r="G556" s="43" t="s">
        <v>180</v>
      </c>
    </row>
    <row r="557" spans="1:7" x14ac:dyDescent="0.25">
      <c r="A557" s="40">
        <v>552</v>
      </c>
      <c r="B557" s="40" t="s">
        <v>789</v>
      </c>
      <c r="C557" s="40" t="s">
        <v>168</v>
      </c>
      <c r="D557" s="40" t="s">
        <v>1945</v>
      </c>
      <c r="E557" s="40">
        <v>5</v>
      </c>
      <c r="F557" s="43" t="s">
        <v>45</v>
      </c>
      <c r="G557" s="43" t="s">
        <v>184</v>
      </c>
    </row>
    <row r="558" spans="1:7" x14ac:dyDescent="0.25">
      <c r="A558" s="40">
        <v>553</v>
      </c>
      <c r="B558" s="40" t="s">
        <v>790</v>
      </c>
      <c r="C558" s="40" t="s">
        <v>167</v>
      </c>
      <c r="D558" s="40" t="s">
        <v>186</v>
      </c>
      <c r="E558" s="40">
        <v>8</v>
      </c>
      <c r="F558" s="43" t="s">
        <v>45</v>
      </c>
      <c r="G558" s="43" t="s">
        <v>186</v>
      </c>
    </row>
    <row r="559" spans="1:7" x14ac:dyDescent="0.25">
      <c r="A559" s="40">
        <v>554</v>
      </c>
      <c r="B559" s="40" t="s">
        <v>791</v>
      </c>
      <c r="C559" s="40" t="s">
        <v>167</v>
      </c>
      <c r="D559" s="40" t="s">
        <v>1943</v>
      </c>
      <c r="E559" s="40">
        <v>2</v>
      </c>
      <c r="F559" s="43" t="s">
        <v>45</v>
      </c>
      <c r="G559" s="43" t="s">
        <v>183</v>
      </c>
    </row>
    <row r="560" spans="1:7" x14ac:dyDescent="0.25">
      <c r="A560" s="40">
        <v>555</v>
      </c>
      <c r="B560" s="40" t="s">
        <v>792</v>
      </c>
      <c r="C560" s="40" t="s">
        <v>167</v>
      </c>
      <c r="D560" s="40" t="s">
        <v>172</v>
      </c>
      <c r="E560" s="40">
        <v>3</v>
      </c>
      <c r="F560" s="43" t="s">
        <v>45</v>
      </c>
      <c r="G560" s="43" t="s">
        <v>172</v>
      </c>
    </row>
    <row r="561" spans="1:7" x14ac:dyDescent="0.25">
      <c r="A561" s="40">
        <v>556</v>
      </c>
      <c r="B561" s="40" t="s">
        <v>793</v>
      </c>
      <c r="C561" s="40" t="s">
        <v>167</v>
      </c>
      <c r="D561" s="40" t="s">
        <v>1946</v>
      </c>
      <c r="E561" s="40">
        <v>10</v>
      </c>
      <c r="F561" s="43" t="s">
        <v>45</v>
      </c>
      <c r="G561" s="43" t="s">
        <v>179</v>
      </c>
    </row>
    <row r="562" spans="1:7" x14ac:dyDescent="0.25">
      <c r="A562" s="40">
        <v>557</v>
      </c>
      <c r="B562" s="40" t="s">
        <v>794</v>
      </c>
      <c r="C562" s="40" t="s">
        <v>168</v>
      </c>
      <c r="D562" s="40" t="s">
        <v>198</v>
      </c>
      <c r="E562" s="40">
        <v>5</v>
      </c>
      <c r="F562" s="43" t="s">
        <v>51</v>
      </c>
    </row>
    <row r="563" spans="1:7" x14ac:dyDescent="0.25">
      <c r="A563" s="40">
        <v>558</v>
      </c>
      <c r="B563" s="40" t="s">
        <v>795</v>
      </c>
      <c r="C563" s="40" t="s">
        <v>167</v>
      </c>
      <c r="D563" s="40" t="s">
        <v>176</v>
      </c>
      <c r="E563" s="40">
        <v>3</v>
      </c>
      <c r="F563" s="43" t="s">
        <v>45</v>
      </c>
      <c r="G563" s="43" t="s">
        <v>176</v>
      </c>
    </row>
    <row r="564" spans="1:7" x14ac:dyDescent="0.25">
      <c r="A564" s="40">
        <v>559</v>
      </c>
      <c r="B564" s="40" t="s">
        <v>796</v>
      </c>
      <c r="C564" s="40" t="s">
        <v>167</v>
      </c>
      <c r="D564" s="40" t="s">
        <v>1942</v>
      </c>
      <c r="E564" s="40">
        <v>7</v>
      </c>
      <c r="F564" s="43" t="s">
        <v>45</v>
      </c>
      <c r="G564" s="43" t="s">
        <v>184</v>
      </c>
    </row>
    <row r="565" spans="1:7" x14ac:dyDescent="0.25">
      <c r="A565" s="40">
        <v>560</v>
      </c>
      <c r="B565" s="40" t="s">
        <v>797</v>
      </c>
      <c r="C565" s="40" t="s">
        <v>168</v>
      </c>
      <c r="D565" s="40" t="s">
        <v>1950</v>
      </c>
      <c r="E565" s="40">
        <v>4</v>
      </c>
      <c r="F565" s="43" t="s">
        <v>45</v>
      </c>
      <c r="G565" s="43" t="s">
        <v>183</v>
      </c>
    </row>
    <row r="566" spans="1:7" x14ac:dyDescent="0.25">
      <c r="A566" s="40">
        <v>561</v>
      </c>
      <c r="B566" s="40" t="s">
        <v>798</v>
      </c>
      <c r="C566" s="40" t="s">
        <v>167</v>
      </c>
      <c r="D566" s="40" t="s">
        <v>198</v>
      </c>
      <c r="E566" s="40">
        <v>5</v>
      </c>
      <c r="F566" s="43" t="s">
        <v>45</v>
      </c>
      <c r="G566" s="43" t="s">
        <v>188</v>
      </c>
    </row>
    <row r="567" spans="1:7" x14ac:dyDescent="0.25">
      <c r="A567" s="40">
        <v>562</v>
      </c>
      <c r="B567" s="40" t="s">
        <v>799</v>
      </c>
      <c r="C567" s="40" t="s">
        <v>168</v>
      </c>
      <c r="D567" s="40" t="s">
        <v>195</v>
      </c>
      <c r="E567" s="40">
        <v>4</v>
      </c>
      <c r="F567" s="43" t="s">
        <v>45</v>
      </c>
      <c r="G567" s="43" t="s">
        <v>2006</v>
      </c>
    </row>
    <row r="568" spans="1:7" x14ac:dyDescent="0.25">
      <c r="A568" s="40">
        <v>563</v>
      </c>
      <c r="B568" s="40" t="s">
        <v>800</v>
      </c>
      <c r="C568" s="40" t="s">
        <v>167</v>
      </c>
      <c r="D568" s="40" t="s">
        <v>1934</v>
      </c>
      <c r="E568" s="40">
        <v>8</v>
      </c>
      <c r="F568" s="43" t="s">
        <v>45</v>
      </c>
      <c r="G568" s="43" t="s">
        <v>182</v>
      </c>
    </row>
    <row r="569" spans="1:7" x14ac:dyDescent="0.25">
      <c r="A569" s="40">
        <v>564</v>
      </c>
      <c r="B569" s="40" t="s">
        <v>801</v>
      </c>
      <c r="C569" s="40" t="s">
        <v>167</v>
      </c>
      <c r="D569" s="40" t="s">
        <v>174</v>
      </c>
      <c r="E569" s="40">
        <v>2</v>
      </c>
      <c r="F569" s="43" t="s">
        <v>45</v>
      </c>
      <c r="G569" s="43" t="s">
        <v>185</v>
      </c>
    </row>
    <row r="570" spans="1:7" x14ac:dyDescent="0.25">
      <c r="A570" s="40">
        <v>565</v>
      </c>
      <c r="B570" s="40" t="s">
        <v>802</v>
      </c>
      <c r="C570" s="40" t="s">
        <v>168</v>
      </c>
      <c r="D570" s="40" t="s">
        <v>1975</v>
      </c>
      <c r="E570" s="40">
        <v>8</v>
      </c>
      <c r="F570" s="43" t="s">
        <v>45</v>
      </c>
      <c r="G570" s="43" t="s">
        <v>174</v>
      </c>
    </row>
    <row r="571" spans="1:7" x14ac:dyDescent="0.25">
      <c r="A571" s="40">
        <v>566</v>
      </c>
      <c r="B571" s="40" t="s">
        <v>803</v>
      </c>
      <c r="C571" s="40" t="s">
        <v>167</v>
      </c>
      <c r="D571" s="40" t="s">
        <v>1971</v>
      </c>
      <c r="E571" s="40">
        <v>8</v>
      </c>
      <c r="F571" s="43" t="s">
        <v>45</v>
      </c>
      <c r="G571" s="43" t="s">
        <v>174</v>
      </c>
    </row>
    <row r="572" spans="1:7" x14ac:dyDescent="0.25">
      <c r="A572" s="40">
        <v>567</v>
      </c>
      <c r="B572" s="40" t="s">
        <v>804</v>
      </c>
      <c r="C572" s="40" t="s">
        <v>168</v>
      </c>
      <c r="D572" s="40" t="s">
        <v>1954</v>
      </c>
      <c r="E572" s="40">
        <v>8</v>
      </c>
      <c r="F572" s="43" t="s">
        <v>45</v>
      </c>
      <c r="G572" s="43" t="s">
        <v>2006</v>
      </c>
    </row>
    <row r="573" spans="1:7" x14ac:dyDescent="0.25">
      <c r="A573" s="40">
        <v>568</v>
      </c>
      <c r="B573" s="40" t="s">
        <v>805</v>
      </c>
      <c r="C573" s="40" t="s">
        <v>167</v>
      </c>
      <c r="D573" s="40" t="s">
        <v>193</v>
      </c>
      <c r="E573" s="40">
        <v>2</v>
      </c>
      <c r="F573" s="43" t="s">
        <v>45</v>
      </c>
      <c r="G573" s="43" t="s">
        <v>169</v>
      </c>
    </row>
    <row r="574" spans="1:7" x14ac:dyDescent="0.25">
      <c r="A574" s="40">
        <v>569</v>
      </c>
      <c r="B574" s="40" t="s">
        <v>806</v>
      </c>
      <c r="C574" s="40" t="s">
        <v>168</v>
      </c>
      <c r="D574" s="40" t="s">
        <v>1936</v>
      </c>
      <c r="E574" s="40">
        <v>6</v>
      </c>
      <c r="F574" s="43" t="s">
        <v>45</v>
      </c>
      <c r="G574" s="43" t="s">
        <v>2006</v>
      </c>
    </row>
    <row r="575" spans="1:7" x14ac:dyDescent="0.25">
      <c r="A575" s="40">
        <v>570</v>
      </c>
      <c r="B575" s="40" t="s">
        <v>807</v>
      </c>
      <c r="C575" s="40" t="s">
        <v>167</v>
      </c>
      <c r="D575" s="40" t="s">
        <v>193</v>
      </c>
      <c r="E575" s="40">
        <v>1</v>
      </c>
      <c r="F575" s="43" t="s">
        <v>45</v>
      </c>
      <c r="G575" s="43" t="s">
        <v>1986</v>
      </c>
    </row>
    <row r="576" spans="1:7" x14ac:dyDescent="0.25">
      <c r="A576" s="40">
        <v>571</v>
      </c>
      <c r="B576" s="40" t="s">
        <v>808</v>
      </c>
      <c r="C576" s="40" t="s">
        <v>168</v>
      </c>
      <c r="D576" s="40" t="s">
        <v>1963</v>
      </c>
      <c r="E576" s="40">
        <v>9</v>
      </c>
      <c r="F576" s="43" t="s">
        <v>45</v>
      </c>
      <c r="G576" s="43" t="s">
        <v>191</v>
      </c>
    </row>
    <row r="577" spans="1:7" x14ac:dyDescent="0.25">
      <c r="A577" s="40">
        <v>572</v>
      </c>
      <c r="B577" s="40" t="s">
        <v>809</v>
      </c>
      <c r="C577" s="40" t="s">
        <v>168</v>
      </c>
      <c r="D577" s="40" t="s">
        <v>1971</v>
      </c>
      <c r="E577" s="40">
        <v>6</v>
      </c>
      <c r="F577" s="43" t="s">
        <v>45</v>
      </c>
      <c r="G577" s="43" t="s">
        <v>182</v>
      </c>
    </row>
    <row r="578" spans="1:7" x14ac:dyDescent="0.25">
      <c r="A578" s="40">
        <v>573</v>
      </c>
      <c r="B578" s="40" t="s">
        <v>810</v>
      </c>
      <c r="C578" s="40" t="s">
        <v>168</v>
      </c>
      <c r="D578" s="40" t="s">
        <v>186</v>
      </c>
      <c r="E578" s="40">
        <v>5</v>
      </c>
      <c r="F578" s="43" t="s">
        <v>45</v>
      </c>
      <c r="G578" s="43" t="s">
        <v>186</v>
      </c>
    </row>
    <row r="579" spans="1:7" x14ac:dyDescent="0.25">
      <c r="A579" s="40">
        <v>574</v>
      </c>
      <c r="B579" s="40" t="s">
        <v>811</v>
      </c>
      <c r="C579" s="40" t="s">
        <v>167</v>
      </c>
      <c r="D579" s="40" t="s">
        <v>193</v>
      </c>
      <c r="E579" s="40">
        <v>8</v>
      </c>
      <c r="F579" s="43" t="s">
        <v>45</v>
      </c>
      <c r="G579" s="43" t="s">
        <v>1986</v>
      </c>
    </row>
    <row r="580" spans="1:7" x14ac:dyDescent="0.25">
      <c r="A580" s="40">
        <v>575</v>
      </c>
      <c r="B580" s="40" t="s">
        <v>812</v>
      </c>
      <c r="C580" s="40" t="s">
        <v>168</v>
      </c>
      <c r="D580" s="40" t="s">
        <v>193</v>
      </c>
      <c r="E580" s="40">
        <v>5</v>
      </c>
      <c r="F580" s="43" t="s">
        <v>45</v>
      </c>
      <c r="G580" s="43" t="s">
        <v>1985</v>
      </c>
    </row>
    <row r="581" spans="1:7" x14ac:dyDescent="0.25">
      <c r="A581" s="40">
        <v>576</v>
      </c>
      <c r="B581" s="40" t="s">
        <v>813</v>
      </c>
      <c r="C581" s="40" t="s">
        <v>167</v>
      </c>
      <c r="D581" s="40" t="s">
        <v>198</v>
      </c>
      <c r="E581" s="40">
        <v>10</v>
      </c>
      <c r="F581" s="43" t="s">
        <v>45</v>
      </c>
      <c r="G581" s="43" t="s">
        <v>187</v>
      </c>
    </row>
    <row r="582" spans="1:7" x14ac:dyDescent="0.25">
      <c r="A582" s="40">
        <v>577</v>
      </c>
      <c r="B582" s="40" t="s">
        <v>814</v>
      </c>
      <c r="C582" s="40" t="s">
        <v>167</v>
      </c>
      <c r="D582" s="40" t="s">
        <v>1935</v>
      </c>
      <c r="E582" s="40">
        <v>4</v>
      </c>
      <c r="F582" s="43" t="s">
        <v>45</v>
      </c>
      <c r="G582" s="43" t="s">
        <v>174</v>
      </c>
    </row>
    <row r="583" spans="1:7" x14ac:dyDescent="0.25">
      <c r="A583" s="40">
        <v>578</v>
      </c>
      <c r="B583" s="40" t="s">
        <v>815</v>
      </c>
      <c r="C583" s="40" t="s">
        <v>168</v>
      </c>
      <c r="D583" s="40" t="s">
        <v>1945</v>
      </c>
      <c r="E583" s="40">
        <v>3</v>
      </c>
      <c r="F583" s="43" t="s">
        <v>45</v>
      </c>
      <c r="G583" s="43" t="s">
        <v>184</v>
      </c>
    </row>
    <row r="584" spans="1:7" x14ac:dyDescent="0.25">
      <c r="A584" s="40">
        <v>579</v>
      </c>
      <c r="B584" s="40" t="s">
        <v>816</v>
      </c>
      <c r="C584" s="40" t="s">
        <v>168</v>
      </c>
      <c r="D584" s="40" t="s">
        <v>172</v>
      </c>
      <c r="E584" s="40">
        <v>1</v>
      </c>
      <c r="F584" s="43" t="s">
        <v>45</v>
      </c>
      <c r="G584" s="43" t="s">
        <v>172</v>
      </c>
    </row>
    <row r="585" spans="1:7" x14ac:dyDescent="0.25">
      <c r="A585" s="40">
        <v>580</v>
      </c>
      <c r="B585" s="40" t="s">
        <v>817</v>
      </c>
      <c r="C585" s="40" t="s">
        <v>168</v>
      </c>
      <c r="D585" s="40" t="s">
        <v>186</v>
      </c>
      <c r="E585" s="40">
        <v>8</v>
      </c>
      <c r="F585" s="43" t="s">
        <v>45</v>
      </c>
      <c r="G585" s="43" t="s">
        <v>186</v>
      </c>
    </row>
    <row r="586" spans="1:7" x14ac:dyDescent="0.25">
      <c r="A586" s="40">
        <v>581</v>
      </c>
      <c r="B586" s="40" t="s">
        <v>818</v>
      </c>
      <c r="C586" s="40" t="s">
        <v>168</v>
      </c>
      <c r="D586" s="40" t="s">
        <v>192</v>
      </c>
      <c r="E586" s="40">
        <v>3</v>
      </c>
      <c r="F586" s="43" t="s">
        <v>45</v>
      </c>
      <c r="G586" s="43" t="s">
        <v>192</v>
      </c>
    </row>
    <row r="587" spans="1:7" x14ac:dyDescent="0.25">
      <c r="A587" s="40">
        <v>582</v>
      </c>
      <c r="B587" s="40" t="s">
        <v>819</v>
      </c>
      <c r="C587" s="40" t="s">
        <v>167</v>
      </c>
      <c r="D587" s="40" t="s">
        <v>180</v>
      </c>
      <c r="E587" s="40">
        <v>7</v>
      </c>
      <c r="F587" s="43" t="s">
        <v>45</v>
      </c>
      <c r="G587" s="43" t="s">
        <v>180</v>
      </c>
    </row>
    <row r="588" spans="1:7" x14ac:dyDescent="0.25">
      <c r="A588" s="40">
        <v>583</v>
      </c>
      <c r="B588" s="40" t="s">
        <v>820</v>
      </c>
      <c r="C588" s="40" t="s">
        <v>168</v>
      </c>
      <c r="D588" s="40" t="s">
        <v>178</v>
      </c>
      <c r="E588" s="40">
        <v>9</v>
      </c>
      <c r="F588" s="43" t="s">
        <v>45</v>
      </c>
      <c r="G588" s="43" t="s">
        <v>178</v>
      </c>
    </row>
    <row r="589" spans="1:7" x14ac:dyDescent="0.25">
      <c r="A589" s="40">
        <v>584</v>
      </c>
      <c r="B589" s="40" t="s">
        <v>821</v>
      </c>
      <c r="C589" s="40" t="s">
        <v>168</v>
      </c>
      <c r="D589" s="40" t="s">
        <v>1966</v>
      </c>
      <c r="E589" s="40">
        <v>1</v>
      </c>
      <c r="F589" s="43" t="s">
        <v>45</v>
      </c>
      <c r="G589" s="43" t="s">
        <v>177</v>
      </c>
    </row>
    <row r="590" spans="1:7" x14ac:dyDescent="0.25">
      <c r="A590" s="40">
        <v>585</v>
      </c>
      <c r="B590" s="40" t="s">
        <v>822</v>
      </c>
      <c r="C590" s="40" t="s">
        <v>168</v>
      </c>
      <c r="D590" s="40" t="s">
        <v>1943</v>
      </c>
      <c r="E590" s="40">
        <v>4</v>
      </c>
      <c r="F590" s="43" t="s">
        <v>45</v>
      </c>
      <c r="G590" s="43" t="s">
        <v>183</v>
      </c>
    </row>
    <row r="591" spans="1:7" x14ac:dyDescent="0.25">
      <c r="A591" s="40">
        <v>586</v>
      </c>
      <c r="B591" s="40" t="s">
        <v>823</v>
      </c>
      <c r="C591" s="40" t="s">
        <v>167</v>
      </c>
      <c r="D591" s="40" t="s">
        <v>1968</v>
      </c>
      <c r="E591" s="40">
        <v>5</v>
      </c>
      <c r="F591" s="43" t="s">
        <v>45</v>
      </c>
      <c r="G591" s="43" t="s">
        <v>2006</v>
      </c>
    </row>
    <row r="592" spans="1:7" x14ac:dyDescent="0.25">
      <c r="A592" s="40">
        <v>587</v>
      </c>
      <c r="B592" s="40" t="s">
        <v>824</v>
      </c>
      <c r="C592" s="40" t="s">
        <v>167</v>
      </c>
      <c r="D592" s="40" t="s">
        <v>1950</v>
      </c>
      <c r="E592" s="40">
        <v>8</v>
      </c>
      <c r="F592" s="43" t="s">
        <v>45</v>
      </c>
      <c r="G592" s="43" t="s">
        <v>183</v>
      </c>
    </row>
    <row r="593" spans="1:7" x14ac:dyDescent="0.25">
      <c r="A593" s="40">
        <v>588</v>
      </c>
      <c r="B593" s="40" t="s">
        <v>825</v>
      </c>
      <c r="C593" s="40" t="s">
        <v>167</v>
      </c>
      <c r="D593" s="40" t="s">
        <v>1953</v>
      </c>
      <c r="E593" s="40">
        <v>5</v>
      </c>
      <c r="F593" s="43" t="s">
        <v>45</v>
      </c>
      <c r="G593" s="43" t="s">
        <v>180</v>
      </c>
    </row>
    <row r="594" spans="1:7" x14ac:dyDescent="0.25">
      <c r="A594" s="40">
        <v>589</v>
      </c>
      <c r="B594" s="40" t="s">
        <v>826</v>
      </c>
      <c r="C594" s="40" t="s">
        <v>167</v>
      </c>
      <c r="D594" s="40" t="s">
        <v>1966</v>
      </c>
      <c r="E594" s="40">
        <v>3</v>
      </c>
      <c r="F594" s="43" t="s">
        <v>45</v>
      </c>
      <c r="G594" s="43" t="s">
        <v>177</v>
      </c>
    </row>
    <row r="595" spans="1:7" x14ac:dyDescent="0.25">
      <c r="A595" s="40">
        <v>590</v>
      </c>
      <c r="B595" s="40" t="s">
        <v>827</v>
      </c>
      <c r="C595" s="40" t="s">
        <v>168</v>
      </c>
      <c r="D595" s="40" t="s">
        <v>1955</v>
      </c>
      <c r="E595" s="40">
        <v>2</v>
      </c>
      <c r="F595" s="43" t="s">
        <v>1978</v>
      </c>
    </row>
    <row r="596" spans="1:7" x14ac:dyDescent="0.25">
      <c r="A596" s="40">
        <v>591</v>
      </c>
      <c r="B596" s="40" t="s">
        <v>828</v>
      </c>
      <c r="C596" s="40" t="s">
        <v>168</v>
      </c>
      <c r="D596" s="40" t="s">
        <v>2005</v>
      </c>
      <c r="E596" s="40">
        <v>4</v>
      </c>
      <c r="F596" s="43" t="s">
        <v>45</v>
      </c>
      <c r="G596" s="43" t="s">
        <v>1984</v>
      </c>
    </row>
    <row r="597" spans="1:7" x14ac:dyDescent="0.25">
      <c r="A597" s="40">
        <v>592</v>
      </c>
      <c r="B597" s="40" t="s">
        <v>829</v>
      </c>
      <c r="C597" s="40" t="s">
        <v>167</v>
      </c>
      <c r="D597" s="40" t="s">
        <v>1943</v>
      </c>
      <c r="E597" s="40">
        <v>7</v>
      </c>
      <c r="F597" s="43" t="s">
        <v>45</v>
      </c>
      <c r="G597" s="43" t="s">
        <v>183</v>
      </c>
    </row>
    <row r="598" spans="1:7" x14ac:dyDescent="0.25">
      <c r="A598" s="40">
        <v>593</v>
      </c>
      <c r="B598" s="40" t="s">
        <v>830</v>
      </c>
      <c r="C598" s="40" t="s">
        <v>168</v>
      </c>
      <c r="D598" s="40" t="s">
        <v>1966</v>
      </c>
      <c r="E598" s="40">
        <v>3</v>
      </c>
      <c r="F598" s="43" t="s">
        <v>45</v>
      </c>
      <c r="G598" s="43" t="s">
        <v>177</v>
      </c>
    </row>
    <row r="599" spans="1:7" x14ac:dyDescent="0.25">
      <c r="A599" s="40">
        <v>594</v>
      </c>
      <c r="B599" s="40" t="s">
        <v>831</v>
      </c>
      <c r="C599" s="40" t="s">
        <v>167</v>
      </c>
      <c r="D599" s="40" t="s">
        <v>2005</v>
      </c>
      <c r="E599" s="40">
        <v>5</v>
      </c>
      <c r="F599" s="43" t="s">
        <v>45</v>
      </c>
      <c r="G599" s="43" t="s">
        <v>2006</v>
      </c>
    </row>
    <row r="600" spans="1:7" x14ac:dyDescent="0.25">
      <c r="A600" s="40">
        <v>595</v>
      </c>
      <c r="B600" s="40" t="s">
        <v>832</v>
      </c>
      <c r="C600" s="40" t="s">
        <v>167</v>
      </c>
      <c r="D600" s="40" t="s">
        <v>1963</v>
      </c>
      <c r="E600" s="40">
        <v>1</v>
      </c>
      <c r="F600" s="43" t="s">
        <v>45</v>
      </c>
      <c r="G600" s="43" t="s">
        <v>190</v>
      </c>
    </row>
    <row r="601" spans="1:7" x14ac:dyDescent="0.25">
      <c r="A601" s="40">
        <v>596</v>
      </c>
      <c r="B601" s="40" t="s">
        <v>833</v>
      </c>
      <c r="C601" s="40" t="s">
        <v>167</v>
      </c>
      <c r="D601" s="40" t="s">
        <v>186</v>
      </c>
      <c r="E601" s="40">
        <v>5</v>
      </c>
      <c r="F601" s="43" t="s">
        <v>45</v>
      </c>
      <c r="G601" s="43" t="s">
        <v>186</v>
      </c>
    </row>
    <row r="602" spans="1:7" x14ac:dyDescent="0.25">
      <c r="A602" s="40">
        <v>597</v>
      </c>
      <c r="B602" s="40" t="s">
        <v>834</v>
      </c>
      <c r="C602" s="40" t="s">
        <v>167</v>
      </c>
      <c r="D602" s="40" t="s">
        <v>186</v>
      </c>
      <c r="E602" s="40">
        <v>8</v>
      </c>
      <c r="F602" s="43" t="s">
        <v>45</v>
      </c>
      <c r="G602" s="43" t="s">
        <v>186</v>
      </c>
    </row>
    <row r="603" spans="1:7" x14ac:dyDescent="0.25">
      <c r="A603" s="40">
        <v>598</v>
      </c>
      <c r="B603" s="40" t="s">
        <v>835</v>
      </c>
      <c r="C603" s="40" t="s">
        <v>167</v>
      </c>
      <c r="D603" s="40" t="s">
        <v>198</v>
      </c>
      <c r="E603" s="40">
        <v>5</v>
      </c>
      <c r="F603" s="43" t="s">
        <v>45</v>
      </c>
      <c r="G603" s="43" t="s">
        <v>187</v>
      </c>
    </row>
    <row r="604" spans="1:7" x14ac:dyDescent="0.25">
      <c r="A604" s="40">
        <v>599</v>
      </c>
      <c r="B604" s="40" t="s">
        <v>836</v>
      </c>
      <c r="C604" s="40" t="s">
        <v>168</v>
      </c>
      <c r="D604" s="40" t="s">
        <v>1963</v>
      </c>
      <c r="E604" s="40">
        <v>3</v>
      </c>
      <c r="F604" s="43" t="s">
        <v>45</v>
      </c>
      <c r="G604" s="43" t="s">
        <v>191</v>
      </c>
    </row>
    <row r="605" spans="1:7" x14ac:dyDescent="0.25">
      <c r="A605" s="40">
        <v>600</v>
      </c>
      <c r="B605" s="40" t="s">
        <v>837</v>
      </c>
      <c r="C605" s="40" t="s">
        <v>167</v>
      </c>
      <c r="D605" s="40" t="s">
        <v>1966</v>
      </c>
      <c r="E605" s="40">
        <v>2</v>
      </c>
      <c r="F605" s="43" t="s">
        <v>45</v>
      </c>
      <c r="G605" s="43" t="s">
        <v>177</v>
      </c>
    </row>
    <row r="606" spans="1:7" x14ac:dyDescent="0.25">
      <c r="A606" s="40">
        <v>601</v>
      </c>
      <c r="B606" s="40" t="s">
        <v>838</v>
      </c>
      <c r="C606" s="40" t="s">
        <v>167</v>
      </c>
      <c r="D606" s="40" t="s">
        <v>1959</v>
      </c>
      <c r="E606" s="40">
        <v>7</v>
      </c>
      <c r="F606" s="43" t="s">
        <v>45</v>
      </c>
      <c r="G606" s="43" t="s">
        <v>190</v>
      </c>
    </row>
    <row r="607" spans="1:7" x14ac:dyDescent="0.25">
      <c r="A607" s="40">
        <v>602</v>
      </c>
      <c r="B607" s="40" t="s">
        <v>839</v>
      </c>
      <c r="C607" s="40" t="s">
        <v>167</v>
      </c>
      <c r="D607" s="40" t="s">
        <v>193</v>
      </c>
      <c r="E607" s="40">
        <v>4</v>
      </c>
      <c r="F607" s="43" t="s">
        <v>45</v>
      </c>
      <c r="G607" s="43" t="s">
        <v>169</v>
      </c>
    </row>
    <row r="608" spans="1:7" x14ac:dyDescent="0.25">
      <c r="A608" s="40">
        <v>603</v>
      </c>
      <c r="B608" s="40" t="s">
        <v>840</v>
      </c>
      <c r="C608" s="40" t="s">
        <v>168</v>
      </c>
      <c r="D608" s="40" t="s">
        <v>1955</v>
      </c>
      <c r="E608" s="40">
        <v>2</v>
      </c>
      <c r="F608" s="43" t="s">
        <v>1978</v>
      </c>
    </row>
    <row r="609" spans="1:7" x14ac:dyDescent="0.25">
      <c r="A609" s="40">
        <v>604</v>
      </c>
      <c r="B609" s="40" t="s">
        <v>841</v>
      </c>
      <c r="C609" s="40" t="s">
        <v>167</v>
      </c>
      <c r="D609" s="40" t="s">
        <v>1938</v>
      </c>
      <c r="E609" s="40">
        <v>3</v>
      </c>
      <c r="F609" s="43" t="s">
        <v>45</v>
      </c>
      <c r="G609" s="43" t="s">
        <v>190</v>
      </c>
    </row>
    <row r="610" spans="1:7" x14ac:dyDescent="0.25">
      <c r="A610" s="40">
        <v>605</v>
      </c>
      <c r="B610" s="40" t="s">
        <v>842</v>
      </c>
      <c r="C610" s="40" t="s">
        <v>168</v>
      </c>
      <c r="D610" s="40" t="s">
        <v>178</v>
      </c>
      <c r="E610" s="40">
        <v>3</v>
      </c>
      <c r="F610" s="43" t="s">
        <v>45</v>
      </c>
      <c r="G610" s="43" t="s">
        <v>178</v>
      </c>
    </row>
    <row r="611" spans="1:7" x14ac:dyDescent="0.25">
      <c r="A611" s="40">
        <v>606</v>
      </c>
      <c r="B611" s="40" t="s">
        <v>843</v>
      </c>
      <c r="C611" s="40" t="s">
        <v>167</v>
      </c>
      <c r="D611" s="40" t="s">
        <v>195</v>
      </c>
      <c r="E611" s="40">
        <v>4</v>
      </c>
      <c r="F611" s="43" t="s">
        <v>45</v>
      </c>
      <c r="G611" s="43" t="s">
        <v>2006</v>
      </c>
    </row>
    <row r="612" spans="1:7" x14ac:dyDescent="0.25">
      <c r="A612" s="40">
        <v>607</v>
      </c>
      <c r="B612" s="40" t="s">
        <v>844</v>
      </c>
      <c r="C612" s="40" t="s">
        <v>167</v>
      </c>
      <c r="D612" s="40" t="s">
        <v>195</v>
      </c>
      <c r="E612" s="40">
        <v>4</v>
      </c>
      <c r="F612" s="43" t="s">
        <v>45</v>
      </c>
      <c r="G612" s="43" t="s">
        <v>2006</v>
      </c>
    </row>
    <row r="613" spans="1:7" x14ac:dyDescent="0.25">
      <c r="A613" s="40">
        <v>608</v>
      </c>
      <c r="B613" s="40" t="s">
        <v>845</v>
      </c>
      <c r="C613" s="40" t="s">
        <v>168</v>
      </c>
      <c r="D613" s="40" t="s">
        <v>1949</v>
      </c>
      <c r="E613" s="40">
        <v>3</v>
      </c>
      <c r="F613" s="43" t="s">
        <v>45</v>
      </c>
      <c r="G613" s="43" t="s">
        <v>191</v>
      </c>
    </row>
    <row r="614" spans="1:7" x14ac:dyDescent="0.25">
      <c r="A614" s="40">
        <v>609</v>
      </c>
      <c r="B614" s="40" t="s">
        <v>846</v>
      </c>
      <c r="C614" s="40" t="s">
        <v>168</v>
      </c>
      <c r="D614" s="40" t="s">
        <v>198</v>
      </c>
      <c r="E614" s="40">
        <v>2</v>
      </c>
      <c r="F614" s="43" t="s">
        <v>45</v>
      </c>
      <c r="G614" s="43" t="s">
        <v>187</v>
      </c>
    </row>
    <row r="615" spans="1:7" x14ac:dyDescent="0.25">
      <c r="A615" s="40">
        <v>610</v>
      </c>
      <c r="B615" s="40" t="s">
        <v>847</v>
      </c>
      <c r="C615" s="40" t="s">
        <v>168</v>
      </c>
      <c r="D615" s="40" t="s">
        <v>186</v>
      </c>
      <c r="E615" s="40">
        <v>3</v>
      </c>
      <c r="F615" s="43" t="s">
        <v>45</v>
      </c>
      <c r="G615" s="43" t="s">
        <v>186</v>
      </c>
    </row>
    <row r="616" spans="1:7" x14ac:dyDescent="0.25">
      <c r="A616" s="40">
        <v>611</v>
      </c>
      <c r="B616" s="40" t="s">
        <v>848</v>
      </c>
      <c r="C616" s="40" t="s">
        <v>167</v>
      </c>
      <c r="D616" s="40" t="s">
        <v>1952</v>
      </c>
      <c r="E616" s="40">
        <v>1</v>
      </c>
      <c r="F616" s="43" t="s">
        <v>45</v>
      </c>
      <c r="G616" s="43" t="s">
        <v>184</v>
      </c>
    </row>
    <row r="617" spans="1:7" x14ac:dyDescent="0.25">
      <c r="A617" s="40">
        <v>612</v>
      </c>
      <c r="B617" s="40" t="s">
        <v>849</v>
      </c>
      <c r="C617" s="40" t="s">
        <v>167</v>
      </c>
      <c r="D617" s="40" t="s">
        <v>193</v>
      </c>
      <c r="E617" s="40">
        <v>2</v>
      </c>
      <c r="F617" s="43" t="s">
        <v>51</v>
      </c>
    </row>
    <row r="618" spans="1:7" x14ac:dyDescent="0.25">
      <c r="A618" s="40">
        <v>613</v>
      </c>
      <c r="B618" s="40" t="s">
        <v>850</v>
      </c>
      <c r="C618" s="40" t="s">
        <v>168</v>
      </c>
      <c r="D618" s="40" t="s">
        <v>1961</v>
      </c>
      <c r="E618" s="40">
        <v>1</v>
      </c>
      <c r="F618" s="43" t="s">
        <v>45</v>
      </c>
      <c r="G618" s="43" t="s">
        <v>175</v>
      </c>
    </row>
    <row r="619" spans="1:7" x14ac:dyDescent="0.25">
      <c r="A619" s="40">
        <v>614</v>
      </c>
      <c r="B619" s="40" t="s">
        <v>851</v>
      </c>
      <c r="C619" s="40" t="s">
        <v>168</v>
      </c>
      <c r="D619" s="40" t="s">
        <v>198</v>
      </c>
      <c r="E619" s="40">
        <v>7</v>
      </c>
      <c r="F619" s="43" t="s">
        <v>51</v>
      </c>
    </row>
    <row r="620" spans="1:7" x14ac:dyDescent="0.25">
      <c r="A620" s="40">
        <v>615</v>
      </c>
      <c r="B620" s="40" t="s">
        <v>852</v>
      </c>
      <c r="C620" s="40" t="s">
        <v>168</v>
      </c>
      <c r="D620" s="40" t="s">
        <v>198</v>
      </c>
      <c r="E620" s="40">
        <v>7</v>
      </c>
      <c r="F620" s="43" t="s">
        <v>45</v>
      </c>
      <c r="G620" s="43" t="s">
        <v>188</v>
      </c>
    </row>
    <row r="621" spans="1:7" x14ac:dyDescent="0.25">
      <c r="A621" s="40">
        <v>616</v>
      </c>
      <c r="B621" s="40" t="s">
        <v>853</v>
      </c>
      <c r="C621" s="40" t="s">
        <v>167</v>
      </c>
      <c r="D621" s="40" t="s">
        <v>172</v>
      </c>
      <c r="E621" s="40">
        <v>3</v>
      </c>
      <c r="F621" s="43" t="s">
        <v>45</v>
      </c>
      <c r="G621" s="43" t="s">
        <v>172</v>
      </c>
    </row>
    <row r="622" spans="1:7" x14ac:dyDescent="0.25">
      <c r="A622" s="40">
        <v>617</v>
      </c>
      <c r="B622" s="40" t="s">
        <v>854</v>
      </c>
      <c r="C622" s="40" t="s">
        <v>168</v>
      </c>
      <c r="D622" s="40" t="s">
        <v>198</v>
      </c>
      <c r="E622" s="40">
        <v>1</v>
      </c>
      <c r="F622" s="43" t="s">
        <v>51</v>
      </c>
    </row>
    <row r="623" spans="1:7" x14ac:dyDescent="0.25">
      <c r="A623" s="40">
        <v>618</v>
      </c>
      <c r="B623" s="40" t="s">
        <v>855</v>
      </c>
      <c r="C623" s="40" t="s">
        <v>167</v>
      </c>
      <c r="D623" s="40" t="s">
        <v>1960</v>
      </c>
      <c r="E623" s="40">
        <v>8</v>
      </c>
      <c r="F623" s="43" t="s">
        <v>45</v>
      </c>
      <c r="G623" s="43" t="s">
        <v>183</v>
      </c>
    </row>
    <row r="624" spans="1:7" x14ac:dyDescent="0.25">
      <c r="A624" s="40">
        <v>619</v>
      </c>
      <c r="B624" s="40" t="s">
        <v>856</v>
      </c>
      <c r="C624" s="40" t="s">
        <v>167</v>
      </c>
      <c r="D624" s="40" t="s">
        <v>1945</v>
      </c>
      <c r="E624" s="40">
        <v>7</v>
      </c>
      <c r="F624" s="43" t="s">
        <v>45</v>
      </c>
      <c r="G624" s="43" t="s">
        <v>184</v>
      </c>
    </row>
    <row r="625" spans="1:7" x14ac:dyDescent="0.25">
      <c r="A625" s="40">
        <v>620</v>
      </c>
      <c r="B625" s="40" t="s">
        <v>857</v>
      </c>
      <c r="C625" s="40" t="s">
        <v>167</v>
      </c>
      <c r="D625" s="40" t="s">
        <v>193</v>
      </c>
      <c r="E625" s="40">
        <v>4</v>
      </c>
      <c r="F625" s="43" t="s">
        <v>45</v>
      </c>
      <c r="G625" s="43" t="s">
        <v>1985</v>
      </c>
    </row>
    <row r="626" spans="1:7" x14ac:dyDescent="0.25">
      <c r="A626" s="40">
        <v>621</v>
      </c>
      <c r="B626" s="40" t="s">
        <v>858</v>
      </c>
      <c r="C626" s="40" t="s">
        <v>167</v>
      </c>
      <c r="D626" s="40" t="s">
        <v>193</v>
      </c>
      <c r="E626" s="40">
        <v>1</v>
      </c>
      <c r="F626" s="43" t="s">
        <v>45</v>
      </c>
      <c r="G626" s="43" t="s">
        <v>169</v>
      </c>
    </row>
    <row r="627" spans="1:7" x14ac:dyDescent="0.25">
      <c r="A627" s="40">
        <v>622</v>
      </c>
      <c r="B627" s="40" t="s">
        <v>859</v>
      </c>
      <c r="C627" s="40" t="s">
        <v>167</v>
      </c>
      <c r="D627" s="40" t="s">
        <v>1934</v>
      </c>
      <c r="E627" s="40">
        <v>2</v>
      </c>
      <c r="F627" s="43" t="s">
        <v>45</v>
      </c>
      <c r="G627" s="43" t="s">
        <v>182</v>
      </c>
    </row>
    <row r="628" spans="1:7" x14ac:dyDescent="0.25">
      <c r="A628" s="40">
        <v>623</v>
      </c>
      <c r="B628" s="40" t="s">
        <v>860</v>
      </c>
      <c r="C628" s="40" t="s">
        <v>167</v>
      </c>
      <c r="D628" s="40" t="s">
        <v>1939</v>
      </c>
      <c r="E628" s="40">
        <v>2</v>
      </c>
      <c r="F628" s="43" t="s">
        <v>45</v>
      </c>
      <c r="G628" s="43" t="s">
        <v>172</v>
      </c>
    </row>
    <row r="629" spans="1:7" x14ac:dyDescent="0.25">
      <c r="A629" s="40">
        <v>624</v>
      </c>
      <c r="B629" s="40" t="s">
        <v>861</v>
      </c>
      <c r="C629" s="40" t="s">
        <v>167</v>
      </c>
      <c r="D629" s="40" t="s">
        <v>1934</v>
      </c>
      <c r="E629" s="40">
        <v>2</v>
      </c>
      <c r="F629" s="43" t="s">
        <v>45</v>
      </c>
      <c r="G629" s="43" t="s">
        <v>182</v>
      </c>
    </row>
    <row r="630" spans="1:7" x14ac:dyDescent="0.25">
      <c r="A630" s="40">
        <v>625</v>
      </c>
      <c r="B630" s="40" t="s">
        <v>862</v>
      </c>
      <c r="C630" s="40" t="s">
        <v>167</v>
      </c>
      <c r="D630" s="40" t="s">
        <v>198</v>
      </c>
      <c r="E630" s="40">
        <v>5</v>
      </c>
      <c r="F630" s="43" t="s">
        <v>45</v>
      </c>
      <c r="G630" s="43" t="s">
        <v>187</v>
      </c>
    </row>
    <row r="631" spans="1:7" x14ac:dyDescent="0.25">
      <c r="A631" s="40">
        <v>626</v>
      </c>
      <c r="B631" s="40" t="s">
        <v>863</v>
      </c>
      <c r="C631" s="40" t="s">
        <v>167</v>
      </c>
      <c r="D631" s="40" t="s">
        <v>181</v>
      </c>
      <c r="E631" s="40">
        <v>7</v>
      </c>
      <c r="F631" s="43" t="s">
        <v>45</v>
      </c>
      <c r="G631" s="43" t="s">
        <v>181</v>
      </c>
    </row>
    <row r="632" spans="1:7" x14ac:dyDescent="0.25">
      <c r="A632" s="40">
        <v>627</v>
      </c>
      <c r="B632" s="40" t="s">
        <v>864</v>
      </c>
      <c r="C632" s="40" t="s">
        <v>168</v>
      </c>
      <c r="D632" s="40" t="s">
        <v>193</v>
      </c>
      <c r="E632" s="40">
        <v>5</v>
      </c>
      <c r="F632" s="43" t="s">
        <v>51</v>
      </c>
    </row>
    <row r="633" spans="1:7" x14ac:dyDescent="0.25">
      <c r="A633" s="40">
        <v>628</v>
      </c>
      <c r="B633" s="40" t="s">
        <v>865</v>
      </c>
      <c r="C633" s="40" t="s">
        <v>167</v>
      </c>
      <c r="D633" s="40" t="s">
        <v>1934</v>
      </c>
      <c r="E633" s="40">
        <v>7</v>
      </c>
      <c r="F633" s="43" t="s">
        <v>45</v>
      </c>
      <c r="G633" s="43" t="s">
        <v>182</v>
      </c>
    </row>
    <row r="634" spans="1:7" x14ac:dyDescent="0.25">
      <c r="A634" s="40">
        <v>629</v>
      </c>
      <c r="B634" s="40" t="s">
        <v>866</v>
      </c>
      <c r="C634" s="40" t="s">
        <v>168</v>
      </c>
      <c r="D634" s="40" t="s">
        <v>1954</v>
      </c>
      <c r="E634" s="40">
        <v>4</v>
      </c>
      <c r="F634" s="43" t="s">
        <v>45</v>
      </c>
      <c r="G634" s="43" t="s">
        <v>2006</v>
      </c>
    </row>
    <row r="635" spans="1:7" x14ac:dyDescent="0.25">
      <c r="A635" s="40">
        <v>630</v>
      </c>
      <c r="B635" s="40" t="s">
        <v>867</v>
      </c>
      <c r="C635" s="40" t="s">
        <v>168</v>
      </c>
      <c r="D635" s="40" t="s">
        <v>1954</v>
      </c>
      <c r="E635" s="40">
        <v>2</v>
      </c>
      <c r="F635" s="43" t="s">
        <v>45</v>
      </c>
      <c r="G635" s="43" t="s">
        <v>2006</v>
      </c>
    </row>
    <row r="636" spans="1:7" x14ac:dyDescent="0.25">
      <c r="A636" s="40">
        <v>631</v>
      </c>
      <c r="B636" s="40" t="s">
        <v>868</v>
      </c>
      <c r="C636" s="40" t="s">
        <v>168</v>
      </c>
      <c r="D636" s="40" t="s">
        <v>1941</v>
      </c>
      <c r="E636" s="40">
        <v>4</v>
      </c>
      <c r="F636" s="43" t="s">
        <v>45</v>
      </c>
      <c r="G636" s="43" t="s">
        <v>1984</v>
      </c>
    </row>
    <row r="637" spans="1:7" x14ac:dyDescent="0.25">
      <c r="A637" s="40">
        <v>632</v>
      </c>
      <c r="B637" s="40" t="s">
        <v>869</v>
      </c>
      <c r="C637" s="40" t="s">
        <v>167</v>
      </c>
      <c r="D637" s="40" t="s">
        <v>1954</v>
      </c>
      <c r="E637" s="40">
        <v>7</v>
      </c>
      <c r="F637" s="43" t="s">
        <v>45</v>
      </c>
      <c r="G637" s="43" t="s">
        <v>1984</v>
      </c>
    </row>
    <row r="638" spans="1:7" x14ac:dyDescent="0.25">
      <c r="A638" s="40">
        <v>633</v>
      </c>
      <c r="B638" s="40" t="s">
        <v>870</v>
      </c>
      <c r="C638" s="40" t="s">
        <v>167</v>
      </c>
      <c r="D638" s="40" t="s">
        <v>172</v>
      </c>
      <c r="E638" s="40">
        <v>2</v>
      </c>
      <c r="F638" s="43" t="s">
        <v>45</v>
      </c>
      <c r="G638" s="43" t="s">
        <v>172</v>
      </c>
    </row>
    <row r="639" spans="1:7" x14ac:dyDescent="0.25">
      <c r="A639" s="40">
        <v>634</v>
      </c>
      <c r="B639" s="40" t="s">
        <v>871</v>
      </c>
      <c r="C639" s="40" t="s">
        <v>167</v>
      </c>
      <c r="D639" s="40" t="s">
        <v>1963</v>
      </c>
      <c r="E639" s="40">
        <v>2</v>
      </c>
      <c r="F639" s="43" t="s">
        <v>45</v>
      </c>
      <c r="G639" s="43" t="s">
        <v>191</v>
      </c>
    </row>
    <row r="640" spans="1:7" x14ac:dyDescent="0.25">
      <c r="A640" s="40">
        <v>635</v>
      </c>
      <c r="B640" s="40" t="s">
        <v>872</v>
      </c>
      <c r="C640" s="40" t="s">
        <v>167</v>
      </c>
      <c r="D640" s="40" t="s">
        <v>172</v>
      </c>
      <c r="E640" s="40">
        <v>2</v>
      </c>
      <c r="F640" s="43" t="s">
        <v>45</v>
      </c>
      <c r="G640" s="43" t="s">
        <v>172</v>
      </c>
    </row>
    <row r="641" spans="1:7" x14ac:dyDescent="0.25">
      <c r="A641" s="40">
        <v>636</v>
      </c>
      <c r="B641" s="40" t="s">
        <v>873</v>
      </c>
      <c r="C641" s="40" t="s">
        <v>167</v>
      </c>
      <c r="D641" s="40" t="s">
        <v>1949</v>
      </c>
      <c r="E641" s="40">
        <v>10</v>
      </c>
      <c r="F641" s="43" t="s">
        <v>45</v>
      </c>
      <c r="G641" s="43" t="s">
        <v>191</v>
      </c>
    </row>
    <row r="642" spans="1:7" x14ac:dyDescent="0.25">
      <c r="A642" s="40">
        <v>637</v>
      </c>
      <c r="B642" s="40" t="s">
        <v>874</v>
      </c>
      <c r="C642" s="40" t="s">
        <v>168</v>
      </c>
      <c r="D642" s="40" t="s">
        <v>1949</v>
      </c>
      <c r="E642" s="40">
        <v>5</v>
      </c>
      <c r="F642" s="43" t="s">
        <v>45</v>
      </c>
      <c r="G642" s="43" t="s">
        <v>191</v>
      </c>
    </row>
    <row r="643" spans="1:7" x14ac:dyDescent="0.25">
      <c r="A643" s="40">
        <v>638</v>
      </c>
      <c r="B643" s="40" t="s">
        <v>875</v>
      </c>
      <c r="C643" s="40" t="s">
        <v>167</v>
      </c>
      <c r="D643" s="40" t="s">
        <v>180</v>
      </c>
      <c r="E643" s="40">
        <v>1</v>
      </c>
      <c r="F643" s="43" t="s">
        <v>45</v>
      </c>
      <c r="G643" s="43" t="s">
        <v>180</v>
      </c>
    </row>
    <row r="644" spans="1:7" x14ac:dyDescent="0.25">
      <c r="A644" s="40">
        <v>639</v>
      </c>
      <c r="B644" s="40" t="s">
        <v>876</v>
      </c>
      <c r="C644" s="40" t="s">
        <v>167</v>
      </c>
      <c r="D644" s="40" t="s">
        <v>185</v>
      </c>
      <c r="E644" s="40">
        <v>6</v>
      </c>
      <c r="F644" s="43" t="s">
        <v>45</v>
      </c>
      <c r="G644" s="43" t="s">
        <v>185</v>
      </c>
    </row>
    <row r="645" spans="1:7" x14ac:dyDescent="0.25">
      <c r="A645" s="40">
        <v>640</v>
      </c>
      <c r="B645" s="40" t="s">
        <v>877</v>
      </c>
      <c r="C645" s="40" t="s">
        <v>168</v>
      </c>
      <c r="D645" s="40" t="s">
        <v>1949</v>
      </c>
      <c r="E645" s="40">
        <v>11</v>
      </c>
      <c r="F645" s="43" t="s">
        <v>45</v>
      </c>
      <c r="G645" s="43" t="s">
        <v>191</v>
      </c>
    </row>
    <row r="646" spans="1:7" x14ac:dyDescent="0.25">
      <c r="A646" s="40">
        <v>641</v>
      </c>
      <c r="B646" s="40" t="s">
        <v>878</v>
      </c>
      <c r="C646" s="40" t="s">
        <v>168</v>
      </c>
      <c r="D646" s="40" t="s">
        <v>1949</v>
      </c>
      <c r="E646" s="40">
        <v>1</v>
      </c>
      <c r="F646" s="43" t="s">
        <v>45</v>
      </c>
      <c r="G646" s="43" t="s">
        <v>191</v>
      </c>
    </row>
    <row r="647" spans="1:7" x14ac:dyDescent="0.25">
      <c r="A647" s="40">
        <v>642</v>
      </c>
      <c r="B647" s="40" t="s">
        <v>879</v>
      </c>
      <c r="C647" s="40" t="s">
        <v>168</v>
      </c>
      <c r="D647" s="40" t="s">
        <v>198</v>
      </c>
      <c r="E647" s="40">
        <v>3</v>
      </c>
      <c r="F647" s="43" t="s">
        <v>45</v>
      </c>
      <c r="G647" s="43" t="s">
        <v>188</v>
      </c>
    </row>
    <row r="648" spans="1:7" x14ac:dyDescent="0.25">
      <c r="A648" s="40">
        <v>643</v>
      </c>
      <c r="B648" s="40" t="s">
        <v>880</v>
      </c>
      <c r="C648" s="40" t="s">
        <v>168</v>
      </c>
      <c r="D648" s="40" t="s">
        <v>193</v>
      </c>
      <c r="E648" s="40">
        <v>3</v>
      </c>
      <c r="F648" s="43" t="s">
        <v>45</v>
      </c>
      <c r="G648" s="43" t="s">
        <v>192</v>
      </c>
    </row>
    <row r="649" spans="1:7" x14ac:dyDescent="0.25">
      <c r="A649" s="40">
        <v>644</v>
      </c>
      <c r="B649" s="40" t="s">
        <v>881</v>
      </c>
      <c r="C649" s="40" t="s">
        <v>168</v>
      </c>
      <c r="D649" s="40" t="s">
        <v>1951</v>
      </c>
      <c r="E649" s="40">
        <v>4</v>
      </c>
      <c r="F649" s="43" t="s">
        <v>45</v>
      </c>
      <c r="G649" s="43" t="s">
        <v>182</v>
      </c>
    </row>
    <row r="650" spans="1:7" x14ac:dyDescent="0.25">
      <c r="A650" s="40">
        <v>645</v>
      </c>
      <c r="B650" s="40" t="s">
        <v>882</v>
      </c>
      <c r="C650" s="40" t="s">
        <v>168</v>
      </c>
      <c r="D650" s="40" t="s">
        <v>1944</v>
      </c>
      <c r="E650" s="40">
        <v>9</v>
      </c>
      <c r="F650" s="43" t="s">
        <v>45</v>
      </c>
      <c r="G650" s="43" t="s">
        <v>183</v>
      </c>
    </row>
    <row r="651" spans="1:7" x14ac:dyDescent="0.25">
      <c r="A651" s="40">
        <v>646</v>
      </c>
      <c r="B651" s="40" t="s">
        <v>883</v>
      </c>
      <c r="C651" s="40" t="s">
        <v>168</v>
      </c>
      <c r="D651" s="40" t="s">
        <v>1942</v>
      </c>
      <c r="E651" s="40">
        <v>7</v>
      </c>
      <c r="F651" s="43" t="s">
        <v>45</v>
      </c>
      <c r="G651" s="43" t="s">
        <v>184</v>
      </c>
    </row>
    <row r="652" spans="1:7" x14ac:dyDescent="0.25">
      <c r="A652" s="40">
        <v>647</v>
      </c>
      <c r="B652" s="40" t="s">
        <v>884</v>
      </c>
      <c r="C652" s="40" t="s">
        <v>168</v>
      </c>
      <c r="D652" s="40" t="s">
        <v>198</v>
      </c>
      <c r="E652" s="40">
        <v>1</v>
      </c>
      <c r="F652" s="43" t="s">
        <v>45</v>
      </c>
      <c r="G652" s="43" t="s">
        <v>188</v>
      </c>
    </row>
    <row r="653" spans="1:7" x14ac:dyDescent="0.25">
      <c r="A653" s="40">
        <v>648</v>
      </c>
      <c r="B653" s="40" t="s">
        <v>885</v>
      </c>
      <c r="C653" s="40" t="s">
        <v>167</v>
      </c>
      <c r="D653" s="40" t="s">
        <v>185</v>
      </c>
      <c r="E653" s="40">
        <v>5</v>
      </c>
      <c r="F653" s="43" t="s">
        <v>45</v>
      </c>
      <c r="G653" s="43" t="s">
        <v>185</v>
      </c>
    </row>
    <row r="654" spans="1:7" x14ac:dyDescent="0.25">
      <c r="A654" s="40">
        <v>649</v>
      </c>
      <c r="B654" s="40" t="s">
        <v>886</v>
      </c>
      <c r="C654" s="40" t="s">
        <v>168</v>
      </c>
      <c r="D654" s="40" t="s">
        <v>198</v>
      </c>
      <c r="E654" s="40">
        <v>9</v>
      </c>
      <c r="F654" s="43" t="s">
        <v>51</v>
      </c>
    </row>
    <row r="655" spans="1:7" x14ac:dyDescent="0.25">
      <c r="A655" s="40">
        <v>650</v>
      </c>
      <c r="B655" s="40" t="s">
        <v>887</v>
      </c>
      <c r="C655" s="40" t="s">
        <v>167</v>
      </c>
      <c r="D655" s="40" t="s">
        <v>1944</v>
      </c>
      <c r="E655" s="40">
        <v>8</v>
      </c>
      <c r="F655" s="43" t="s">
        <v>45</v>
      </c>
      <c r="G655" s="43" t="s">
        <v>183</v>
      </c>
    </row>
    <row r="656" spans="1:7" x14ac:dyDescent="0.25">
      <c r="A656" s="40">
        <v>651</v>
      </c>
      <c r="B656" s="40" t="s">
        <v>888</v>
      </c>
      <c r="C656" s="40" t="s">
        <v>168</v>
      </c>
      <c r="D656" s="40" t="s">
        <v>180</v>
      </c>
      <c r="E656" s="40">
        <v>8</v>
      </c>
      <c r="F656" s="43" t="s">
        <v>45</v>
      </c>
      <c r="G656" s="43" t="s">
        <v>180</v>
      </c>
    </row>
    <row r="657" spans="1:7" x14ac:dyDescent="0.25">
      <c r="A657" s="40">
        <v>652</v>
      </c>
      <c r="B657" s="40" t="s">
        <v>889</v>
      </c>
      <c r="C657" s="40" t="s">
        <v>168</v>
      </c>
      <c r="D657" s="40" t="s">
        <v>1946</v>
      </c>
      <c r="E657" s="40">
        <v>5</v>
      </c>
      <c r="F657" s="43" t="s">
        <v>45</v>
      </c>
      <c r="G657" s="43" t="s">
        <v>179</v>
      </c>
    </row>
    <row r="658" spans="1:7" x14ac:dyDescent="0.25">
      <c r="A658" s="40">
        <v>653</v>
      </c>
      <c r="B658" s="40" t="s">
        <v>890</v>
      </c>
      <c r="C658" s="40" t="s">
        <v>167</v>
      </c>
      <c r="D658" s="40" t="s">
        <v>172</v>
      </c>
      <c r="E658" s="40">
        <v>2</v>
      </c>
      <c r="F658" s="43" t="s">
        <v>45</v>
      </c>
      <c r="G658" s="43" t="s">
        <v>172</v>
      </c>
    </row>
    <row r="659" spans="1:7" x14ac:dyDescent="0.25">
      <c r="A659" s="40">
        <v>654</v>
      </c>
      <c r="B659" s="40" t="s">
        <v>891</v>
      </c>
      <c r="C659" s="40" t="s">
        <v>167</v>
      </c>
      <c r="D659" s="40" t="s">
        <v>2007</v>
      </c>
      <c r="E659" s="40">
        <v>3</v>
      </c>
      <c r="F659" s="43" t="s">
        <v>45</v>
      </c>
      <c r="G659" s="43" t="s">
        <v>179</v>
      </c>
    </row>
    <row r="660" spans="1:7" x14ac:dyDescent="0.25">
      <c r="A660" s="40">
        <v>655</v>
      </c>
      <c r="B660" s="40" t="s">
        <v>892</v>
      </c>
      <c r="C660" s="40" t="s">
        <v>168</v>
      </c>
      <c r="D660" s="40" t="s">
        <v>1939</v>
      </c>
      <c r="E660" s="40">
        <v>2</v>
      </c>
      <c r="F660" s="43" t="s">
        <v>45</v>
      </c>
      <c r="G660" s="43" t="s">
        <v>172</v>
      </c>
    </row>
    <row r="661" spans="1:7" x14ac:dyDescent="0.25">
      <c r="A661" s="40">
        <v>656</v>
      </c>
      <c r="B661" s="40" t="s">
        <v>893</v>
      </c>
      <c r="C661" s="40" t="s">
        <v>167</v>
      </c>
      <c r="D661" s="40" t="s">
        <v>1946</v>
      </c>
      <c r="E661" s="40">
        <v>5</v>
      </c>
      <c r="F661" s="43" t="s">
        <v>45</v>
      </c>
      <c r="G661" s="43" t="s">
        <v>179</v>
      </c>
    </row>
    <row r="662" spans="1:7" x14ac:dyDescent="0.25">
      <c r="A662" s="40">
        <v>657</v>
      </c>
      <c r="B662" s="40" t="s">
        <v>894</v>
      </c>
      <c r="C662" s="40" t="s">
        <v>167</v>
      </c>
      <c r="D662" s="40" t="s">
        <v>198</v>
      </c>
      <c r="E662" s="40">
        <v>6</v>
      </c>
      <c r="F662" s="43" t="s">
        <v>45</v>
      </c>
      <c r="G662" s="43" t="s">
        <v>187</v>
      </c>
    </row>
    <row r="663" spans="1:7" x14ac:dyDescent="0.25">
      <c r="A663" s="40">
        <v>658</v>
      </c>
      <c r="B663" s="40" t="s">
        <v>895</v>
      </c>
      <c r="C663" s="40" t="s">
        <v>168</v>
      </c>
      <c r="D663" s="40" t="s">
        <v>1946</v>
      </c>
      <c r="E663" s="40">
        <v>7</v>
      </c>
      <c r="F663" s="43" t="s">
        <v>45</v>
      </c>
      <c r="G663" s="43" t="s">
        <v>179</v>
      </c>
    </row>
    <row r="664" spans="1:7" x14ac:dyDescent="0.25">
      <c r="A664" s="40">
        <v>659</v>
      </c>
      <c r="B664" s="40" t="s">
        <v>896</v>
      </c>
      <c r="C664" s="40" t="s">
        <v>168</v>
      </c>
      <c r="D664" s="40" t="s">
        <v>180</v>
      </c>
      <c r="E664" s="40">
        <v>5</v>
      </c>
      <c r="F664" s="43" t="s">
        <v>45</v>
      </c>
      <c r="G664" s="43" t="s">
        <v>180</v>
      </c>
    </row>
    <row r="665" spans="1:7" x14ac:dyDescent="0.25">
      <c r="A665" s="40">
        <v>660</v>
      </c>
      <c r="B665" s="40" t="s">
        <v>897</v>
      </c>
      <c r="C665" s="40" t="s">
        <v>168</v>
      </c>
      <c r="D665" s="40" t="s">
        <v>172</v>
      </c>
      <c r="E665" s="40">
        <v>1</v>
      </c>
      <c r="F665" s="43" t="s">
        <v>45</v>
      </c>
      <c r="G665" s="43" t="s">
        <v>172</v>
      </c>
    </row>
    <row r="666" spans="1:7" x14ac:dyDescent="0.25">
      <c r="A666" s="40">
        <v>661</v>
      </c>
      <c r="B666" s="40" t="s">
        <v>898</v>
      </c>
      <c r="C666" s="40" t="s">
        <v>167</v>
      </c>
      <c r="D666" s="40" t="s">
        <v>172</v>
      </c>
      <c r="E666" s="40">
        <v>10</v>
      </c>
      <c r="F666" s="43" t="s">
        <v>45</v>
      </c>
      <c r="G666" s="43" t="s">
        <v>172</v>
      </c>
    </row>
    <row r="667" spans="1:7" x14ac:dyDescent="0.25">
      <c r="A667" s="40">
        <v>662</v>
      </c>
      <c r="B667" s="40" t="s">
        <v>899</v>
      </c>
      <c r="C667" s="40" t="s">
        <v>168</v>
      </c>
      <c r="D667" s="40" t="s">
        <v>193</v>
      </c>
      <c r="E667" s="40">
        <v>2</v>
      </c>
      <c r="F667" s="43" t="s">
        <v>45</v>
      </c>
      <c r="G667" s="43" t="s">
        <v>1985</v>
      </c>
    </row>
    <row r="668" spans="1:7" x14ac:dyDescent="0.25">
      <c r="A668" s="40">
        <v>663</v>
      </c>
      <c r="B668" s="40" t="s">
        <v>900</v>
      </c>
      <c r="C668" s="40" t="s">
        <v>168</v>
      </c>
      <c r="D668" s="40" t="s">
        <v>1971</v>
      </c>
      <c r="E668" s="40">
        <v>10</v>
      </c>
      <c r="F668" s="43" t="s">
        <v>45</v>
      </c>
      <c r="G668" s="43" t="s">
        <v>182</v>
      </c>
    </row>
    <row r="669" spans="1:7" x14ac:dyDescent="0.25">
      <c r="A669" s="40">
        <v>664</v>
      </c>
      <c r="B669" s="40" t="s">
        <v>901</v>
      </c>
      <c r="C669" s="40" t="s">
        <v>167</v>
      </c>
      <c r="D669" s="40" t="s">
        <v>172</v>
      </c>
      <c r="E669" s="40">
        <v>6</v>
      </c>
      <c r="F669" s="43" t="s">
        <v>45</v>
      </c>
      <c r="G669" s="43" t="s">
        <v>172</v>
      </c>
    </row>
    <row r="670" spans="1:7" x14ac:dyDescent="0.25">
      <c r="A670" s="40">
        <v>665</v>
      </c>
      <c r="B670" s="40" t="s">
        <v>902</v>
      </c>
      <c r="C670" s="40" t="s">
        <v>167</v>
      </c>
      <c r="D670" s="40" t="s">
        <v>175</v>
      </c>
      <c r="E670" s="40">
        <v>2</v>
      </c>
      <c r="F670" s="43" t="s">
        <v>45</v>
      </c>
      <c r="G670" s="43" t="s">
        <v>175</v>
      </c>
    </row>
    <row r="671" spans="1:7" x14ac:dyDescent="0.25">
      <c r="A671" s="40">
        <v>666</v>
      </c>
      <c r="B671" s="40" t="s">
        <v>903</v>
      </c>
      <c r="C671" s="40" t="s">
        <v>167</v>
      </c>
      <c r="D671" s="40" t="s">
        <v>1973</v>
      </c>
      <c r="F671" s="43" t="s">
        <v>45</v>
      </c>
      <c r="G671" s="43" t="s">
        <v>176</v>
      </c>
    </row>
    <row r="672" spans="1:7" x14ac:dyDescent="0.25">
      <c r="A672" s="40">
        <v>667</v>
      </c>
      <c r="B672" s="40" t="s">
        <v>904</v>
      </c>
      <c r="C672" s="40" t="s">
        <v>167</v>
      </c>
      <c r="D672" s="40" t="s">
        <v>1934</v>
      </c>
      <c r="E672" s="40">
        <v>3</v>
      </c>
      <c r="F672" s="43" t="s">
        <v>45</v>
      </c>
      <c r="G672" s="43" t="s">
        <v>182</v>
      </c>
    </row>
    <row r="673" spans="1:7" x14ac:dyDescent="0.25">
      <c r="A673" s="40">
        <v>668</v>
      </c>
      <c r="B673" s="40" t="s">
        <v>905</v>
      </c>
      <c r="C673" s="40" t="s">
        <v>167</v>
      </c>
      <c r="D673" s="40" t="s">
        <v>185</v>
      </c>
      <c r="E673" s="40">
        <v>1</v>
      </c>
      <c r="F673" s="43" t="s">
        <v>45</v>
      </c>
      <c r="G673" s="43" t="s">
        <v>185</v>
      </c>
    </row>
    <row r="674" spans="1:7" x14ac:dyDescent="0.25">
      <c r="A674" s="40">
        <v>669</v>
      </c>
      <c r="B674" s="40" t="s">
        <v>906</v>
      </c>
      <c r="C674" s="40" t="s">
        <v>168</v>
      </c>
      <c r="D674" s="40" t="s">
        <v>1961</v>
      </c>
      <c r="E674" s="40">
        <v>7</v>
      </c>
      <c r="F674" s="43" t="s">
        <v>45</v>
      </c>
      <c r="G674" s="43" t="s">
        <v>175</v>
      </c>
    </row>
    <row r="675" spans="1:7" x14ac:dyDescent="0.25">
      <c r="A675" s="40">
        <v>670</v>
      </c>
      <c r="B675" s="40" t="s">
        <v>907</v>
      </c>
      <c r="C675" s="40" t="s">
        <v>168</v>
      </c>
      <c r="D675" s="40" t="s">
        <v>1940</v>
      </c>
      <c r="E675" s="40">
        <v>4</v>
      </c>
      <c r="F675" s="43" t="s">
        <v>45</v>
      </c>
      <c r="G675" s="43" t="s">
        <v>175</v>
      </c>
    </row>
    <row r="676" spans="1:7" x14ac:dyDescent="0.25">
      <c r="A676" s="40">
        <v>671</v>
      </c>
      <c r="B676" s="40" t="s">
        <v>908</v>
      </c>
      <c r="C676" s="40" t="s">
        <v>167</v>
      </c>
      <c r="D676" s="40" t="s">
        <v>1934</v>
      </c>
      <c r="E676" s="40">
        <v>9</v>
      </c>
      <c r="F676" s="43" t="s">
        <v>45</v>
      </c>
      <c r="G676" s="43" t="s">
        <v>182</v>
      </c>
    </row>
    <row r="677" spans="1:7" x14ac:dyDescent="0.25">
      <c r="A677" s="40">
        <v>672</v>
      </c>
      <c r="B677" s="40" t="s">
        <v>909</v>
      </c>
      <c r="C677" s="40" t="s">
        <v>167</v>
      </c>
      <c r="D677" s="40" t="s">
        <v>2007</v>
      </c>
      <c r="E677" s="40">
        <v>7</v>
      </c>
      <c r="F677" s="43" t="s">
        <v>45</v>
      </c>
      <c r="G677" s="43" t="s">
        <v>179</v>
      </c>
    </row>
    <row r="678" spans="1:7" x14ac:dyDescent="0.25">
      <c r="A678" s="40">
        <v>673</v>
      </c>
      <c r="B678" s="40" t="s">
        <v>910</v>
      </c>
      <c r="C678" s="40" t="s">
        <v>167</v>
      </c>
      <c r="D678" s="40" t="s">
        <v>1951</v>
      </c>
      <c r="E678" s="40">
        <v>3</v>
      </c>
      <c r="F678" s="43" t="s">
        <v>45</v>
      </c>
      <c r="G678" s="43" t="s">
        <v>182</v>
      </c>
    </row>
    <row r="679" spans="1:7" x14ac:dyDescent="0.25">
      <c r="A679" s="40">
        <v>674</v>
      </c>
      <c r="B679" s="40" t="s">
        <v>911</v>
      </c>
      <c r="C679" s="40" t="s">
        <v>167</v>
      </c>
      <c r="D679" s="40" t="s">
        <v>1951</v>
      </c>
      <c r="E679" s="40">
        <v>5</v>
      </c>
      <c r="F679" s="43" t="s">
        <v>45</v>
      </c>
      <c r="G679" s="43" t="s">
        <v>182</v>
      </c>
    </row>
    <row r="680" spans="1:7" x14ac:dyDescent="0.25">
      <c r="A680" s="40">
        <v>675</v>
      </c>
      <c r="B680" s="40" t="s">
        <v>912</v>
      </c>
      <c r="C680" s="40" t="s">
        <v>168</v>
      </c>
      <c r="D680" s="40" t="s">
        <v>2007</v>
      </c>
      <c r="E680" s="40">
        <v>8</v>
      </c>
      <c r="F680" s="43" t="s">
        <v>45</v>
      </c>
      <c r="G680" s="43" t="s">
        <v>179</v>
      </c>
    </row>
    <row r="681" spans="1:7" x14ac:dyDescent="0.25">
      <c r="A681" s="40">
        <v>676</v>
      </c>
      <c r="B681" s="40" t="s">
        <v>913</v>
      </c>
      <c r="C681" s="40" t="s">
        <v>167</v>
      </c>
      <c r="D681" s="40" t="s">
        <v>1961</v>
      </c>
      <c r="E681" s="40">
        <v>7</v>
      </c>
      <c r="F681" s="43" t="s">
        <v>45</v>
      </c>
      <c r="G681" s="43" t="s">
        <v>175</v>
      </c>
    </row>
    <row r="682" spans="1:7" x14ac:dyDescent="0.25">
      <c r="A682" s="40">
        <v>677</v>
      </c>
      <c r="B682" s="40" t="s">
        <v>914</v>
      </c>
      <c r="C682" s="40" t="s">
        <v>167</v>
      </c>
      <c r="D682" s="40" t="s">
        <v>1940</v>
      </c>
      <c r="E682" s="40">
        <v>4</v>
      </c>
      <c r="F682" s="43" t="s">
        <v>45</v>
      </c>
      <c r="G682" s="43" t="s">
        <v>1984</v>
      </c>
    </row>
    <row r="683" spans="1:7" x14ac:dyDescent="0.25">
      <c r="A683" s="40">
        <v>678</v>
      </c>
      <c r="B683" s="40" t="s">
        <v>915</v>
      </c>
      <c r="C683" s="40" t="s">
        <v>167</v>
      </c>
      <c r="D683" s="40" t="s">
        <v>1973</v>
      </c>
      <c r="E683" s="40">
        <v>1</v>
      </c>
      <c r="F683" s="43" t="s">
        <v>45</v>
      </c>
      <c r="G683" s="43" t="s">
        <v>175</v>
      </c>
    </row>
    <row r="684" spans="1:7" x14ac:dyDescent="0.25">
      <c r="A684" s="40">
        <v>679</v>
      </c>
      <c r="B684" s="40" t="s">
        <v>916</v>
      </c>
      <c r="C684" s="40" t="s">
        <v>167</v>
      </c>
      <c r="D684" s="40" t="s">
        <v>1961</v>
      </c>
      <c r="E684" s="40">
        <v>4</v>
      </c>
      <c r="F684" s="43" t="s">
        <v>45</v>
      </c>
      <c r="G684" s="43" t="s">
        <v>175</v>
      </c>
    </row>
    <row r="685" spans="1:7" x14ac:dyDescent="0.25">
      <c r="A685" s="40">
        <v>680</v>
      </c>
      <c r="B685" s="40" t="s">
        <v>917</v>
      </c>
      <c r="C685" s="40" t="s">
        <v>167</v>
      </c>
      <c r="D685" s="40" t="s">
        <v>1973</v>
      </c>
      <c r="E685" s="40">
        <v>7</v>
      </c>
      <c r="F685" s="43" t="s">
        <v>45</v>
      </c>
      <c r="G685" s="43" t="s">
        <v>176</v>
      </c>
    </row>
    <row r="686" spans="1:7" x14ac:dyDescent="0.25">
      <c r="A686" s="40">
        <v>681</v>
      </c>
      <c r="B686" s="40" t="s">
        <v>918</v>
      </c>
      <c r="C686" s="40" t="s">
        <v>168</v>
      </c>
      <c r="D686" s="40" t="s">
        <v>175</v>
      </c>
      <c r="E686" s="40">
        <v>6</v>
      </c>
      <c r="F686" s="43" t="s">
        <v>45</v>
      </c>
      <c r="G686" s="43" t="s">
        <v>175</v>
      </c>
    </row>
    <row r="687" spans="1:7" x14ac:dyDescent="0.25">
      <c r="A687" s="40">
        <v>682</v>
      </c>
      <c r="B687" s="40" t="s">
        <v>919</v>
      </c>
      <c r="C687" s="40" t="s">
        <v>168</v>
      </c>
      <c r="D687" s="40" t="s">
        <v>185</v>
      </c>
      <c r="E687" s="40">
        <v>4</v>
      </c>
      <c r="F687" s="43" t="s">
        <v>45</v>
      </c>
      <c r="G687" s="43" t="s">
        <v>185</v>
      </c>
    </row>
    <row r="688" spans="1:7" x14ac:dyDescent="0.25">
      <c r="A688" s="40">
        <v>683</v>
      </c>
      <c r="B688" s="40" t="s">
        <v>920</v>
      </c>
      <c r="C688" s="40" t="s">
        <v>167</v>
      </c>
      <c r="D688" s="40" t="s">
        <v>186</v>
      </c>
      <c r="E688" s="40">
        <v>2</v>
      </c>
      <c r="F688" s="43" t="s">
        <v>45</v>
      </c>
      <c r="G688" s="43" t="s">
        <v>186</v>
      </c>
    </row>
    <row r="689" spans="1:7" x14ac:dyDescent="0.25">
      <c r="A689" s="40">
        <v>684</v>
      </c>
      <c r="B689" s="40" t="s">
        <v>921</v>
      </c>
      <c r="C689" s="40" t="s">
        <v>167</v>
      </c>
      <c r="D689" s="40" t="s">
        <v>175</v>
      </c>
      <c r="E689" s="40">
        <v>3</v>
      </c>
      <c r="F689" s="43" t="s">
        <v>45</v>
      </c>
      <c r="G689" s="43" t="s">
        <v>175</v>
      </c>
    </row>
    <row r="690" spans="1:7" x14ac:dyDescent="0.25">
      <c r="A690" s="40">
        <v>685</v>
      </c>
      <c r="B690" s="40" t="s">
        <v>922</v>
      </c>
      <c r="C690" s="40" t="s">
        <v>167</v>
      </c>
      <c r="D690" s="40" t="s">
        <v>1961</v>
      </c>
      <c r="E690" s="40">
        <v>5</v>
      </c>
      <c r="F690" s="43" t="s">
        <v>45</v>
      </c>
      <c r="G690" s="43" t="s">
        <v>175</v>
      </c>
    </row>
    <row r="691" spans="1:7" x14ac:dyDescent="0.25">
      <c r="A691" s="40">
        <v>686</v>
      </c>
      <c r="B691" s="40" t="s">
        <v>923</v>
      </c>
      <c r="C691" s="40" t="s">
        <v>168</v>
      </c>
      <c r="D691" s="40" t="s">
        <v>175</v>
      </c>
      <c r="E691" s="40">
        <v>2</v>
      </c>
      <c r="F691" s="43" t="s">
        <v>45</v>
      </c>
      <c r="G691" s="43" t="s">
        <v>175</v>
      </c>
    </row>
    <row r="692" spans="1:7" x14ac:dyDescent="0.25">
      <c r="A692" s="40">
        <v>687</v>
      </c>
      <c r="B692" s="40" t="s">
        <v>923</v>
      </c>
      <c r="C692" s="40" t="s">
        <v>168</v>
      </c>
      <c r="D692" s="40" t="s">
        <v>174</v>
      </c>
      <c r="E692" s="40">
        <v>11</v>
      </c>
      <c r="F692" s="43" t="s">
        <v>45</v>
      </c>
      <c r="G692" s="43" t="s">
        <v>174</v>
      </c>
    </row>
    <row r="693" spans="1:7" x14ac:dyDescent="0.25">
      <c r="A693" s="40">
        <v>688</v>
      </c>
      <c r="B693" s="40" t="s">
        <v>924</v>
      </c>
      <c r="C693" s="40" t="s">
        <v>167</v>
      </c>
      <c r="D693" s="40" t="s">
        <v>1946</v>
      </c>
      <c r="E693" s="40">
        <v>3</v>
      </c>
      <c r="F693" s="43" t="s">
        <v>45</v>
      </c>
      <c r="G693" s="43" t="s">
        <v>179</v>
      </c>
    </row>
    <row r="694" spans="1:7" x14ac:dyDescent="0.25">
      <c r="A694" s="40">
        <v>689</v>
      </c>
      <c r="B694" s="40" t="s">
        <v>925</v>
      </c>
      <c r="C694" s="40" t="s">
        <v>168</v>
      </c>
      <c r="D694" s="40" t="s">
        <v>1958</v>
      </c>
      <c r="E694" s="40">
        <v>3</v>
      </c>
      <c r="F694" s="43" t="s">
        <v>45</v>
      </c>
      <c r="G694" s="43" t="s">
        <v>190</v>
      </c>
    </row>
    <row r="695" spans="1:7" x14ac:dyDescent="0.25">
      <c r="A695" s="40">
        <v>690</v>
      </c>
      <c r="B695" s="40" t="s">
        <v>926</v>
      </c>
      <c r="C695" s="40" t="s">
        <v>167</v>
      </c>
      <c r="D695" s="40" t="s">
        <v>1946</v>
      </c>
      <c r="E695" s="40">
        <v>4</v>
      </c>
      <c r="F695" s="43" t="s">
        <v>45</v>
      </c>
      <c r="G695" s="43" t="s">
        <v>179</v>
      </c>
    </row>
    <row r="696" spans="1:7" x14ac:dyDescent="0.25">
      <c r="A696" s="40">
        <v>691</v>
      </c>
      <c r="B696" s="40" t="s">
        <v>927</v>
      </c>
      <c r="C696" s="40" t="s">
        <v>167</v>
      </c>
      <c r="D696" s="40" t="s">
        <v>1961</v>
      </c>
      <c r="E696" s="40">
        <v>4</v>
      </c>
      <c r="F696" s="43" t="s">
        <v>45</v>
      </c>
      <c r="G696" s="43" t="s">
        <v>175</v>
      </c>
    </row>
    <row r="697" spans="1:7" x14ac:dyDescent="0.25">
      <c r="A697" s="40">
        <v>692</v>
      </c>
      <c r="B697" s="40" t="s">
        <v>928</v>
      </c>
      <c r="C697" s="40" t="s">
        <v>167</v>
      </c>
      <c r="D697" s="40" t="s">
        <v>1951</v>
      </c>
      <c r="E697" s="40">
        <v>7</v>
      </c>
      <c r="F697" s="43" t="s">
        <v>45</v>
      </c>
      <c r="G697" s="43" t="s">
        <v>182</v>
      </c>
    </row>
    <row r="698" spans="1:7" x14ac:dyDescent="0.25">
      <c r="A698" s="40">
        <v>693</v>
      </c>
      <c r="B698" s="40" t="s">
        <v>929</v>
      </c>
      <c r="C698" s="40" t="s">
        <v>167</v>
      </c>
      <c r="D698" s="40" t="s">
        <v>1961</v>
      </c>
      <c r="E698" s="40">
        <v>3</v>
      </c>
      <c r="F698" s="43" t="s">
        <v>45</v>
      </c>
      <c r="G698" s="43" t="s">
        <v>175</v>
      </c>
    </row>
    <row r="699" spans="1:7" x14ac:dyDescent="0.25">
      <c r="A699" s="40">
        <v>694</v>
      </c>
      <c r="B699" s="40" t="s">
        <v>930</v>
      </c>
      <c r="C699" s="40" t="s">
        <v>167</v>
      </c>
      <c r="D699" s="40" t="s">
        <v>1961</v>
      </c>
      <c r="E699" s="40">
        <v>5</v>
      </c>
      <c r="F699" s="43" t="s">
        <v>45</v>
      </c>
      <c r="G699" s="43" t="s">
        <v>175</v>
      </c>
    </row>
    <row r="700" spans="1:7" x14ac:dyDescent="0.25">
      <c r="A700" s="40">
        <v>695</v>
      </c>
      <c r="B700" s="40" t="s">
        <v>931</v>
      </c>
      <c r="C700" s="40" t="s">
        <v>167</v>
      </c>
      <c r="D700" s="40" t="s">
        <v>175</v>
      </c>
      <c r="E700" s="40">
        <v>6</v>
      </c>
      <c r="F700" s="43" t="s">
        <v>45</v>
      </c>
      <c r="G700" s="43" t="s">
        <v>175</v>
      </c>
    </row>
    <row r="701" spans="1:7" x14ac:dyDescent="0.25">
      <c r="A701" s="40">
        <v>696</v>
      </c>
      <c r="B701" s="40" t="s">
        <v>932</v>
      </c>
      <c r="C701" s="40" t="s">
        <v>167</v>
      </c>
      <c r="D701" s="40" t="s">
        <v>185</v>
      </c>
      <c r="E701" s="40">
        <v>2</v>
      </c>
      <c r="F701" s="43" t="s">
        <v>45</v>
      </c>
      <c r="G701" s="43" t="s">
        <v>185</v>
      </c>
    </row>
    <row r="702" spans="1:7" x14ac:dyDescent="0.25">
      <c r="A702" s="40">
        <v>697</v>
      </c>
      <c r="B702" s="40" t="s">
        <v>933</v>
      </c>
      <c r="C702" s="40" t="s">
        <v>167</v>
      </c>
      <c r="D702" s="40" t="s">
        <v>185</v>
      </c>
      <c r="E702" s="40">
        <v>4</v>
      </c>
      <c r="F702" s="43" t="s">
        <v>45</v>
      </c>
      <c r="G702" s="43" t="s">
        <v>185</v>
      </c>
    </row>
    <row r="703" spans="1:7" x14ac:dyDescent="0.25">
      <c r="A703" s="40">
        <v>698</v>
      </c>
      <c r="B703" s="40" t="s">
        <v>934</v>
      </c>
      <c r="C703" s="40" t="s">
        <v>168</v>
      </c>
      <c r="D703" s="40" t="s">
        <v>1958</v>
      </c>
      <c r="E703" s="40">
        <v>3</v>
      </c>
      <c r="F703" s="43" t="s">
        <v>45</v>
      </c>
      <c r="G703" s="43" t="s">
        <v>190</v>
      </c>
    </row>
    <row r="704" spans="1:7" x14ac:dyDescent="0.25">
      <c r="A704" s="40">
        <v>699</v>
      </c>
      <c r="B704" s="40" t="s">
        <v>935</v>
      </c>
      <c r="C704" s="40" t="s">
        <v>168</v>
      </c>
      <c r="D704" s="40" t="s">
        <v>174</v>
      </c>
      <c r="E704" s="40">
        <v>3</v>
      </c>
      <c r="F704" s="43" t="s">
        <v>45</v>
      </c>
      <c r="G704" s="43" t="s">
        <v>185</v>
      </c>
    </row>
    <row r="705" spans="1:7" x14ac:dyDescent="0.25">
      <c r="A705" s="40">
        <v>700</v>
      </c>
      <c r="B705" s="40" t="s">
        <v>936</v>
      </c>
      <c r="C705" s="40" t="s">
        <v>167</v>
      </c>
      <c r="D705" s="40" t="s">
        <v>175</v>
      </c>
      <c r="E705" s="40">
        <v>4</v>
      </c>
      <c r="F705" s="43" t="s">
        <v>45</v>
      </c>
      <c r="G705" s="43" t="s">
        <v>175</v>
      </c>
    </row>
    <row r="706" spans="1:7" x14ac:dyDescent="0.25">
      <c r="A706" s="40">
        <v>701</v>
      </c>
      <c r="B706" s="40" t="s">
        <v>937</v>
      </c>
      <c r="C706" s="40" t="s">
        <v>167</v>
      </c>
      <c r="D706" s="40" t="s">
        <v>1971</v>
      </c>
      <c r="E706" s="40">
        <v>4</v>
      </c>
      <c r="F706" s="43" t="s">
        <v>45</v>
      </c>
      <c r="G706" s="43" t="s">
        <v>2006</v>
      </c>
    </row>
    <row r="707" spans="1:7" x14ac:dyDescent="0.25">
      <c r="A707" s="40">
        <v>702</v>
      </c>
      <c r="B707" s="40" t="s">
        <v>938</v>
      </c>
      <c r="C707" s="40" t="s">
        <v>167</v>
      </c>
      <c r="D707" s="40" t="s">
        <v>1934</v>
      </c>
      <c r="E707" s="40">
        <v>4</v>
      </c>
      <c r="F707" s="43" t="s">
        <v>45</v>
      </c>
      <c r="G707" s="43" t="s">
        <v>185</v>
      </c>
    </row>
    <row r="708" spans="1:7" x14ac:dyDescent="0.25">
      <c r="A708" s="40">
        <v>703</v>
      </c>
      <c r="B708" s="40" t="s">
        <v>939</v>
      </c>
      <c r="C708" s="40" t="s">
        <v>167</v>
      </c>
      <c r="D708" s="40" t="s">
        <v>1961</v>
      </c>
      <c r="E708" s="40">
        <v>7</v>
      </c>
      <c r="F708" s="43" t="s">
        <v>45</v>
      </c>
      <c r="G708" s="43" t="s">
        <v>175</v>
      </c>
    </row>
    <row r="709" spans="1:7" x14ac:dyDescent="0.25">
      <c r="A709" s="40">
        <v>704</v>
      </c>
      <c r="B709" s="40" t="s">
        <v>940</v>
      </c>
      <c r="C709" s="40" t="s">
        <v>167</v>
      </c>
      <c r="D709" s="40" t="s">
        <v>1951</v>
      </c>
      <c r="E709" s="40">
        <v>2</v>
      </c>
      <c r="F709" s="43" t="s">
        <v>45</v>
      </c>
      <c r="G709" s="43" t="s">
        <v>182</v>
      </c>
    </row>
    <row r="710" spans="1:7" x14ac:dyDescent="0.25">
      <c r="A710" s="40">
        <v>705</v>
      </c>
      <c r="B710" s="40" t="s">
        <v>941</v>
      </c>
      <c r="C710" s="40" t="s">
        <v>167</v>
      </c>
      <c r="D710" s="40" t="s">
        <v>193</v>
      </c>
      <c r="E710" s="40">
        <v>3</v>
      </c>
      <c r="F710" s="43" t="s">
        <v>45</v>
      </c>
      <c r="G710" s="43" t="s">
        <v>1985</v>
      </c>
    </row>
    <row r="711" spans="1:7" x14ac:dyDescent="0.25">
      <c r="A711" s="40">
        <v>706</v>
      </c>
      <c r="B711" s="40" t="s">
        <v>942</v>
      </c>
      <c r="C711" s="40" t="s">
        <v>167</v>
      </c>
      <c r="D711" s="40" t="s">
        <v>1932</v>
      </c>
      <c r="E711" s="40">
        <v>5</v>
      </c>
      <c r="F711" s="43" t="s">
        <v>45</v>
      </c>
      <c r="G711" s="43" t="s">
        <v>181</v>
      </c>
    </row>
    <row r="712" spans="1:7" x14ac:dyDescent="0.25">
      <c r="A712" s="40">
        <v>707</v>
      </c>
      <c r="B712" s="40" t="s">
        <v>1990</v>
      </c>
      <c r="C712" s="40" t="s">
        <v>167</v>
      </c>
      <c r="D712" s="40" t="s">
        <v>1932</v>
      </c>
      <c r="E712" s="40">
        <v>5</v>
      </c>
      <c r="F712" s="43" t="s">
        <v>45</v>
      </c>
      <c r="G712" s="43" t="s">
        <v>1980</v>
      </c>
    </row>
    <row r="713" spans="1:7" x14ac:dyDescent="0.25">
      <c r="A713" s="40">
        <v>708</v>
      </c>
      <c r="B713" s="40" t="s">
        <v>943</v>
      </c>
      <c r="C713" s="40" t="s">
        <v>167</v>
      </c>
      <c r="D713" s="40" t="s">
        <v>178</v>
      </c>
      <c r="E713" s="40">
        <v>11</v>
      </c>
      <c r="F713" s="43" t="s">
        <v>45</v>
      </c>
      <c r="G713" s="43" t="s">
        <v>178</v>
      </c>
    </row>
    <row r="714" spans="1:7" x14ac:dyDescent="0.25">
      <c r="A714" s="40">
        <v>709</v>
      </c>
      <c r="B714" s="40" t="s">
        <v>944</v>
      </c>
      <c r="C714" s="40" t="s">
        <v>167</v>
      </c>
      <c r="D714" s="40" t="s">
        <v>1934</v>
      </c>
      <c r="E714" s="40">
        <v>8</v>
      </c>
      <c r="F714" s="43" t="s">
        <v>45</v>
      </c>
      <c r="G714" s="43" t="s">
        <v>182</v>
      </c>
    </row>
    <row r="715" spans="1:7" x14ac:dyDescent="0.25">
      <c r="A715" s="40">
        <v>710</v>
      </c>
      <c r="B715" s="40" t="s">
        <v>945</v>
      </c>
      <c r="C715" s="40" t="s">
        <v>167</v>
      </c>
      <c r="D715" s="40" t="s">
        <v>195</v>
      </c>
      <c r="E715" s="40">
        <v>4</v>
      </c>
      <c r="F715" s="43" t="s">
        <v>45</v>
      </c>
      <c r="G715" s="43" t="s">
        <v>182</v>
      </c>
    </row>
    <row r="716" spans="1:7" x14ac:dyDescent="0.25">
      <c r="A716" s="40">
        <v>711</v>
      </c>
      <c r="B716" s="40" t="s">
        <v>946</v>
      </c>
      <c r="C716" s="40" t="s">
        <v>167</v>
      </c>
      <c r="D716" s="40" t="s">
        <v>2005</v>
      </c>
      <c r="E716" s="40">
        <v>3</v>
      </c>
      <c r="F716" s="43" t="s">
        <v>45</v>
      </c>
      <c r="G716" s="43" t="s">
        <v>2006</v>
      </c>
    </row>
    <row r="717" spans="1:7" x14ac:dyDescent="0.25">
      <c r="A717" s="40">
        <v>712</v>
      </c>
      <c r="B717" s="40" t="s">
        <v>947</v>
      </c>
      <c r="C717" s="40" t="s">
        <v>168</v>
      </c>
      <c r="D717" s="40" t="s">
        <v>195</v>
      </c>
      <c r="E717" s="40">
        <v>4</v>
      </c>
      <c r="F717" s="43" t="s">
        <v>45</v>
      </c>
      <c r="G717" s="43" t="s">
        <v>2006</v>
      </c>
    </row>
    <row r="718" spans="1:7" x14ac:dyDescent="0.25">
      <c r="A718" s="40">
        <v>713</v>
      </c>
      <c r="B718" s="40" t="s">
        <v>948</v>
      </c>
      <c r="C718" s="40" t="s">
        <v>167</v>
      </c>
      <c r="D718" s="40" t="s">
        <v>1942</v>
      </c>
      <c r="E718" s="40">
        <v>4</v>
      </c>
      <c r="F718" s="43" t="s">
        <v>45</v>
      </c>
      <c r="G718" s="43" t="s">
        <v>184</v>
      </c>
    </row>
    <row r="719" spans="1:7" x14ac:dyDescent="0.25">
      <c r="A719" s="40">
        <v>714</v>
      </c>
      <c r="B719" s="40" t="s">
        <v>949</v>
      </c>
      <c r="C719" s="40" t="s">
        <v>168</v>
      </c>
      <c r="D719" s="40" t="s">
        <v>1942</v>
      </c>
      <c r="E719" s="40">
        <v>1</v>
      </c>
      <c r="F719" s="43" t="s">
        <v>45</v>
      </c>
      <c r="G719" s="43" t="s">
        <v>177</v>
      </c>
    </row>
    <row r="720" spans="1:7" x14ac:dyDescent="0.25">
      <c r="A720" s="40">
        <v>715</v>
      </c>
      <c r="B720" s="40" t="s">
        <v>950</v>
      </c>
      <c r="C720" s="40" t="s">
        <v>168</v>
      </c>
      <c r="D720" s="40" t="s">
        <v>195</v>
      </c>
      <c r="E720" s="40">
        <v>7</v>
      </c>
      <c r="F720" s="43" t="s">
        <v>45</v>
      </c>
      <c r="G720" s="43" t="s">
        <v>182</v>
      </c>
    </row>
    <row r="721" spans="1:7" x14ac:dyDescent="0.25">
      <c r="A721" s="40">
        <v>716</v>
      </c>
      <c r="B721" s="40" t="s">
        <v>951</v>
      </c>
      <c r="C721" s="40" t="s">
        <v>167</v>
      </c>
      <c r="D721" s="40" t="s">
        <v>175</v>
      </c>
      <c r="E721" s="40">
        <v>4</v>
      </c>
      <c r="F721" s="43" t="s">
        <v>45</v>
      </c>
      <c r="G721" s="43" t="s">
        <v>175</v>
      </c>
    </row>
    <row r="722" spans="1:7" x14ac:dyDescent="0.25">
      <c r="A722" s="40">
        <v>717</v>
      </c>
      <c r="B722" s="40" t="s">
        <v>1996</v>
      </c>
      <c r="C722" s="40" t="s">
        <v>167</v>
      </c>
      <c r="D722" s="40" t="s">
        <v>193</v>
      </c>
      <c r="E722" s="40">
        <v>7</v>
      </c>
      <c r="F722" s="43" t="s">
        <v>45</v>
      </c>
      <c r="G722" s="43" t="s">
        <v>169</v>
      </c>
    </row>
    <row r="723" spans="1:7" x14ac:dyDescent="0.25">
      <c r="A723" s="40">
        <v>718</v>
      </c>
      <c r="B723" s="40" t="s">
        <v>1997</v>
      </c>
      <c r="C723" s="40" t="s">
        <v>168</v>
      </c>
      <c r="D723" s="40" t="s">
        <v>192</v>
      </c>
      <c r="E723" s="40">
        <v>4</v>
      </c>
      <c r="F723" s="43" t="s">
        <v>45</v>
      </c>
      <c r="G723" s="43" t="s">
        <v>192</v>
      </c>
    </row>
    <row r="724" spans="1:7" x14ac:dyDescent="0.25">
      <c r="A724" s="40">
        <v>719</v>
      </c>
      <c r="B724" s="40" t="s">
        <v>1998</v>
      </c>
      <c r="C724" s="40" t="s">
        <v>168</v>
      </c>
      <c r="D724" s="40" t="s">
        <v>193</v>
      </c>
      <c r="E724" s="40">
        <v>3</v>
      </c>
      <c r="F724" s="43" t="s">
        <v>45</v>
      </c>
      <c r="G724" s="43" t="s">
        <v>169</v>
      </c>
    </row>
    <row r="725" spans="1:7" x14ac:dyDescent="0.25">
      <c r="A725" s="40">
        <v>720</v>
      </c>
      <c r="B725" s="40" t="s">
        <v>1999</v>
      </c>
      <c r="C725" s="40" t="s">
        <v>168</v>
      </c>
      <c r="D725" s="40" t="s">
        <v>192</v>
      </c>
      <c r="E725" s="40">
        <v>8</v>
      </c>
      <c r="F725" s="43" t="s">
        <v>45</v>
      </c>
      <c r="G725" s="43" t="s">
        <v>192</v>
      </c>
    </row>
    <row r="726" spans="1:7" x14ac:dyDescent="0.25">
      <c r="A726" s="40">
        <v>721</v>
      </c>
      <c r="B726" s="40" t="s">
        <v>1991</v>
      </c>
      <c r="C726" s="40" t="s">
        <v>167</v>
      </c>
      <c r="D726" s="40" t="s">
        <v>192</v>
      </c>
      <c r="E726" s="40">
        <v>2</v>
      </c>
      <c r="F726" s="43" t="s">
        <v>45</v>
      </c>
      <c r="G726" s="43" t="s">
        <v>192</v>
      </c>
    </row>
    <row r="727" spans="1:7" x14ac:dyDescent="0.25">
      <c r="A727" s="40">
        <v>722</v>
      </c>
      <c r="B727" s="40" t="s">
        <v>1992</v>
      </c>
      <c r="C727" s="40" t="s">
        <v>167</v>
      </c>
      <c r="D727" s="40" t="s">
        <v>192</v>
      </c>
      <c r="E727" s="40">
        <v>1</v>
      </c>
      <c r="F727" s="43" t="s">
        <v>45</v>
      </c>
      <c r="G727" s="43" t="s">
        <v>192</v>
      </c>
    </row>
    <row r="728" spans="1:7" x14ac:dyDescent="0.25">
      <c r="A728" s="40">
        <v>723</v>
      </c>
      <c r="B728" s="40" t="s">
        <v>1993</v>
      </c>
      <c r="C728" s="40" t="s">
        <v>168</v>
      </c>
      <c r="D728" s="40" t="s">
        <v>193</v>
      </c>
      <c r="E728" s="40">
        <v>5</v>
      </c>
      <c r="F728" s="43" t="s">
        <v>45</v>
      </c>
      <c r="G728" s="43" t="s">
        <v>169</v>
      </c>
    </row>
    <row r="729" spans="1:7" x14ac:dyDescent="0.25">
      <c r="A729" s="40">
        <v>724</v>
      </c>
      <c r="B729" s="40" t="s">
        <v>1994</v>
      </c>
      <c r="C729" s="40" t="s">
        <v>168</v>
      </c>
      <c r="D729" s="40" t="s">
        <v>192</v>
      </c>
      <c r="E729" s="40">
        <v>1</v>
      </c>
      <c r="F729" s="43" t="s">
        <v>45</v>
      </c>
      <c r="G729" s="43" t="s">
        <v>192</v>
      </c>
    </row>
    <row r="730" spans="1:7" x14ac:dyDescent="0.25">
      <c r="A730" s="40">
        <v>725</v>
      </c>
      <c r="B730" s="40" t="s">
        <v>1995</v>
      </c>
      <c r="C730" s="40" t="s">
        <v>168</v>
      </c>
      <c r="D730" s="40" t="s">
        <v>192</v>
      </c>
      <c r="E730" s="40">
        <v>2</v>
      </c>
      <c r="F730" s="43" t="s">
        <v>51</v>
      </c>
    </row>
    <row r="731" spans="1:7" x14ac:dyDescent="0.25">
      <c r="A731" s="40">
        <v>726</v>
      </c>
      <c r="B731" s="40" t="s">
        <v>2000</v>
      </c>
      <c r="C731" s="40" t="s">
        <v>168</v>
      </c>
      <c r="D731" s="40" t="s">
        <v>1933</v>
      </c>
      <c r="E731" s="40">
        <v>3</v>
      </c>
      <c r="F731" s="43" t="s">
        <v>45</v>
      </c>
      <c r="G731" s="43" t="s">
        <v>190</v>
      </c>
    </row>
    <row r="732" spans="1:7" x14ac:dyDescent="0.25">
      <c r="A732" s="40">
        <v>727</v>
      </c>
      <c r="B732" s="40" t="s">
        <v>2001</v>
      </c>
      <c r="C732" s="40" t="s">
        <v>168</v>
      </c>
      <c r="D732" s="40" t="s">
        <v>1934</v>
      </c>
      <c r="E732" s="40">
        <v>1</v>
      </c>
      <c r="F732" s="43" t="s">
        <v>45</v>
      </c>
      <c r="G732" s="43" t="s">
        <v>182</v>
      </c>
    </row>
    <row r="733" spans="1:7" x14ac:dyDescent="0.25">
      <c r="A733" s="40">
        <v>728</v>
      </c>
      <c r="B733" s="40" t="s">
        <v>952</v>
      </c>
      <c r="C733" s="40" t="s">
        <v>168</v>
      </c>
      <c r="D733" s="40" t="s">
        <v>192</v>
      </c>
      <c r="E733" s="40">
        <v>4</v>
      </c>
      <c r="F733" s="43" t="s">
        <v>45</v>
      </c>
      <c r="G733" s="43" t="s">
        <v>192</v>
      </c>
    </row>
    <row r="734" spans="1:7" x14ac:dyDescent="0.25">
      <c r="A734" s="40">
        <v>729</v>
      </c>
      <c r="B734" s="40" t="s">
        <v>953</v>
      </c>
      <c r="C734" s="40" t="s">
        <v>167</v>
      </c>
      <c r="D734" s="40" t="s">
        <v>178</v>
      </c>
      <c r="E734" s="40">
        <v>1</v>
      </c>
      <c r="F734" s="43" t="s">
        <v>45</v>
      </c>
      <c r="G734" s="43" t="s">
        <v>178</v>
      </c>
    </row>
    <row r="735" spans="1:7" x14ac:dyDescent="0.25">
      <c r="A735" s="40">
        <v>730</v>
      </c>
      <c r="B735" s="40" t="s">
        <v>954</v>
      </c>
      <c r="C735" s="40" t="s">
        <v>167</v>
      </c>
      <c r="D735" s="40" t="s">
        <v>1932</v>
      </c>
      <c r="E735" s="40">
        <v>8</v>
      </c>
      <c r="F735" s="43" t="s">
        <v>45</v>
      </c>
      <c r="G735" s="43" t="s">
        <v>1980</v>
      </c>
    </row>
    <row r="736" spans="1:7" x14ac:dyDescent="0.25">
      <c r="A736" s="40">
        <v>731</v>
      </c>
      <c r="B736" s="40" t="s">
        <v>955</v>
      </c>
      <c r="C736" s="40" t="s">
        <v>168</v>
      </c>
      <c r="D736" s="40" t="s">
        <v>1971</v>
      </c>
      <c r="E736" s="40">
        <v>2</v>
      </c>
      <c r="F736" s="43" t="s">
        <v>45</v>
      </c>
      <c r="G736" s="43" t="s">
        <v>174</v>
      </c>
    </row>
    <row r="737" spans="1:7" x14ac:dyDescent="0.25">
      <c r="A737" s="40">
        <v>732</v>
      </c>
      <c r="B737" s="40" t="s">
        <v>956</v>
      </c>
      <c r="C737" s="40" t="s">
        <v>167</v>
      </c>
      <c r="D737" s="40" t="s">
        <v>185</v>
      </c>
      <c r="E737" s="40">
        <v>5</v>
      </c>
      <c r="F737" s="43" t="s">
        <v>45</v>
      </c>
      <c r="G737" s="43" t="s">
        <v>185</v>
      </c>
    </row>
    <row r="738" spans="1:7" x14ac:dyDescent="0.25">
      <c r="A738" s="40">
        <v>733</v>
      </c>
      <c r="B738" s="40" t="s">
        <v>957</v>
      </c>
      <c r="C738" s="40" t="s">
        <v>167</v>
      </c>
      <c r="D738" s="40" t="s">
        <v>1943</v>
      </c>
      <c r="E738" s="40">
        <v>4</v>
      </c>
      <c r="F738" s="43" t="s">
        <v>45</v>
      </c>
      <c r="G738" s="43" t="s">
        <v>183</v>
      </c>
    </row>
    <row r="739" spans="1:7" x14ac:dyDescent="0.25">
      <c r="A739" s="40">
        <v>734</v>
      </c>
      <c r="B739" s="40" t="s">
        <v>958</v>
      </c>
      <c r="C739" s="40" t="s">
        <v>167</v>
      </c>
      <c r="D739" s="40" t="s">
        <v>193</v>
      </c>
      <c r="E739" s="40">
        <v>4</v>
      </c>
      <c r="F739" s="43" t="s">
        <v>45</v>
      </c>
      <c r="G739" s="43" t="s">
        <v>169</v>
      </c>
    </row>
    <row r="740" spans="1:7" x14ac:dyDescent="0.25">
      <c r="A740" s="40">
        <v>735</v>
      </c>
      <c r="B740" s="40" t="s">
        <v>959</v>
      </c>
      <c r="C740" s="40" t="s">
        <v>167</v>
      </c>
      <c r="D740" s="40" t="s">
        <v>178</v>
      </c>
      <c r="E740" s="40">
        <v>2</v>
      </c>
      <c r="F740" s="43" t="s">
        <v>45</v>
      </c>
      <c r="G740" s="43" t="s">
        <v>178</v>
      </c>
    </row>
    <row r="741" spans="1:7" x14ac:dyDescent="0.25">
      <c r="A741" s="40">
        <v>736</v>
      </c>
      <c r="B741" s="40" t="s">
        <v>960</v>
      </c>
      <c r="C741" s="40" t="s">
        <v>167</v>
      </c>
      <c r="D741" s="40" t="s">
        <v>193</v>
      </c>
      <c r="E741" s="40">
        <v>7</v>
      </c>
      <c r="F741" s="43" t="s">
        <v>45</v>
      </c>
      <c r="G741" s="43" t="s">
        <v>1986</v>
      </c>
    </row>
    <row r="742" spans="1:7" x14ac:dyDescent="0.25">
      <c r="A742" s="40">
        <v>737</v>
      </c>
      <c r="B742" s="40" t="s">
        <v>961</v>
      </c>
      <c r="C742" s="40" t="s">
        <v>168</v>
      </c>
      <c r="D742" s="40" t="s">
        <v>198</v>
      </c>
      <c r="E742" s="40">
        <v>1</v>
      </c>
      <c r="F742" s="43" t="s">
        <v>45</v>
      </c>
      <c r="G742" s="43" t="s">
        <v>1987</v>
      </c>
    </row>
    <row r="743" spans="1:7" x14ac:dyDescent="0.25">
      <c r="A743" s="40">
        <v>738</v>
      </c>
      <c r="B743" s="40" t="s">
        <v>962</v>
      </c>
      <c r="C743" s="40" t="s">
        <v>167</v>
      </c>
      <c r="D743" s="40" t="s">
        <v>1972</v>
      </c>
      <c r="E743" s="40">
        <v>5</v>
      </c>
      <c r="F743" s="43" t="s">
        <v>45</v>
      </c>
      <c r="G743" s="43" t="s">
        <v>2006</v>
      </c>
    </row>
    <row r="744" spans="1:7" x14ac:dyDescent="0.25">
      <c r="A744" s="40">
        <v>739</v>
      </c>
      <c r="B744" s="40" t="s">
        <v>963</v>
      </c>
      <c r="C744" s="40" t="s">
        <v>167</v>
      </c>
      <c r="D744" s="40" t="s">
        <v>195</v>
      </c>
      <c r="E744" s="40">
        <v>6</v>
      </c>
      <c r="F744" s="43" t="s">
        <v>45</v>
      </c>
      <c r="G744" s="43" t="s">
        <v>2006</v>
      </c>
    </row>
    <row r="745" spans="1:7" x14ac:dyDescent="0.25">
      <c r="A745" s="40">
        <v>740</v>
      </c>
      <c r="B745" s="40" t="s">
        <v>964</v>
      </c>
      <c r="C745" s="40" t="s">
        <v>167</v>
      </c>
      <c r="D745" s="40" t="s">
        <v>1950</v>
      </c>
      <c r="E745" s="40">
        <v>6</v>
      </c>
      <c r="F745" s="43" t="s">
        <v>45</v>
      </c>
      <c r="G745" s="43" t="s">
        <v>183</v>
      </c>
    </row>
    <row r="746" spans="1:7" x14ac:dyDescent="0.25">
      <c r="A746" s="40">
        <v>741</v>
      </c>
      <c r="B746" s="40" t="s">
        <v>965</v>
      </c>
      <c r="C746" s="40" t="s">
        <v>168</v>
      </c>
      <c r="D746" s="40" t="s">
        <v>1972</v>
      </c>
      <c r="E746" s="40">
        <v>6</v>
      </c>
      <c r="F746" s="43" t="s">
        <v>45</v>
      </c>
      <c r="G746" s="43" t="s">
        <v>2006</v>
      </c>
    </row>
    <row r="747" spans="1:7" x14ac:dyDescent="0.25">
      <c r="A747" s="40">
        <v>742</v>
      </c>
      <c r="B747" s="40" t="s">
        <v>966</v>
      </c>
      <c r="C747" s="40" t="s">
        <v>168</v>
      </c>
      <c r="D747" s="40" t="s">
        <v>174</v>
      </c>
      <c r="E747" s="40">
        <v>6</v>
      </c>
      <c r="F747" s="43" t="s">
        <v>45</v>
      </c>
      <c r="G747" s="43" t="s">
        <v>174</v>
      </c>
    </row>
    <row r="748" spans="1:7" x14ac:dyDescent="0.25">
      <c r="A748" s="40">
        <v>743</v>
      </c>
      <c r="B748" s="40" t="s">
        <v>967</v>
      </c>
      <c r="C748" s="40" t="s">
        <v>168</v>
      </c>
      <c r="D748" s="40" t="s">
        <v>193</v>
      </c>
      <c r="E748" s="40">
        <v>5</v>
      </c>
      <c r="F748" s="43" t="s">
        <v>45</v>
      </c>
      <c r="G748" s="43" t="s">
        <v>169</v>
      </c>
    </row>
    <row r="749" spans="1:7" x14ac:dyDescent="0.25">
      <c r="A749" s="40">
        <v>744</v>
      </c>
      <c r="B749" s="40" t="s">
        <v>968</v>
      </c>
      <c r="C749" s="40" t="s">
        <v>168</v>
      </c>
      <c r="D749" s="40" t="s">
        <v>195</v>
      </c>
      <c r="E749" s="40">
        <v>3</v>
      </c>
      <c r="F749" s="43" t="s">
        <v>45</v>
      </c>
      <c r="G749" s="43" t="s">
        <v>2006</v>
      </c>
    </row>
    <row r="750" spans="1:7" x14ac:dyDescent="0.25">
      <c r="A750" s="40">
        <v>745</v>
      </c>
      <c r="B750" s="40" t="s">
        <v>969</v>
      </c>
      <c r="C750" s="40" t="s">
        <v>167</v>
      </c>
      <c r="D750" s="40" t="s">
        <v>195</v>
      </c>
      <c r="E750" s="40">
        <v>6</v>
      </c>
      <c r="F750" s="43" t="s">
        <v>45</v>
      </c>
      <c r="G750" s="43" t="s">
        <v>2006</v>
      </c>
    </row>
    <row r="751" spans="1:7" x14ac:dyDescent="0.25">
      <c r="A751" s="40">
        <v>746</v>
      </c>
      <c r="B751" s="40" t="s">
        <v>970</v>
      </c>
      <c r="C751" s="40" t="s">
        <v>167</v>
      </c>
      <c r="D751" s="40" t="s">
        <v>172</v>
      </c>
      <c r="E751" s="40">
        <v>6</v>
      </c>
      <c r="F751" s="43" t="s">
        <v>45</v>
      </c>
      <c r="G751" s="43" t="s">
        <v>172</v>
      </c>
    </row>
    <row r="752" spans="1:7" x14ac:dyDescent="0.25">
      <c r="A752" s="40">
        <v>747</v>
      </c>
      <c r="B752" s="40" t="s">
        <v>971</v>
      </c>
      <c r="C752" s="40" t="s">
        <v>168</v>
      </c>
      <c r="D752" s="40" t="s">
        <v>2005</v>
      </c>
      <c r="E752" s="40">
        <v>7</v>
      </c>
      <c r="F752" s="43" t="s">
        <v>45</v>
      </c>
      <c r="G752" s="43" t="s">
        <v>2006</v>
      </c>
    </row>
    <row r="753" spans="1:7" x14ac:dyDescent="0.25">
      <c r="A753" s="40">
        <v>748</v>
      </c>
      <c r="B753" s="40" t="s">
        <v>972</v>
      </c>
      <c r="C753" s="40" t="s">
        <v>167</v>
      </c>
      <c r="D753" s="40" t="s">
        <v>186</v>
      </c>
      <c r="E753" s="40">
        <v>8</v>
      </c>
      <c r="F753" s="43" t="s">
        <v>45</v>
      </c>
      <c r="G753" s="43" t="s">
        <v>180</v>
      </c>
    </row>
    <row r="754" spans="1:7" x14ac:dyDescent="0.25">
      <c r="A754" s="40">
        <v>749</v>
      </c>
      <c r="B754" s="40" t="s">
        <v>973</v>
      </c>
      <c r="C754" s="40" t="s">
        <v>168</v>
      </c>
      <c r="D754" s="40" t="s">
        <v>185</v>
      </c>
      <c r="E754" s="40">
        <v>12</v>
      </c>
      <c r="F754" s="43" t="s">
        <v>45</v>
      </c>
      <c r="G754" s="43" t="s">
        <v>185</v>
      </c>
    </row>
    <row r="755" spans="1:7" x14ac:dyDescent="0.25">
      <c r="A755" s="40">
        <v>750</v>
      </c>
      <c r="B755" s="40" t="s">
        <v>974</v>
      </c>
      <c r="C755" s="40" t="s">
        <v>167</v>
      </c>
      <c r="D755" s="40" t="s">
        <v>1963</v>
      </c>
      <c r="E755" s="40">
        <v>7</v>
      </c>
      <c r="F755" s="43" t="s">
        <v>45</v>
      </c>
      <c r="G755" s="43" t="s">
        <v>191</v>
      </c>
    </row>
    <row r="756" spans="1:7" x14ac:dyDescent="0.25">
      <c r="A756" s="40">
        <v>751</v>
      </c>
      <c r="B756" s="40" t="s">
        <v>975</v>
      </c>
      <c r="C756" s="40" t="s">
        <v>168</v>
      </c>
      <c r="D756" s="40" t="s">
        <v>198</v>
      </c>
      <c r="E756" s="40">
        <v>4</v>
      </c>
      <c r="F756" s="43" t="s">
        <v>45</v>
      </c>
      <c r="G756" s="43" t="s">
        <v>1989</v>
      </c>
    </row>
    <row r="757" spans="1:7" x14ac:dyDescent="0.25">
      <c r="A757" s="40">
        <v>752</v>
      </c>
      <c r="B757" s="40" t="s">
        <v>976</v>
      </c>
      <c r="C757" s="40" t="s">
        <v>168</v>
      </c>
      <c r="D757" s="40" t="s">
        <v>1963</v>
      </c>
      <c r="E757" s="40">
        <v>10</v>
      </c>
      <c r="F757" s="43" t="s">
        <v>45</v>
      </c>
      <c r="G757" s="43" t="s">
        <v>191</v>
      </c>
    </row>
    <row r="758" spans="1:7" x14ac:dyDescent="0.25">
      <c r="A758" s="40">
        <v>753</v>
      </c>
      <c r="B758" s="40" t="s">
        <v>977</v>
      </c>
      <c r="C758" s="40" t="s">
        <v>167</v>
      </c>
      <c r="D758" s="40" t="s">
        <v>172</v>
      </c>
      <c r="E758" s="40">
        <v>10</v>
      </c>
      <c r="F758" s="43" t="s">
        <v>45</v>
      </c>
      <c r="G758" s="43" t="s">
        <v>172</v>
      </c>
    </row>
    <row r="759" spans="1:7" x14ac:dyDescent="0.25">
      <c r="A759" s="40">
        <v>754</v>
      </c>
      <c r="B759" s="40" t="s">
        <v>978</v>
      </c>
      <c r="C759" s="40" t="s">
        <v>168</v>
      </c>
      <c r="D759" s="40" t="s">
        <v>193</v>
      </c>
      <c r="E759" s="40">
        <v>4</v>
      </c>
      <c r="F759" s="43" t="s">
        <v>45</v>
      </c>
      <c r="G759" s="43" t="s">
        <v>1985</v>
      </c>
    </row>
    <row r="760" spans="1:7" x14ac:dyDescent="0.25">
      <c r="A760" s="40">
        <v>755</v>
      </c>
      <c r="B760" s="40" t="s">
        <v>979</v>
      </c>
      <c r="C760" s="40" t="s">
        <v>167</v>
      </c>
      <c r="D760" s="40" t="s">
        <v>186</v>
      </c>
      <c r="E760" s="40">
        <v>8</v>
      </c>
      <c r="F760" s="43" t="s">
        <v>45</v>
      </c>
      <c r="G760" s="43" t="s">
        <v>186</v>
      </c>
    </row>
    <row r="761" spans="1:7" x14ac:dyDescent="0.25">
      <c r="A761" s="40">
        <v>756</v>
      </c>
      <c r="B761" s="40" t="s">
        <v>979</v>
      </c>
      <c r="C761" s="40" t="s">
        <v>167</v>
      </c>
      <c r="D761" s="40" t="s">
        <v>1963</v>
      </c>
      <c r="E761" s="40">
        <v>7</v>
      </c>
      <c r="F761" s="43" t="s">
        <v>45</v>
      </c>
      <c r="G761" s="43" t="s">
        <v>191</v>
      </c>
    </row>
    <row r="762" spans="1:7" x14ac:dyDescent="0.25">
      <c r="A762" s="40">
        <v>757</v>
      </c>
      <c r="B762" s="40" t="s">
        <v>980</v>
      </c>
      <c r="C762" s="40" t="s">
        <v>167</v>
      </c>
      <c r="D762" s="40" t="s">
        <v>1963</v>
      </c>
      <c r="E762" s="40">
        <v>3</v>
      </c>
      <c r="F762" s="43" t="s">
        <v>45</v>
      </c>
      <c r="G762" s="43" t="s">
        <v>2006</v>
      </c>
    </row>
    <row r="763" spans="1:7" x14ac:dyDescent="0.25">
      <c r="A763" s="40">
        <v>758</v>
      </c>
      <c r="B763" s="40" t="s">
        <v>981</v>
      </c>
      <c r="C763" s="40" t="s">
        <v>168</v>
      </c>
      <c r="D763" s="40" t="s">
        <v>198</v>
      </c>
      <c r="E763" s="40">
        <v>2</v>
      </c>
      <c r="F763" s="43" t="s">
        <v>51</v>
      </c>
    </row>
    <row r="764" spans="1:7" x14ac:dyDescent="0.25">
      <c r="A764" s="40">
        <v>759</v>
      </c>
      <c r="B764" s="40" t="s">
        <v>982</v>
      </c>
      <c r="C764" s="40" t="s">
        <v>168</v>
      </c>
      <c r="D764" s="40" t="s">
        <v>186</v>
      </c>
      <c r="E764" s="40">
        <v>7</v>
      </c>
      <c r="F764" s="43" t="s">
        <v>45</v>
      </c>
      <c r="G764" s="43" t="s">
        <v>186</v>
      </c>
    </row>
    <row r="765" spans="1:7" x14ac:dyDescent="0.25">
      <c r="A765" s="40">
        <v>760</v>
      </c>
      <c r="B765" s="40" t="s">
        <v>983</v>
      </c>
      <c r="C765" s="40" t="s">
        <v>168</v>
      </c>
      <c r="D765" s="40" t="s">
        <v>198</v>
      </c>
      <c r="E765" s="40">
        <v>10</v>
      </c>
      <c r="F765" s="43" t="s">
        <v>45</v>
      </c>
      <c r="G765" s="43" t="s">
        <v>1989</v>
      </c>
    </row>
    <row r="766" spans="1:7" x14ac:dyDescent="0.25">
      <c r="A766" s="40">
        <v>761</v>
      </c>
      <c r="B766" s="40" t="s">
        <v>984</v>
      </c>
      <c r="C766" s="40" t="s">
        <v>167</v>
      </c>
      <c r="D766" s="40" t="s">
        <v>1939</v>
      </c>
      <c r="E766" s="40">
        <v>3</v>
      </c>
      <c r="F766" s="43" t="s">
        <v>45</v>
      </c>
      <c r="G766" s="43" t="s">
        <v>172</v>
      </c>
    </row>
    <row r="767" spans="1:7" x14ac:dyDescent="0.25">
      <c r="A767" s="40">
        <v>762</v>
      </c>
      <c r="B767" s="40" t="s">
        <v>985</v>
      </c>
      <c r="C767" s="40" t="s">
        <v>167</v>
      </c>
      <c r="D767" s="40" t="s">
        <v>186</v>
      </c>
      <c r="E767" s="40">
        <v>6</v>
      </c>
      <c r="F767" s="43" t="s">
        <v>45</v>
      </c>
      <c r="G767" s="43" t="s">
        <v>186</v>
      </c>
    </row>
    <row r="768" spans="1:7" x14ac:dyDescent="0.25">
      <c r="A768" s="40">
        <v>763</v>
      </c>
      <c r="B768" s="40" t="s">
        <v>986</v>
      </c>
      <c r="C768" s="40" t="s">
        <v>167</v>
      </c>
      <c r="D768" s="40" t="s">
        <v>193</v>
      </c>
      <c r="E768" s="40">
        <v>3</v>
      </c>
      <c r="F768" s="43" t="s">
        <v>45</v>
      </c>
      <c r="G768" s="43" t="s">
        <v>1985</v>
      </c>
    </row>
    <row r="769" spans="1:7" x14ac:dyDescent="0.25">
      <c r="A769" s="40">
        <v>764</v>
      </c>
      <c r="B769" s="40" t="s">
        <v>987</v>
      </c>
      <c r="C769" s="40" t="s">
        <v>167</v>
      </c>
      <c r="D769" s="40" t="s">
        <v>1950</v>
      </c>
      <c r="E769" s="40">
        <v>6</v>
      </c>
      <c r="F769" s="43" t="s">
        <v>45</v>
      </c>
      <c r="G769" s="43" t="s">
        <v>183</v>
      </c>
    </row>
    <row r="770" spans="1:7" x14ac:dyDescent="0.25">
      <c r="A770" s="40">
        <v>765</v>
      </c>
      <c r="B770" s="40" t="s">
        <v>988</v>
      </c>
      <c r="C770" s="40" t="s">
        <v>168</v>
      </c>
      <c r="D770" s="40" t="s">
        <v>193</v>
      </c>
      <c r="E770" s="40">
        <v>3</v>
      </c>
      <c r="F770" s="43" t="s">
        <v>45</v>
      </c>
      <c r="G770" s="43" t="s">
        <v>1986</v>
      </c>
    </row>
    <row r="771" spans="1:7" x14ac:dyDescent="0.25">
      <c r="A771" s="40">
        <v>766</v>
      </c>
      <c r="B771" s="40" t="s">
        <v>989</v>
      </c>
      <c r="C771" s="40" t="s">
        <v>168</v>
      </c>
      <c r="D771" s="40" t="s">
        <v>178</v>
      </c>
      <c r="E771" s="40">
        <v>1</v>
      </c>
      <c r="F771" s="43" t="s">
        <v>45</v>
      </c>
      <c r="G771" s="43" t="s">
        <v>178</v>
      </c>
    </row>
    <row r="772" spans="1:7" x14ac:dyDescent="0.25">
      <c r="A772" s="40">
        <v>767</v>
      </c>
      <c r="B772" s="40" t="s">
        <v>990</v>
      </c>
      <c r="C772" s="40" t="s">
        <v>167</v>
      </c>
      <c r="D772" s="40" t="s">
        <v>198</v>
      </c>
      <c r="E772" s="40">
        <v>2</v>
      </c>
      <c r="F772" s="43" t="s">
        <v>45</v>
      </c>
      <c r="G772" s="43" t="s">
        <v>1989</v>
      </c>
    </row>
    <row r="773" spans="1:7" x14ac:dyDescent="0.25">
      <c r="A773" s="40">
        <v>768</v>
      </c>
      <c r="B773" s="40" t="s">
        <v>991</v>
      </c>
      <c r="C773" s="40" t="s">
        <v>168</v>
      </c>
      <c r="D773" s="40" t="s">
        <v>193</v>
      </c>
      <c r="E773" s="40">
        <v>4</v>
      </c>
      <c r="F773" s="43" t="s">
        <v>51</v>
      </c>
    </row>
    <row r="774" spans="1:7" x14ac:dyDescent="0.25">
      <c r="A774" s="40">
        <v>769</v>
      </c>
      <c r="B774" s="40" t="s">
        <v>992</v>
      </c>
      <c r="C774" s="40" t="s">
        <v>167</v>
      </c>
      <c r="D774" s="40" t="s">
        <v>1950</v>
      </c>
      <c r="E774" s="40">
        <v>9</v>
      </c>
      <c r="F774" s="43" t="s">
        <v>45</v>
      </c>
      <c r="G774" s="43" t="s">
        <v>183</v>
      </c>
    </row>
    <row r="775" spans="1:7" x14ac:dyDescent="0.25">
      <c r="A775" s="40">
        <v>770</v>
      </c>
      <c r="B775" s="40" t="s">
        <v>993</v>
      </c>
      <c r="C775" s="40" t="s">
        <v>168</v>
      </c>
      <c r="D775" s="40" t="s">
        <v>1952</v>
      </c>
      <c r="E775" s="40">
        <v>5</v>
      </c>
      <c r="F775" s="43" t="s">
        <v>45</v>
      </c>
      <c r="G775" s="43" t="s">
        <v>184</v>
      </c>
    </row>
    <row r="776" spans="1:7" x14ac:dyDescent="0.25">
      <c r="A776" s="40">
        <v>771</v>
      </c>
      <c r="B776" s="40" t="s">
        <v>994</v>
      </c>
      <c r="C776" s="40" t="s">
        <v>167</v>
      </c>
      <c r="D776" s="40" t="s">
        <v>192</v>
      </c>
      <c r="E776" s="40">
        <v>3</v>
      </c>
      <c r="F776" s="43" t="s">
        <v>45</v>
      </c>
      <c r="G776" s="43" t="s">
        <v>192</v>
      </c>
    </row>
    <row r="777" spans="1:7" x14ac:dyDescent="0.25">
      <c r="A777" s="40">
        <v>772</v>
      </c>
      <c r="B777" s="40" t="s">
        <v>995</v>
      </c>
      <c r="C777" s="40" t="s">
        <v>167</v>
      </c>
      <c r="D777" s="40" t="s">
        <v>1938</v>
      </c>
      <c r="E777" s="40">
        <v>6</v>
      </c>
      <c r="F777" s="43" t="s">
        <v>45</v>
      </c>
      <c r="G777" s="43" t="s">
        <v>191</v>
      </c>
    </row>
    <row r="778" spans="1:7" x14ac:dyDescent="0.25">
      <c r="A778" s="40">
        <v>773</v>
      </c>
      <c r="B778" s="40" t="s">
        <v>996</v>
      </c>
      <c r="C778" s="40" t="s">
        <v>167</v>
      </c>
      <c r="D778" s="40" t="s">
        <v>1966</v>
      </c>
      <c r="E778" s="40">
        <v>4</v>
      </c>
      <c r="F778" s="43" t="s">
        <v>45</v>
      </c>
      <c r="G778" s="43" t="s">
        <v>177</v>
      </c>
    </row>
    <row r="779" spans="1:7" x14ac:dyDescent="0.25">
      <c r="A779" s="40">
        <v>774</v>
      </c>
      <c r="B779" s="40" t="s">
        <v>997</v>
      </c>
      <c r="C779" s="40" t="s">
        <v>168</v>
      </c>
      <c r="D779" s="40" t="s">
        <v>1948</v>
      </c>
      <c r="E779" s="40">
        <v>5</v>
      </c>
      <c r="F779" s="43" t="s">
        <v>45</v>
      </c>
      <c r="G779" s="43" t="s">
        <v>190</v>
      </c>
    </row>
    <row r="780" spans="1:7" x14ac:dyDescent="0.25">
      <c r="A780" s="40">
        <v>775</v>
      </c>
      <c r="B780" s="40" t="s">
        <v>998</v>
      </c>
      <c r="C780" s="40" t="s">
        <v>168</v>
      </c>
      <c r="D780" s="40" t="s">
        <v>1940</v>
      </c>
      <c r="E780" s="40">
        <v>2</v>
      </c>
      <c r="F780" s="43" t="s">
        <v>51</v>
      </c>
    </row>
    <row r="781" spans="1:7" x14ac:dyDescent="0.25">
      <c r="A781" s="40">
        <v>776</v>
      </c>
      <c r="B781" s="40" t="s">
        <v>999</v>
      </c>
      <c r="C781" s="40" t="s">
        <v>168</v>
      </c>
      <c r="D781" s="40" t="s">
        <v>1948</v>
      </c>
      <c r="E781" s="40">
        <v>1</v>
      </c>
      <c r="F781" s="43" t="s">
        <v>45</v>
      </c>
      <c r="G781" s="43" t="s">
        <v>190</v>
      </c>
    </row>
    <row r="782" spans="1:7" x14ac:dyDescent="0.25">
      <c r="A782" s="40">
        <v>777</v>
      </c>
      <c r="B782" s="40" t="s">
        <v>1000</v>
      </c>
      <c r="C782" s="40" t="s">
        <v>168</v>
      </c>
      <c r="D782" s="40" t="s">
        <v>178</v>
      </c>
      <c r="E782" s="40">
        <v>2</v>
      </c>
      <c r="F782" s="43" t="s">
        <v>45</v>
      </c>
      <c r="G782" s="43" t="s">
        <v>178</v>
      </c>
    </row>
    <row r="783" spans="1:7" x14ac:dyDescent="0.25">
      <c r="A783" s="40">
        <v>778</v>
      </c>
      <c r="B783" s="40" t="s">
        <v>1001</v>
      </c>
      <c r="C783" s="40" t="s">
        <v>168</v>
      </c>
      <c r="D783" s="40" t="s">
        <v>195</v>
      </c>
      <c r="E783" s="40">
        <v>5</v>
      </c>
      <c r="F783" s="43" t="s">
        <v>45</v>
      </c>
      <c r="G783" s="43" t="s">
        <v>2006</v>
      </c>
    </row>
    <row r="784" spans="1:7" x14ac:dyDescent="0.25">
      <c r="A784" s="40">
        <v>779</v>
      </c>
      <c r="B784" s="40" t="s">
        <v>1002</v>
      </c>
      <c r="C784" s="40" t="s">
        <v>167</v>
      </c>
      <c r="D784" s="40" t="s">
        <v>1934</v>
      </c>
      <c r="E784" s="40">
        <v>8</v>
      </c>
      <c r="F784" s="43" t="s">
        <v>45</v>
      </c>
      <c r="G784" s="43" t="s">
        <v>182</v>
      </c>
    </row>
    <row r="785" spans="1:7" x14ac:dyDescent="0.25">
      <c r="A785" s="40">
        <v>780</v>
      </c>
      <c r="B785" s="40" t="s">
        <v>1003</v>
      </c>
      <c r="C785" s="40" t="s">
        <v>168</v>
      </c>
      <c r="D785" s="40" t="s">
        <v>1964</v>
      </c>
      <c r="E785" s="40">
        <v>2</v>
      </c>
      <c r="F785" s="43" t="s">
        <v>45</v>
      </c>
      <c r="G785" s="43" t="s">
        <v>2006</v>
      </c>
    </row>
    <row r="786" spans="1:7" x14ac:dyDescent="0.25">
      <c r="A786" s="40">
        <v>781</v>
      </c>
      <c r="B786" s="40" t="s">
        <v>1004</v>
      </c>
      <c r="C786" s="40" t="s">
        <v>167</v>
      </c>
      <c r="D786" s="40" t="s">
        <v>1968</v>
      </c>
      <c r="E786" s="40">
        <v>3</v>
      </c>
      <c r="F786" s="43" t="s">
        <v>45</v>
      </c>
      <c r="G786" s="43" t="s">
        <v>2006</v>
      </c>
    </row>
    <row r="787" spans="1:7" x14ac:dyDescent="0.25">
      <c r="A787" s="40">
        <v>782</v>
      </c>
      <c r="B787" s="40" t="s">
        <v>1005</v>
      </c>
      <c r="C787" s="40" t="s">
        <v>167</v>
      </c>
      <c r="D787" s="40" t="s">
        <v>1946</v>
      </c>
      <c r="E787" s="40">
        <v>3</v>
      </c>
      <c r="F787" s="43" t="s">
        <v>45</v>
      </c>
      <c r="G787" s="43" t="s">
        <v>179</v>
      </c>
    </row>
    <row r="788" spans="1:7" x14ac:dyDescent="0.25">
      <c r="A788" s="40">
        <v>783</v>
      </c>
      <c r="B788" s="40" t="s">
        <v>1006</v>
      </c>
      <c r="C788" s="40" t="s">
        <v>167</v>
      </c>
      <c r="D788" s="40" t="s">
        <v>185</v>
      </c>
      <c r="E788" s="40">
        <v>4</v>
      </c>
      <c r="F788" s="43" t="s">
        <v>45</v>
      </c>
      <c r="G788" s="43" t="s">
        <v>185</v>
      </c>
    </row>
    <row r="789" spans="1:7" x14ac:dyDescent="0.25">
      <c r="A789" s="40">
        <v>784</v>
      </c>
      <c r="B789" s="40" t="s">
        <v>1007</v>
      </c>
      <c r="C789" s="40" t="s">
        <v>168</v>
      </c>
      <c r="D789" s="40" t="s">
        <v>195</v>
      </c>
      <c r="E789" s="40">
        <v>5</v>
      </c>
      <c r="F789" s="43" t="s">
        <v>45</v>
      </c>
      <c r="G789" s="43" t="s">
        <v>2006</v>
      </c>
    </row>
    <row r="790" spans="1:7" x14ac:dyDescent="0.25">
      <c r="A790" s="40">
        <v>785</v>
      </c>
      <c r="B790" s="40" t="s">
        <v>1008</v>
      </c>
      <c r="C790" s="40" t="s">
        <v>168</v>
      </c>
      <c r="D790" s="40" t="s">
        <v>192</v>
      </c>
      <c r="E790" s="40">
        <v>5</v>
      </c>
      <c r="F790" s="43" t="s">
        <v>45</v>
      </c>
      <c r="G790" s="43" t="s">
        <v>192</v>
      </c>
    </row>
    <row r="791" spans="1:7" x14ac:dyDescent="0.25">
      <c r="A791" s="40">
        <v>786</v>
      </c>
      <c r="B791" s="40" t="s">
        <v>1009</v>
      </c>
      <c r="C791" s="40" t="s">
        <v>167</v>
      </c>
      <c r="D791" s="40" t="s">
        <v>1942</v>
      </c>
      <c r="E791" s="40">
        <v>4</v>
      </c>
      <c r="F791" s="43" t="s">
        <v>45</v>
      </c>
      <c r="G791" s="43" t="s">
        <v>184</v>
      </c>
    </row>
    <row r="792" spans="1:7" x14ac:dyDescent="0.25">
      <c r="A792" s="40">
        <v>787</v>
      </c>
      <c r="B792" s="40" t="s">
        <v>1010</v>
      </c>
      <c r="C792" s="40" t="s">
        <v>167</v>
      </c>
      <c r="D792" s="40" t="s">
        <v>1962</v>
      </c>
      <c r="E792" s="40">
        <v>8</v>
      </c>
      <c r="F792" s="43" t="s">
        <v>45</v>
      </c>
      <c r="G792" s="43" t="s">
        <v>179</v>
      </c>
    </row>
    <row r="793" spans="1:7" x14ac:dyDescent="0.25">
      <c r="A793" s="40">
        <v>788</v>
      </c>
      <c r="B793" s="40" t="s">
        <v>1011</v>
      </c>
      <c r="C793" s="40" t="s">
        <v>167</v>
      </c>
      <c r="D793" s="40" t="s">
        <v>1968</v>
      </c>
      <c r="E793" s="40">
        <v>5</v>
      </c>
      <c r="F793" s="43" t="s">
        <v>45</v>
      </c>
      <c r="G793" s="43" t="s">
        <v>2006</v>
      </c>
    </row>
    <row r="794" spans="1:7" x14ac:dyDescent="0.25">
      <c r="A794" s="40">
        <v>789</v>
      </c>
      <c r="B794" s="40" t="s">
        <v>1012</v>
      </c>
      <c r="C794" s="40" t="s">
        <v>168</v>
      </c>
      <c r="D794" s="40" t="s">
        <v>193</v>
      </c>
      <c r="E794" s="40">
        <v>1</v>
      </c>
      <c r="F794" s="43" t="s">
        <v>45</v>
      </c>
      <c r="G794" s="43" t="s">
        <v>1985</v>
      </c>
    </row>
    <row r="795" spans="1:7" x14ac:dyDescent="0.25">
      <c r="A795" s="40">
        <v>790</v>
      </c>
      <c r="B795" s="40" t="s">
        <v>1013</v>
      </c>
      <c r="C795" s="40" t="s">
        <v>168</v>
      </c>
      <c r="D795" s="40" t="s">
        <v>1934</v>
      </c>
      <c r="E795" s="40">
        <v>9</v>
      </c>
      <c r="F795" s="43" t="s">
        <v>45</v>
      </c>
      <c r="G795" s="43" t="s">
        <v>182</v>
      </c>
    </row>
    <row r="796" spans="1:7" x14ac:dyDescent="0.25">
      <c r="A796" s="40">
        <v>791</v>
      </c>
      <c r="B796" s="40" t="s">
        <v>1014</v>
      </c>
      <c r="C796" s="40" t="s">
        <v>168</v>
      </c>
      <c r="D796" s="40" t="s">
        <v>192</v>
      </c>
      <c r="E796" s="40">
        <v>8</v>
      </c>
      <c r="F796" s="43" t="s">
        <v>45</v>
      </c>
      <c r="G796" s="43" t="s">
        <v>169</v>
      </c>
    </row>
    <row r="797" spans="1:7" x14ac:dyDescent="0.25">
      <c r="A797" s="40">
        <v>792</v>
      </c>
      <c r="B797" s="40" t="s">
        <v>1015</v>
      </c>
      <c r="C797" s="40" t="s">
        <v>167</v>
      </c>
      <c r="D797" s="40" t="s">
        <v>181</v>
      </c>
      <c r="E797" s="40">
        <v>8</v>
      </c>
      <c r="F797" s="43" t="s">
        <v>45</v>
      </c>
      <c r="G797" s="43" t="s">
        <v>181</v>
      </c>
    </row>
    <row r="798" spans="1:7" x14ac:dyDescent="0.25">
      <c r="A798" s="40">
        <v>793</v>
      </c>
      <c r="B798" s="40" t="s">
        <v>1016</v>
      </c>
      <c r="C798" s="40" t="s">
        <v>168</v>
      </c>
      <c r="E798" s="40">
        <v>2</v>
      </c>
      <c r="F798" s="43" t="s">
        <v>51</v>
      </c>
    </row>
    <row r="799" spans="1:7" x14ac:dyDescent="0.25">
      <c r="A799" s="40">
        <v>794</v>
      </c>
      <c r="B799" s="40" t="s">
        <v>1017</v>
      </c>
      <c r="C799" s="40" t="s">
        <v>167</v>
      </c>
      <c r="D799" s="40" t="s">
        <v>1939</v>
      </c>
      <c r="E799" s="40">
        <v>8</v>
      </c>
      <c r="F799" s="43" t="s">
        <v>45</v>
      </c>
      <c r="G799" s="43" t="s">
        <v>172</v>
      </c>
    </row>
    <row r="800" spans="1:7" x14ac:dyDescent="0.25">
      <c r="A800" s="40">
        <v>795</v>
      </c>
      <c r="B800" s="40" t="s">
        <v>1018</v>
      </c>
      <c r="C800" s="40" t="s">
        <v>168</v>
      </c>
      <c r="D800" s="40" t="s">
        <v>192</v>
      </c>
      <c r="E800" s="40">
        <v>12</v>
      </c>
      <c r="F800" s="43" t="s">
        <v>45</v>
      </c>
      <c r="G800" s="43" t="s">
        <v>192</v>
      </c>
    </row>
    <row r="801" spans="1:7" x14ac:dyDescent="0.25">
      <c r="A801" s="40">
        <v>796</v>
      </c>
      <c r="B801" s="40" t="s">
        <v>1019</v>
      </c>
      <c r="C801" s="40" t="s">
        <v>168</v>
      </c>
      <c r="D801" s="40" t="s">
        <v>178</v>
      </c>
      <c r="E801" s="40">
        <v>4</v>
      </c>
      <c r="F801" s="43" t="s">
        <v>45</v>
      </c>
      <c r="G801" s="43" t="s">
        <v>178</v>
      </c>
    </row>
    <row r="802" spans="1:7" x14ac:dyDescent="0.25">
      <c r="A802" s="40">
        <v>797</v>
      </c>
      <c r="B802" s="40" t="s">
        <v>1020</v>
      </c>
      <c r="C802" s="40" t="s">
        <v>167</v>
      </c>
      <c r="D802" s="40" t="s">
        <v>1942</v>
      </c>
      <c r="E802" s="40">
        <v>5</v>
      </c>
      <c r="F802" s="43" t="s">
        <v>45</v>
      </c>
      <c r="G802" s="43" t="s">
        <v>184</v>
      </c>
    </row>
    <row r="803" spans="1:7" x14ac:dyDescent="0.25">
      <c r="A803" s="40">
        <v>798</v>
      </c>
      <c r="B803" s="40" t="s">
        <v>1021</v>
      </c>
      <c r="C803" s="40" t="s">
        <v>167</v>
      </c>
      <c r="D803" s="40" t="s">
        <v>180</v>
      </c>
      <c r="E803" s="40">
        <v>5</v>
      </c>
      <c r="F803" s="43" t="s">
        <v>45</v>
      </c>
      <c r="G803" s="43" t="s">
        <v>184</v>
      </c>
    </row>
    <row r="804" spans="1:7" x14ac:dyDescent="0.25">
      <c r="A804" s="40">
        <v>799</v>
      </c>
      <c r="B804" s="40" t="s">
        <v>1022</v>
      </c>
      <c r="C804" s="40" t="s">
        <v>167</v>
      </c>
      <c r="D804" s="40" t="s">
        <v>178</v>
      </c>
      <c r="E804" s="40">
        <v>7</v>
      </c>
      <c r="F804" s="43" t="s">
        <v>45</v>
      </c>
      <c r="G804" s="43" t="s">
        <v>178</v>
      </c>
    </row>
    <row r="805" spans="1:7" x14ac:dyDescent="0.25">
      <c r="A805" s="40">
        <v>800</v>
      </c>
      <c r="B805" s="40" t="s">
        <v>1023</v>
      </c>
      <c r="C805" s="40" t="s">
        <v>167</v>
      </c>
      <c r="D805" s="40" t="s">
        <v>1956</v>
      </c>
      <c r="E805" s="40">
        <v>2</v>
      </c>
      <c r="F805" s="43" t="s">
        <v>45</v>
      </c>
      <c r="G805" s="43" t="s">
        <v>1984</v>
      </c>
    </row>
    <row r="806" spans="1:7" x14ac:dyDescent="0.25">
      <c r="A806" s="40">
        <v>801</v>
      </c>
      <c r="B806" s="40" t="s">
        <v>1024</v>
      </c>
      <c r="C806" s="40" t="s">
        <v>168</v>
      </c>
      <c r="D806" s="40" t="s">
        <v>1962</v>
      </c>
      <c r="E806" s="40">
        <v>5</v>
      </c>
      <c r="F806" s="43" t="s">
        <v>45</v>
      </c>
      <c r="G806" s="43" t="s">
        <v>179</v>
      </c>
    </row>
    <row r="807" spans="1:7" x14ac:dyDescent="0.25">
      <c r="A807" s="40">
        <v>802</v>
      </c>
      <c r="B807" s="40" t="s">
        <v>1025</v>
      </c>
      <c r="C807" s="40" t="s">
        <v>167</v>
      </c>
      <c r="D807" s="40" t="s">
        <v>178</v>
      </c>
      <c r="E807" s="40">
        <v>5</v>
      </c>
      <c r="F807" s="43" t="s">
        <v>45</v>
      </c>
      <c r="G807" s="43" t="s">
        <v>178</v>
      </c>
    </row>
    <row r="808" spans="1:7" x14ac:dyDescent="0.25">
      <c r="A808" s="40">
        <v>803</v>
      </c>
      <c r="B808" s="40" t="s">
        <v>1026</v>
      </c>
      <c r="C808" s="40" t="s">
        <v>167</v>
      </c>
      <c r="D808" s="40" t="s">
        <v>180</v>
      </c>
      <c r="E808" s="40">
        <v>3</v>
      </c>
      <c r="F808" s="43" t="s">
        <v>45</v>
      </c>
      <c r="G808" s="43" t="s">
        <v>180</v>
      </c>
    </row>
    <row r="809" spans="1:7" x14ac:dyDescent="0.25">
      <c r="A809" s="40">
        <v>804</v>
      </c>
      <c r="B809" s="40" t="s">
        <v>1027</v>
      </c>
      <c r="C809" s="40" t="s">
        <v>168</v>
      </c>
      <c r="D809" s="40" t="s">
        <v>1932</v>
      </c>
      <c r="E809" s="40">
        <v>14</v>
      </c>
      <c r="F809" s="43" t="s">
        <v>45</v>
      </c>
      <c r="G809" s="43" t="s">
        <v>1980</v>
      </c>
    </row>
    <row r="810" spans="1:7" x14ac:dyDescent="0.25">
      <c r="A810" s="40">
        <v>805</v>
      </c>
      <c r="B810" s="40" t="s">
        <v>1028</v>
      </c>
      <c r="C810" s="40" t="s">
        <v>167</v>
      </c>
      <c r="D810" s="40" t="s">
        <v>1944</v>
      </c>
      <c r="E810" s="40">
        <v>7</v>
      </c>
      <c r="F810" s="43" t="s">
        <v>45</v>
      </c>
      <c r="G810" s="43" t="s">
        <v>183</v>
      </c>
    </row>
    <row r="811" spans="1:7" x14ac:dyDescent="0.25">
      <c r="A811" s="40">
        <v>806</v>
      </c>
      <c r="B811" s="40" t="s">
        <v>1029</v>
      </c>
      <c r="C811" s="40" t="s">
        <v>168</v>
      </c>
      <c r="D811" s="40" t="s">
        <v>178</v>
      </c>
      <c r="E811" s="40">
        <v>5</v>
      </c>
      <c r="F811" s="43" t="s">
        <v>45</v>
      </c>
      <c r="G811" s="43" t="s">
        <v>178</v>
      </c>
    </row>
    <row r="812" spans="1:7" x14ac:dyDescent="0.25">
      <c r="A812" s="40">
        <v>807</v>
      </c>
      <c r="B812" s="40" t="s">
        <v>1030</v>
      </c>
      <c r="C812" s="40" t="s">
        <v>167</v>
      </c>
      <c r="D812" s="40" t="s">
        <v>181</v>
      </c>
      <c r="E812" s="40">
        <v>10</v>
      </c>
      <c r="F812" s="43" t="s">
        <v>45</v>
      </c>
      <c r="G812" s="43" t="s">
        <v>181</v>
      </c>
    </row>
    <row r="813" spans="1:7" x14ac:dyDescent="0.25">
      <c r="A813" s="40">
        <v>808</v>
      </c>
      <c r="B813" s="40" t="s">
        <v>1031</v>
      </c>
      <c r="C813" s="40" t="s">
        <v>167</v>
      </c>
      <c r="D813" s="40" t="s">
        <v>1944</v>
      </c>
      <c r="E813" s="40">
        <v>8</v>
      </c>
      <c r="F813" s="43" t="s">
        <v>45</v>
      </c>
      <c r="G813" s="43" t="s">
        <v>183</v>
      </c>
    </row>
    <row r="814" spans="1:7" x14ac:dyDescent="0.25">
      <c r="A814" s="40">
        <v>809</v>
      </c>
      <c r="B814" s="40" t="s">
        <v>1032</v>
      </c>
      <c r="C814" s="40" t="s">
        <v>168</v>
      </c>
      <c r="D814" s="40" t="s">
        <v>1944</v>
      </c>
      <c r="E814" s="40">
        <v>6</v>
      </c>
      <c r="F814" s="43" t="s">
        <v>45</v>
      </c>
      <c r="G814" s="43" t="s">
        <v>183</v>
      </c>
    </row>
    <row r="815" spans="1:7" x14ac:dyDescent="0.25">
      <c r="A815" s="40">
        <v>810</v>
      </c>
      <c r="B815" s="40" t="s">
        <v>1033</v>
      </c>
      <c r="C815" s="40" t="s">
        <v>168</v>
      </c>
      <c r="D815" s="40" t="s">
        <v>178</v>
      </c>
      <c r="E815" s="40">
        <v>7</v>
      </c>
      <c r="F815" s="43" t="s">
        <v>45</v>
      </c>
      <c r="G815" s="43" t="s">
        <v>178</v>
      </c>
    </row>
    <row r="816" spans="1:7" x14ac:dyDescent="0.25">
      <c r="A816" s="40">
        <v>811</v>
      </c>
      <c r="B816" s="40" t="s">
        <v>1034</v>
      </c>
      <c r="C816" s="40" t="s">
        <v>167</v>
      </c>
      <c r="D816" s="40" t="s">
        <v>1967</v>
      </c>
      <c r="E816" s="40">
        <v>7</v>
      </c>
      <c r="F816" s="43" t="s">
        <v>45</v>
      </c>
      <c r="G816" s="43" t="s">
        <v>172</v>
      </c>
    </row>
    <row r="817" spans="1:7" x14ac:dyDescent="0.25">
      <c r="A817" s="40">
        <v>812</v>
      </c>
      <c r="B817" s="40" t="s">
        <v>1035</v>
      </c>
      <c r="C817" s="40" t="s">
        <v>168</v>
      </c>
      <c r="D817" s="40" t="s">
        <v>193</v>
      </c>
      <c r="E817" s="40">
        <v>1</v>
      </c>
      <c r="F817" s="43" t="s">
        <v>45</v>
      </c>
      <c r="G817" s="43" t="s">
        <v>169</v>
      </c>
    </row>
    <row r="818" spans="1:7" x14ac:dyDescent="0.25">
      <c r="A818" s="40">
        <v>813</v>
      </c>
      <c r="B818" s="40" t="s">
        <v>1036</v>
      </c>
      <c r="C818" s="40" t="s">
        <v>167</v>
      </c>
      <c r="D818" s="40" t="s">
        <v>193</v>
      </c>
      <c r="E818" s="40">
        <v>4</v>
      </c>
      <c r="F818" s="43" t="s">
        <v>45</v>
      </c>
      <c r="G818" s="43" t="s">
        <v>1985</v>
      </c>
    </row>
    <row r="819" spans="1:7" x14ac:dyDescent="0.25">
      <c r="A819" s="40">
        <v>814</v>
      </c>
      <c r="B819" s="40" t="s">
        <v>1037</v>
      </c>
      <c r="C819" s="40" t="s">
        <v>168</v>
      </c>
      <c r="D819" s="40" t="s">
        <v>1937</v>
      </c>
      <c r="E819" s="40">
        <v>7</v>
      </c>
      <c r="F819" s="43" t="s">
        <v>45</v>
      </c>
      <c r="G819" s="43" t="s">
        <v>174</v>
      </c>
    </row>
    <row r="820" spans="1:7" x14ac:dyDescent="0.25">
      <c r="A820" s="40">
        <v>815</v>
      </c>
      <c r="B820" s="40" t="s">
        <v>1038</v>
      </c>
      <c r="C820" s="40" t="s">
        <v>167</v>
      </c>
      <c r="D820" s="40" t="s">
        <v>1962</v>
      </c>
      <c r="E820" s="40">
        <v>11</v>
      </c>
      <c r="F820" s="43" t="s">
        <v>45</v>
      </c>
      <c r="G820" s="43" t="s">
        <v>179</v>
      </c>
    </row>
    <row r="821" spans="1:7" x14ac:dyDescent="0.25">
      <c r="A821" s="40">
        <v>816</v>
      </c>
      <c r="B821" s="40" t="s">
        <v>1039</v>
      </c>
      <c r="C821" s="40" t="s">
        <v>168</v>
      </c>
      <c r="D821" s="40" t="s">
        <v>181</v>
      </c>
      <c r="E821" s="40">
        <v>3</v>
      </c>
      <c r="F821" s="43" t="s">
        <v>45</v>
      </c>
      <c r="G821" s="43" t="s">
        <v>179</v>
      </c>
    </row>
    <row r="822" spans="1:7" x14ac:dyDescent="0.25">
      <c r="A822" s="40">
        <v>817</v>
      </c>
      <c r="B822" s="40" t="s">
        <v>1040</v>
      </c>
      <c r="C822" s="40" t="s">
        <v>168</v>
      </c>
      <c r="D822" s="40" t="s">
        <v>178</v>
      </c>
      <c r="E822" s="40">
        <v>9</v>
      </c>
      <c r="F822" s="43" t="s">
        <v>45</v>
      </c>
      <c r="G822" s="43" t="s">
        <v>178</v>
      </c>
    </row>
    <row r="823" spans="1:7" x14ac:dyDescent="0.25">
      <c r="A823" s="40">
        <v>818</v>
      </c>
      <c r="B823" s="40" t="s">
        <v>1041</v>
      </c>
      <c r="C823" s="40" t="s">
        <v>167</v>
      </c>
      <c r="D823" s="40" t="s">
        <v>193</v>
      </c>
      <c r="E823" s="40">
        <v>3</v>
      </c>
      <c r="F823" s="43" t="s">
        <v>45</v>
      </c>
      <c r="G823" s="43" t="s">
        <v>1986</v>
      </c>
    </row>
    <row r="824" spans="1:7" x14ac:dyDescent="0.25">
      <c r="A824" s="40">
        <v>819</v>
      </c>
      <c r="B824" s="40" t="s">
        <v>1042</v>
      </c>
      <c r="C824" s="40" t="s">
        <v>167</v>
      </c>
      <c r="D824" s="40" t="s">
        <v>178</v>
      </c>
      <c r="E824" s="40">
        <v>3</v>
      </c>
      <c r="F824" s="43" t="s">
        <v>45</v>
      </c>
      <c r="G824" s="43" t="s">
        <v>178</v>
      </c>
    </row>
    <row r="825" spans="1:7" x14ac:dyDescent="0.25">
      <c r="A825" s="40">
        <v>820</v>
      </c>
      <c r="B825" s="40" t="s">
        <v>1043</v>
      </c>
      <c r="C825" s="40" t="s">
        <v>168</v>
      </c>
      <c r="D825" s="40" t="s">
        <v>193</v>
      </c>
      <c r="E825" s="40">
        <v>8</v>
      </c>
      <c r="F825" s="43" t="s">
        <v>45</v>
      </c>
      <c r="G825" s="43" t="s">
        <v>1986</v>
      </c>
    </row>
    <row r="826" spans="1:7" x14ac:dyDescent="0.25">
      <c r="A826" s="40">
        <v>821</v>
      </c>
      <c r="B826" s="40" t="s">
        <v>1044</v>
      </c>
      <c r="C826" s="40" t="s">
        <v>167</v>
      </c>
      <c r="D826" s="40" t="s">
        <v>181</v>
      </c>
      <c r="E826" s="40">
        <v>5</v>
      </c>
      <c r="F826" s="43" t="s">
        <v>45</v>
      </c>
      <c r="G826" s="43" t="s">
        <v>181</v>
      </c>
    </row>
    <row r="827" spans="1:7" x14ac:dyDescent="0.25">
      <c r="A827" s="40">
        <v>822</v>
      </c>
      <c r="B827" s="40" t="s">
        <v>1045</v>
      </c>
      <c r="C827" s="40" t="s">
        <v>167</v>
      </c>
      <c r="D827" s="40" t="s">
        <v>1967</v>
      </c>
      <c r="E827" s="40">
        <v>8</v>
      </c>
      <c r="F827" s="43" t="s">
        <v>45</v>
      </c>
      <c r="G827" s="43" t="s">
        <v>172</v>
      </c>
    </row>
    <row r="828" spans="1:7" x14ac:dyDescent="0.25">
      <c r="A828" s="40">
        <v>823</v>
      </c>
      <c r="B828" s="40" t="s">
        <v>1046</v>
      </c>
      <c r="C828" s="40" t="s">
        <v>168</v>
      </c>
      <c r="D828" s="40" t="s">
        <v>180</v>
      </c>
      <c r="E828" s="40">
        <v>4</v>
      </c>
      <c r="F828" s="43" t="s">
        <v>45</v>
      </c>
      <c r="G828" s="43" t="s">
        <v>180</v>
      </c>
    </row>
    <row r="829" spans="1:7" x14ac:dyDescent="0.25">
      <c r="A829" s="40">
        <v>824</v>
      </c>
      <c r="B829" s="40" t="s">
        <v>1047</v>
      </c>
      <c r="C829" s="40" t="s">
        <v>167</v>
      </c>
      <c r="D829" s="40" t="s">
        <v>1932</v>
      </c>
      <c r="E829" s="40">
        <v>8</v>
      </c>
      <c r="F829" s="43" t="s">
        <v>45</v>
      </c>
      <c r="G829" s="43" t="s">
        <v>1980</v>
      </c>
    </row>
    <row r="830" spans="1:7" x14ac:dyDescent="0.25">
      <c r="A830" s="40">
        <v>825</v>
      </c>
      <c r="B830" s="40" t="s">
        <v>1048</v>
      </c>
      <c r="C830" s="40" t="s">
        <v>168</v>
      </c>
      <c r="D830" s="40" t="s">
        <v>178</v>
      </c>
      <c r="E830" s="40">
        <v>6</v>
      </c>
      <c r="F830" s="43" t="s">
        <v>45</v>
      </c>
      <c r="G830" s="43" t="s">
        <v>178</v>
      </c>
    </row>
    <row r="831" spans="1:7" x14ac:dyDescent="0.25">
      <c r="A831" s="40">
        <v>826</v>
      </c>
      <c r="B831" s="40" t="s">
        <v>1049</v>
      </c>
      <c r="C831" s="40" t="s">
        <v>168</v>
      </c>
      <c r="D831" s="40" t="s">
        <v>1944</v>
      </c>
      <c r="E831" s="40">
        <v>2</v>
      </c>
      <c r="F831" s="43" t="s">
        <v>45</v>
      </c>
      <c r="G831" s="43" t="s">
        <v>183</v>
      </c>
    </row>
    <row r="832" spans="1:7" x14ac:dyDescent="0.25">
      <c r="A832" s="40">
        <v>827</v>
      </c>
      <c r="B832" s="40" t="s">
        <v>1050</v>
      </c>
      <c r="C832" s="40" t="s">
        <v>168</v>
      </c>
      <c r="D832" s="40" t="s">
        <v>180</v>
      </c>
      <c r="E832" s="40">
        <v>3</v>
      </c>
      <c r="F832" s="43" t="s">
        <v>45</v>
      </c>
      <c r="G832" s="43" t="s">
        <v>180</v>
      </c>
    </row>
    <row r="833" spans="1:7" x14ac:dyDescent="0.25">
      <c r="A833" s="40">
        <v>828</v>
      </c>
      <c r="B833" s="40" t="s">
        <v>1051</v>
      </c>
      <c r="C833" s="40" t="s">
        <v>167</v>
      </c>
      <c r="D833" s="40" t="s">
        <v>1932</v>
      </c>
      <c r="E833" s="40">
        <v>6</v>
      </c>
      <c r="F833" s="43" t="s">
        <v>45</v>
      </c>
      <c r="G833" s="43" t="s">
        <v>1980</v>
      </c>
    </row>
    <row r="834" spans="1:7" x14ac:dyDescent="0.25">
      <c r="A834" s="40">
        <v>829</v>
      </c>
      <c r="B834" s="40" t="s">
        <v>1052</v>
      </c>
      <c r="C834" s="40" t="s">
        <v>168</v>
      </c>
      <c r="D834" s="40" t="s">
        <v>1972</v>
      </c>
      <c r="E834" s="40">
        <v>4</v>
      </c>
      <c r="F834" s="43" t="s">
        <v>45</v>
      </c>
      <c r="G834" s="43" t="s">
        <v>2006</v>
      </c>
    </row>
    <row r="835" spans="1:7" x14ac:dyDescent="0.25">
      <c r="A835" s="40">
        <v>830</v>
      </c>
      <c r="B835" s="40" t="s">
        <v>1053</v>
      </c>
      <c r="C835" s="40" t="s">
        <v>167</v>
      </c>
      <c r="D835" s="40" t="s">
        <v>1934</v>
      </c>
      <c r="E835" s="40">
        <v>5</v>
      </c>
      <c r="F835" s="43" t="s">
        <v>45</v>
      </c>
      <c r="G835" s="43" t="s">
        <v>182</v>
      </c>
    </row>
    <row r="836" spans="1:7" x14ac:dyDescent="0.25">
      <c r="A836" s="40">
        <v>831</v>
      </c>
      <c r="B836" s="40" t="s">
        <v>1054</v>
      </c>
      <c r="C836" s="40" t="s">
        <v>168</v>
      </c>
      <c r="D836" s="40" t="s">
        <v>198</v>
      </c>
      <c r="E836" s="40">
        <v>13</v>
      </c>
      <c r="F836" s="43" t="s">
        <v>45</v>
      </c>
      <c r="G836" s="43" t="s">
        <v>187</v>
      </c>
    </row>
    <row r="837" spans="1:7" x14ac:dyDescent="0.25">
      <c r="A837" s="40">
        <v>832</v>
      </c>
      <c r="B837" s="40" t="s">
        <v>1055</v>
      </c>
      <c r="C837" s="40" t="s">
        <v>167</v>
      </c>
      <c r="D837" s="40" t="s">
        <v>195</v>
      </c>
      <c r="E837" s="40">
        <v>9</v>
      </c>
      <c r="F837" s="43" t="s">
        <v>45</v>
      </c>
      <c r="G837" s="43" t="s">
        <v>2006</v>
      </c>
    </row>
    <row r="838" spans="1:7" x14ac:dyDescent="0.25">
      <c r="A838" s="40">
        <v>833</v>
      </c>
      <c r="B838" s="40" t="s">
        <v>1056</v>
      </c>
      <c r="C838" s="40" t="s">
        <v>167</v>
      </c>
      <c r="D838" s="40" t="s">
        <v>1951</v>
      </c>
      <c r="E838" s="40">
        <v>4</v>
      </c>
      <c r="F838" s="43" t="s">
        <v>45</v>
      </c>
      <c r="G838" s="43" t="s">
        <v>185</v>
      </c>
    </row>
    <row r="839" spans="1:7" x14ac:dyDescent="0.25">
      <c r="A839" s="40">
        <v>834</v>
      </c>
      <c r="B839" s="40" t="s">
        <v>1057</v>
      </c>
      <c r="C839" s="40" t="s">
        <v>167</v>
      </c>
      <c r="D839" s="40" t="s">
        <v>1938</v>
      </c>
      <c r="E839" s="40">
        <v>3</v>
      </c>
      <c r="F839" s="43" t="s">
        <v>45</v>
      </c>
      <c r="G839" s="43" t="s">
        <v>190</v>
      </c>
    </row>
    <row r="840" spans="1:7" x14ac:dyDescent="0.25">
      <c r="A840" s="40">
        <v>835</v>
      </c>
      <c r="B840" s="40" t="s">
        <v>1058</v>
      </c>
      <c r="C840" s="40" t="s">
        <v>167</v>
      </c>
      <c r="D840" s="40" t="s">
        <v>1946</v>
      </c>
      <c r="E840" s="40">
        <v>3</v>
      </c>
      <c r="F840" s="43" t="s">
        <v>45</v>
      </c>
      <c r="G840" s="43" t="s">
        <v>179</v>
      </c>
    </row>
    <row r="841" spans="1:7" x14ac:dyDescent="0.25">
      <c r="A841" s="40">
        <v>836</v>
      </c>
      <c r="B841" s="40" t="s">
        <v>1059</v>
      </c>
      <c r="C841" s="40" t="s">
        <v>167</v>
      </c>
      <c r="D841" s="40" t="s">
        <v>1968</v>
      </c>
      <c r="E841" s="40">
        <v>5</v>
      </c>
      <c r="F841" s="43" t="s">
        <v>45</v>
      </c>
      <c r="G841" s="43" t="s">
        <v>2006</v>
      </c>
    </row>
    <row r="842" spans="1:7" x14ac:dyDescent="0.25">
      <c r="A842" s="40">
        <v>837</v>
      </c>
      <c r="B842" s="40" t="s">
        <v>1060</v>
      </c>
      <c r="C842" s="40" t="s">
        <v>167</v>
      </c>
      <c r="D842" s="40" t="s">
        <v>1968</v>
      </c>
      <c r="E842" s="40">
        <v>6</v>
      </c>
      <c r="F842" s="43" t="s">
        <v>45</v>
      </c>
      <c r="G842" s="43" t="s">
        <v>2006</v>
      </c>
    </row>
    <row r="843" spans="1:7" x14ac:dyDescent="0.25">
      <c r="A843" s="40">
        <v>838</v>
      </c>
      <c r="B843" s="40" t="s">
        <v>1061</v>
      </c>
      <c r="C843" s="40" t="s">
        <v>167</v>
      </c>
      <c r="D843" s="40" t="s">
        <v>1939</v>
      </c>
      <c r="E843" s="40">
        <v>7</v>
      </c>
      <c r="F843" s="43" t="s">
        <v>45</v>
      </c>
      <c r="G843" s="43" t="s">
        <v>172</v>
      </c>
    </row>
    <row r="844" spans="1:7" x14ac:dyDescent="0.25">
      <c r="A844" s="40">
        <v>839</v>
      </c>
      <c r="B844" s="40" t="s">
        <v>1062</v>
      </c>
      <c r="C844" s="40" t="s">
        <v>168</v>
      </c>
      <c r="D844" s="40" t="s">
        <v>1972</v>
      </c>
      <c r="E844" s="40">
        <v>9</v>
      </c>
      <c r="F844" s="43" t="s">
        <v>45</v>
      </c>
      <c r="G844" s="43" t="s">
        <v>2006</v>
      </c>
    </row>
    <row r="845" spans="1:7" x14ac:dyDescent="0.25">
      <c r="A845" s="40">
        <v>840</v>
      </c>
      <c r="B845" s="40" t="s">
        <v>1063</v>
      </c>
      <c r="C845" s="40" t="s">
        <v>168</v>
      </c>
      <c r="D845" s="40" t="s">
        <v>1942</v>
      </c>
      <c r="E845" s="40">
        <v>6</v>
      </c>
      <c r="F845" s="43" t="s">
        <v>45</v>
      </c>
      <c r="G845" s="43" t="s">
        <v>184</v>
      </c>
    </row>
    <row r="846" spans="1:7" x14ac:dyDescent="0.25">
      <c r="A846" s="40">
        <v>841</v>
      </c>
      <c r="B846" s="40" t="s">
        <v>1064</v>
      </c>
      <c r="C846" s="40" t="s">
        <v>168</v>
      </c>
      <c r="D846" s="40" t="s">
        <v>2005</v>
      </c>
      <c r="E846" s="40">
        <v>5</v>
      </c>
      <c r="F846" s="43" t="s">
        <v>45</v>
      </c>
      <c r="G846" s="43" t="s">
        <v>2006</v>
      </c>
    </row>
    <row r="847" spans="1:7" x14ac:dyDescent="0.25">
      <c r="A847" s="40">
        <v>842</v>
      </c>
      <c r="B847" s="40" t="s">
        <v>1065</v>
      </c>
      <c r="C847" s="40" t="s">
        <v>168</v>
      </c>
      <c r="D847" s="40" t="s">
        <v>174</v>
      </c>
      <c r="E847" s="40">
        <v>8</v>
      </c>
      <c r="F847" s="43" t="s">
        <v>45</v>
      </c>
      <c r="G847" s="43" t="s">
        <v>174</v>
      </c>
    </row>
    <row r="848" spans="1:7" x14ac:dyDescent="0.25">
      <c r="A848" s="40">
        <v>843</v>
      </c>
      <c r="B848" s="40" t="s">
        <v>1066</v>
      </c>
      <c r="C848" s="40" t="s">
        <v>168</v>
      </c>
      <c r="D848" s="40" t="s">
        <v>1953</v>
      </c>
      <c r="E848" s="40">
        <v>8</v>
      </c>
      <c r="F848" s="43" t="s">
        <v>45</v>
      </c>
      <c r="G848" s="43" t="s">
        <v>180</v>
      </c>
    </row>
    <row r="849" spans="1:7" x14ac:dyDescent="0.25">
      <c r="A849" s="40">
        <v>844</v>
      </c>
      <c r="B849" s="40" t="s">
        <v>1067</v>
      </c>
      <c r="C849" s="40" t="s">
        <v>167</v>
      </c>
      <c r="D849" s="40" t="s">
        <v>2005</v>
      </c>
      <c r="E849" s="40">
        <v>7</v>
      </c>
      <c r="F849" s="43" t="s">
        <v>45</v>
      </c>
      <c r="G849" s="43" t="s">
        <v>2006</v>
      </c>
    </row>
    <row r="850" spans="1:7" x14ac:dyDescent="0.25">
      <c r="A850" s="40">
        <v>845</v>
      </c>
      <c r="B850" s="40" t="s">
        <v>1068</v>
      </c>
      <c r="C850" s="40" t="s">
        <v>168</v>
      </c>
      <c r="D850" s="40" t="s">
        <v>1971</v>
      </c>
      <c r="E850" s="40">
        <v>14</v>
      </c>
      <c r="F850" s="43" t="s">
        <v>45</v>
      </c>
      <c r="G850" s="43" t="s">
        <v>2006</v>
      </c>
    </row>
    <row r="851" spans="1:7" x14ac:dyDescent="0.25">
      <c r="A851" s="40">
        <v>846</v>
      </c>
      <c r="B851" s="40" t="s">
        <v>1069</v>
      </c>
      <c r="C851" s="40" t="s">
        <v>167</v>
      </c>
      <c r="D851" s="40" t="s">
        <v>176</v>
      </c>
      <c r="E851" s="40">
        <v>7</v>
      </c>
      <c r="F851" s="43" t="s">
        <v>45</v>
      </c>
      <c r="G851" s="43" t="s">
        <v>176</v>
      </c>
    </row>
    <row r="852" spans="1:7" x14ac:dyDescent="0.25">
      <c r="A852" s="40">
        <v>847</v>
      </c>
      <c r="B852" s="40" t="s">
        <v>1070</v>
      </c>
      <c r="C852" s="40" t="s">
        <v>167</v>
      </c>
      <c r="D852" s="40" t="s">
        <v>174</v>
      </c>
      <c r="E852" s="40">
        <v>4</v>
      </c>
      <c r="F852" s="43" t="s">
        <v>45</v>
      </c>
      <c r="G852" s="43" t="s">
        <v>174</v>
      </c>
    </row>
    <row r="853" spans="1:7" x14ac:dyDescent="0.25">
      <c r="A853" s="40">
        <v>848</v>
      </c>
      <c r="B853" s="40" t="s">
        <v>1071</v>
      </c>
      <c r="C853" s="40" t="s">
        <v>167</v>
      </c>
      <c r="D853" s="40" t="s">
        <v>1961</v>
      </c>
      <c r="E853" s="40">
        <v>4</v>
      </c>
      <c r="F853" s="43" t="s">
        <v>45</v>
      </c>
      <c r="G853" s="43" t="s">
        <v>175</v>
      </c>
    </row>
    <row r="854" spans="1:7" x14ac:dyDescent="0.25">
      <c r="A854" s="40">
        <v>849</v>
      </c>
      <c r="B854" s="40" t="s">
        <v>1072</v>
      </c>
      <c r="C854" s="40" t="s">
        <v>167</v>
      </c>
      <c r="D854" s="40" t="s">
        <v>1973</v>
      </c>
      <c r="E854" s="40">
        <v>6</v>
      </c>
      <c r="F854" s="43" t="s">
        <v>45</v>
      </c>
      <c r="G854" s="43" t="s">
        <v>175</v>
      </c>
    </row>
    <row r="855" spans="1:7" x14ac:dyDescent="0.25">
      <c r="A855" s="40">
        <v>850</v>
      </c>
      <c r="B855" s="40" t="s">
        <v>1073</v>
      </c>
      <c r="C855" s="40" t="s">
        <v>167</v>
      </c>
      <c r="D855" s="40" t="s">
        <v>1932</v>
      </c>
      <c r="E855" s="40">
        <v>5</v>
      </c>
      <c r="F855" s="43" t="s">
        <v>45</v>
      </c>
      <c r="G855" s="43" t="s">
        <v>1980</v>
      </c>
    </row>
    <row r="856" spans="1:7" x14ac:dyDescent="0.25">
      <c r="A856" s="40">
        <v>851</v>
      </c>
      <c r="B856" s="40" t="s">
        <v>1074</v>
      </c>
      <c r="C856" s="40" t="s">
        <v>167</v>
      </c>
      <c r="D856" s="40" t="s">
        <v>1962</v>
      </c>
      <c r="E856" s="40">
        <v>2</v>
      </c>
      <c r="F856" s="43" t="s">
        <v>45</v>
      </c>
      <c r="G856" s="43" t="s">
        <v>179</v>
      </c>
    </row>
    <row r="857" spans="1:7" x14ac:dyDescent="0.25">
      <c r="A857" s="40">
        <v>852</v>
      </c>
      <c r="B857" s="40" t="s">
        <v>1075</v>
      </c>
      <c r="C857" s="40" t="s">
        <v>168</v>
      </c>
      <c r="D857" s="40" t="s">
        <v>1934</v>
      </c>
      <c r="E857" s="40">
        <v>6</v>
      </c>
      <c r="F857" s="43" t="s">
        <v>45</v>
      </c>
      <c r="G857" s="43" t="s">
        <v>182</v>
      </c>
    </row>
    <row r="858" spans="1:7" x14ac:dyDescent="0.25">
      <c r="A858" s="40">
        <v>853</v>
      </c>
      <c r="B858" s="40" t="s">
        <v>1076</v>
      </c>
      <c r="C858" s="40" t="s">
        <v>167</v>
      </c>
      <c r="D858" s="40" t="s">
        <v>2007</v>
      </c>
      <c r="E858" s="40">
        <v>10</v>
      </c>
      <c r="F858" s="43" t="s">
        <v>45</v>
      </c>
      <c r="G858" s="43" t="s">
        <v>179</v>
      </c>
    </row>
    <row r="859" spans="1:7" x14ac:dyDescent="0.25">
      <c r="A859" s="40">
        <v>854</v>
      </c>
      <c r="B859" s="40" t="s">
        <v>1077</v>
      </c>
      <c r="C859" s="40" t="s">
        <v>167</v>
      </c>
      <c r="D859" s="40" t="s">
        <v>172</v>
      </c>
      <c r="E859" s="40">
        <v>15</v>
      </c>
      <c r="F859" s="43" t="s">
        <v>45</v>
      </c>
      <c r="G859" s="43" t="s">
        <v>172</v>
      </c>
    </row>
    <row r="860" spans="1:7" x14ac:dyDescent="0.25">
      <c r="A860" s="40">
        <v>855</v>
      </c>
      <c r="B860" s="40" t="s">
        <v>1078</v>
      </c>
      <c r="C860" s="40" t="s">
        <v>167</v>
      </c>
      <c r="D860" s="40" t="s">
        <v>1939</v>
      </c>
      <c r="E860" s="40">
        <v>5</v>
      </c>
      <c r="F860" s="43" t="s">
        <v>45</v>
      </c>
      <c r="G860" s="43" t="s">
        <v>172</v>
      </c>
    </row>
    <row r="861" spans="1:7" x14ac:dyDescent="0.25">
      <c r="A861" s="40">
        <v>856</v>
      </c>
      <c r="B861" s="40" t="s">
        <v>1079</v>
      </c>
      <c r="C861" s="40" t="s">
        <v>167</v>
      </c>
      <c r="D861" s="40" t="s">
        <v>1968</v>
      </c>
      <c r="E861" s="40">
        <v>12</v>
      </c>
      <c r="F861" s="43" t="s">
        <v>45</v>
      </c>
      <c r="G861" s="43" t="s">
        <v>2006</v>
      </c>
    </row>
    <row r="862" spans="1:7" x14ac:dyDescent="0.25">
      <c r="A862" s="40">
        <v>857</v>
      </c>
      <c r="B862" s="40" t="s">
        <v>1080</v>
      </c>
      <c r="C862" s="40" t="s">
        <v>168</v>
      </c>
      <c r="D862" s="40" t="s">
        <v>1934</v>
      </c>
      <c r="E862" s="40">
        <v>12</v>
      </c>
      <c r="F862" s="43" t="s">
        <v>45</v>
      </c>
      <c r="G862" s="43" t="s">
        <v>182</v>
      </c>
    </row>
    <row r="863" spans="1:7" x14ac:dyDescent="0.25">
      <c r="A863" s="40">
        <v>858</v>
      </c>
      <c r="B863" s="40" t="s">
        <v>1081</v>
      </c>
      <c r="C863" s="40" t="s">
        <v>168</v>
      </c>
      <c r="D863" s="40" t="s">
        <v>1964</v>
      </c>
      <c r="E863" s="40">
        <v>6</v>
      </c>
      <c r="F863" s="43" t="s">
        <v>45</v>
      </c>
      <c r="G863" s="43" t="s">
        <v>2006</v>
      </c>
    </row>
    <row r="864" spans="1:7" x14ac:dyDescent="0.25">
      <c r="A864" s="40">
        <v>859</v>
      </c>
      <c r="B864" s="40" t="s">
        <v>1082</v>
      </c>
      <c r="C864" s="40" t="s">
        <v>168</v>
      </c>
      <c r="D864" s="40" t="s">
        <v>1944</v>
      </c>
      <c r="E864" s="40">
        <v>10</v>
      </c>
      <c r="F864" s="43" t="s">
        <v>45</v>
      </c>
      <c r="G864" s="43" t="s">
        <v>183</v>
      </c>
    </row>
    <row r="865" spans="1:7" x14ac:dyDescent="0.25">
      <c r="A865" s="40">
        <v>860</v>
      </c>
      <c r="B865" s="40" t="s">
        <v>1083</v>
      </c>
      <c r="C865" s="40" t="s">
        <v>167</v>
      </c>
      <c r="D865" s="40" t="s">
        <v>1963</v>
      </c>
      <c r="E865" s="40">
        <v>8</v>
      </c>
      <c r="F865" s="43" t="s">
        <v>45</v>
      </c>
      <c r="G865" s="43" t="s">
        <v>191</v>
      </c>
    </row>
    <row r="866" spans="1:7" x14ac:dyDescent="0.25">
      <c r="A866" s="40">
        <v>861</v>
      </c>
      <c r="B866" s="40" t="s">
        <v>1084</v>
      </c>
      <c r="C866" s="40" t="s">
        <v>167</v>
      </c>
      <c r="D866" s="40" t="s">
        <v>1937</v>
      </c>
      <c r="E866" s="40">
        <v>6</v>
      </c>
      <c r="F866" s="43" t="s">
        <v>45</v>
      </c>
      <c r="G866" s="43" t="s">
        <v>174</v>
      </c>
    </row>
    <row r="867" spans="1:7" x14ac:dyDescent="0.25">
      <c r="A867" s="40">
        <v>862</v>
      </c>
      <c r="B867" s="40" t="s">
        <v>1085</v>
      </c>
      <c r="C867" s="40" t="s">
        <v>167</v>
      </c>
      <c r="D867" s="40" t="s">
        <v>180</v>
      </c>
      <c r="E867" s="40">
        <v>5</v>
      </c>
      <c r="F867" s="43" t="s">
        <v>45</v>
      </c>
      <c r="G867" s="43" t="s">
        <v>180</v>
      </c>
    </row>
    <row r="868" spans="1:7" x14ac:dyDescent="0.25">
      <c r="A868" s="40">
        <v>863</v>
      </c>
      <c r="B868" s="40" t="s">
        <v>1086</v>
      </c>
      <c r="C868" s="40" t="s">
        <v>168</v>
      </c>
      <c r="D868" s="40" t="s">
        <v>193</v>
      </c>
      <c r="E868" s="40">
        <v>3</v>
      </c>
      <c r="F868" s="43" t="s">
        <v>45</v>
      </c>
      <c r="G868" s="43" t="s">
        <v>169</v>
      </c>
    </row>
    <row r="869" spans="1:7" x14ac:dyDescent="0.25">
      <c r="A869" s="40">
        <v>864</v>
      </c>
      <c r="B869" s="40" t="s">
        <v>1087</v>
      </c>
      <c r="C869" s="40" t="s">
        <v>168</v>
      </c>
      <c r="D869" s="40" t="s">
        <v>1934</v>
      </c>
      <c r="E869" s="40">
        <v>10</v>
      </c>
      <c r="F869" s="43" t="s">
        <v>45</v>
      </c>
      <c r="G869" s="43" t="s">
        <v>1934</v>
      </c>
    </row>
    <row r="870" spans="1:7" x14ac:dyDescent="0.25">
      <c r="A870" s="40">
        <v>865</v>
      </c>
      <c r="B870" s="40" t="s">
        <v>1088</v>
      </c>
      <c r="C870" s="40" t="s">
        <v>168</v>
      </c>
      <c r="D870" s="40" t="s">
        <v>172</v>
      </c>
      <c r="E870" s="40">
        <v>6</v>
      </c>
      <c r="F870" s="43" t="s">
        <v>45</v>
      </c>
      <c r="G870" s="43" t="s">
        <v>172</v>
      </c>
    </row>
    <row r="871" spans="1:7" x14ac:dyDescent="0.25">
      <c r="A871" s="40">
        <v>866</v>
      </c>
      <c r="B871" s="40" t="s">
        <v>1089</v>
      </c>
      <c r="C871" s="40" t="s">
        <v>167</v>
      </c>
      <c r="D871" s="40" t="s">
        <v>180</v>
      </c>
      <c r="E871" s="40">
        <v>4</v>
      </c>
      <c r="F871" s="43" t="s">
        <v>45</v>
      </c>
      <c r="G871" s="43" t="s">
        <v>180</v>
      </c>
    </row>
    <row r="872" spans="1:7" x14ac:dyDescent="0.25">
      <c r="A872" s="40">
        <v>867</v>
      </c>
      <c r="B872" s="40" t="s">
        <v>1090</v>
      </c>
      <c r="C872" s="40" t="s">
        <v>168</v>
      </c>
      <c r="D872" s="40" t="s">
        <v>181</v>
      </c>
      <c r="E872" s="40">
        <v>7</v>
      </c>
      <c r="F872" s="43" t="s">
        <v>45</v>
      </c>
      <c r="G872" s="43" t="s">
        <v>181</v>
      </c>
    </row>
    <row r="873" spans="1:7" x14ac:dyDescent="0.25">
      <c r="A873" s="40">
        <v>868</v>
      </c>
      <c r="B873" s="40" t="s">
        <v>1091</v>
      </c>
      <c r="C873" s="40" t="s">
        <v>167</v>
      </c>
      <c r="D873" s="40" t="s">
        <v>180</v>
      </c>
      <c r="E873" s="40">
        <v>3</v>
      </c>
      <c r="F873" s="43" t="s">
        <v>45</v>
      </c>
      <c r="G873" s="43" t="s">
        <v>180</v>
      </c>
    </row>
    <row r="874" spans="1:7" x14ac:dyDescent="0.25">
      <c r="A874" s="40">
        <v>869</v>
      </c>
      <c r="B874" s="40" t="s">
        <v>1092</v>
      </c>
      <c r="C874" s="40" t="s">
        <v>167</v>
      </c>
      <c r="D874" s="40" t="s">
        <v>1932</v>
      </c>
      <c r="F874" s="43" t="s">
        <v>45</v>
      </c>
      <c r="G874" s="43" t="s">
        <v>1980</v>
      </c>
    </row>
    <row r="875" spans="1:7" x14ac:dyDescent="0.25">
      <c r="A875" s="40">
        <v>870</v>
      </c>
      <c r="B875" s="40" t="s">
        <v>1093</v>
      </c>
      <c r="C875" s="40" t="s">
        <v>167</v>
      </c>
      <c r="D875" s="40" t="s">
        <v>180</v>
      </c>
      <c r="E875" s="40">
        <v>4</v>
      </c>
      <c r="F875" s="43" t="s">
        <v>45</v>
      </c>
      <c r="G875" s="43" t="s">
        <v>180</v>
      </c>
    </row>
    <row r="876" spans="1:7" x14ac:dyDescent="0.25">
      <c r="A876" s="40">
        <v>871</v>
      </c>
      <c r="B876" s="40" t="s">
        <v>1094</v>
      </c>
      <c r="C876" s="40" t="s">
        <v>167</v>
      </c>
      <c r="D876" s="40" t="s">
        <v>1932</v>
      </c>
      <c r="E876" s="40">
        <v>4</v>
      </c>
      <c r="F876" s="43" t="s">
        <v>45</v>
      </c>
      <c r="G876" s="43" t="s">
        <v>1980</v>
      </c>
    </row>
    <row r="877" spans="1:7" x14ac:dyDescent="0.25">
      <c r="A877" s="40">
        <v>872</v>
      </c>
      <c r="B877" s="40" t="s">
        <v>1095</v>
      </c>
      <c r="C877" s="40" t="s">
        <v>168</v>
      </c>
      <c r="D877" s="40" t="s">
        <v>181</v>
      </c>
      <c r="E877" s="40">
        <v>13</v>
      </c>
      <c r="F877" s="43" t="s">
        <v>45</v>
      </c>
      <c r="G877" s="43" t="s">
        <v>181</v>
      </c>
    </row>
    <row r="878" spans="1:7" x14ac:dyDescent="0.25">
      <c r="A878" s="40">
        <v>873</v>
      </c>
      <c r="B878" s="40" t="s">
        <v>1096</v>
      </c>
      <c r="C878" s="40" t="s">
        <v>168</v>
      </c>
      <c r="D878" s="40" t="s">
        <v>1932</v>
      </c>
      <c r="E878" s="40">
        <v>8</v>
      </c>
      <c r="F878" s="43" t="s">
        <v>45</v>
      </c>
      <c r="G878" s="43" t="s">
        <v>1980</v>
      </c>
    </row>
    <row r="879" spans="1:7" x14ac:dyDescent="0.25">
      <c r="A879" s="40">
        <v>874</v>
      </c>
      <c r="B879" s="40" t="s">
        <v>1097</v>
      </c>
      <c r="C879" s="40" t="s">
        <v>168</v>
      </c>
      <c r="D879" s="40" t="s">
        <v>1932</v>
      </c>
      <c r="E879" s="40">
        <v>7</v>
      </c>
      <c r="F879" s="43" t="s">
        <v>45</v>
      </c>
      <c r="G879" s="43" t="s">
        <v>1980</v>
      </c>
    </row>
    <row r="880" spans="1:7" x14ac:dyDescent="0.25">
      <c r="A880" s="40">
        <v>875</v>
      </c>
      <c r="B880" s="40" t="s">
        <v>1098</v>
      </c>
      <c r="C880" s="40" t="s">
        <v>167</v>
      </c>
      <c r="D880" s="40" t="s">
        <v>1932</v>
      </c>
      <c r="E880" s="40">
        <v>7</v>
      </c>
      <c r="F880" s="43" t="s">
        <v>45</v>
      </c>
      <c r="G880" s="43" t="s">
        <v>1980</v>
      </c>
    </row>
    <row r="881" spans="1:7" x14ac:dyDescent="0.25">
      <c r="A881" s="40">
        <v>876</v>
      </c>
      <c r="B881" s="40" t="s">
        <v>1099</v>
      </c>
      <c r="C881" s="40" t="s">
        <v>167</v>
      </c>
      <c r="D881" s="40" t="s">
        <v>1932</v>
      </c>
      <c r="E881" s="40">
        <v>9</v>
      </c>
      <c r="F881" s="43" t="s">
        <v>45</v>
      </c>
      <c r="G881" s="43" t="s">
        <v>1980</v>
      </c>
    </row>
    <row r="882" spans="1:7" x14ac:dyDescent="0.25">
      <c r="A882" s="40">
        <v>877</v>
      </c>
      <c r="B882" s="40" t="s">
        <v>1100</v>
      </c>
      <c r="C882" s="40" t="s">
        <v>167</v>
      </c>
      <c r="D882" s="40" t="s">
        <v>1932</v>
      </c>
      <c r="E882" s="40">
        <v>7</v>
      </c>
      <c r="F882" s="43" t="s">
        <v>45</v>
      </c>
      <c r="G882" s="43" t="s">
        <v>1980</v>
      </c>
    </row>
    <row r="883" spans="1:7" x14ac:dyDescent="0.25">
      <c r="A883" s="40">
        <v>878</v>
      </c>
      <c r="B883" s="40" t="s">
        <v>1101</v>
      </c>
      <c r="C883" s="40" t="s">
        <v>167</v>
      </c>
      <c r="D883" s="40" t="s">
        <v>180</v>
      </c>
      <c r="E883" s="40">
        <v>3</v>
      </c>
      <c r="F883" s="43" t="s">
        <v>45</v>
      </c>
      <c r="G883" s="43" t="s">
        <v>180</v>
      </c>
    </row>
    <row r="884" spans="1:7" x14ac:dyDescent="0.25">
      <c r="A884" s="40">
        <v>879</v>
      </c>
      <c r="B884" s="40" t="s">
        <v>1102</v>
      </c>
      <c r="C884" s="40" t="s">
        <v>167</v>
      </c>
      <c r="D884" s="40" t="s">
        <v>1932</v>
      </c>
      <c r="E884" s="40">
        <v>3</v>
      </c>
      <c r="F884" s="43" t="s">
        <v>45</v>
      </c>
      <c r="G884" s="43" t="s">
        <v>1980</v>
      </c>
    </row>
    <row r="885" spans="1:7" x14ac:dyDescent="0.25">
      <c r="A885" s="40">
        <v>880</v>
      </c>
      <c r="B885" s="40" t="s">
        <v>1103</v>
      </c>
      <c r="C885" s="40" t="s">
        <v>168</v>
      </c>
      <c r="D885" s="40" t="s">
        <v>1932</v>
      </c>
      <c r="E885" s="40">
        <v>12</v>
      </c>
      <c r="F885" s="43" t="s">
        <v>45</v>
      </c>
      <c r="G885" s="43" t="s">
        <v>1980</v>
      </c>
    </row>
    <row r="886" spans="1:7" x14ac:dyDescent="0.25">
      <c r="A886" s="40">
        <v>881</v>
      </c>
      <c r="B886" s="40" t="s">
        <v>1104</v>
      </c>
      <c r="C886" s="40" t="s">
        <v>168</v>
      </c>
      <c r="D886" s="40" t="s">
        <v>180</v>
      </c>
      <c r="E886" s="40">
        <v>10</v>
      </c>
      <c r="F886" s="43" t="s">
        <v>45</v>
      </c>
      <c r="G886" s="43" t="s">
        <v>180</v>
      </c>
    </row>
    <row r="887" spans="1:7" x14ac:dyDescent="0.25">
      <c r="A887" s="40">
        <v>882</v>
      </c>
      <c r="B887" s="40" t="s">
        <v>1105</v>
      </c>
      <c r="C887" s="40" t="s">
        <v>168</v>
      </c>
      <c r="D887" s="40" t="s">
        <v>1932</v>
      </c>
      <c r="F887" s="43" t="s">
        <v>45</v>
      </c>
      <c r="G887" s="43" t="s">
        <v>1980</v>
      </c>
    </row>
    <row r="888" spans="1:7" x14ac:dyDescent="0.25">
      <c r="A888" s="40">
        <v>883</v>
      </c>
      <c r="B888" s="40" t="s">
        <v>1106</v>
      </c>
      <c r="C888" s="40" t="s">
        <v>167</v>
      </c>
      <c r="D888" s="40" t="s">
        <v>1932</v>
      </c>
      <c r="E888" s="40">
        <v>12</v>
      </c>
      <c r="F888" s="43" t="s">
        <v>45</v>
      </c>
      <c r="G888" s="43" t="s">
        <v>1980</v>
      </c>
    </row>
    <row r="889" spans="1:7" x14ac:dyDescent="0.25">
      <c r="A889" s="40">
        <v>884</v>
      </c>
      <c r="B889" s="40" t="s">
        <v>1107</v>
      </c>
      <c r="C889" s="40" t="s">
        <v>167</v>
      </c>
      <c r="D889" s="40" t="s">
        <v>180</v>
      </c>
      <c r="E889" s="40">
        <v>4</v>
      </c>
      <c r="F889" s="43" t="s">
        <v>45</v>
      </c>
      <c r="G889" s="43" t="s">
        <v>180</v>
      </c>
    </row>
    <row r="890" spans="1:7" x14ac:dyDescent="0.25">
      <c r="A890" s="40">
        <v>885</v>
      </c>
      <c r="B890" s="40" t="s">
        <v>1108</v>
      </c>
      <c r="C890" s="40" t="s">
        <v>167</v>
      </c>
      <c r="D890" s="40" t="s">
        <v>180</v>
      </c>
      <c r="E890" s="40">
        <v>4</v>
      </c>
      <c r="F890" s="43" t="s">
        <v>45</v>
      </c>
      <c r="G890" s="43" t="s">
        <v>180</v>
      </c>
    </row>
    <row r="891" spans="1:7" x14ac:dyDescent="0.25">
      <c r="A891" s="40">
        <v>886</v>
      </c>
      <c r="B891" s="40" t="s">
        <v>1109</v>
      </c>
      <c r="C891" s="40" t="s">
        <v>168</v>
      </c>
      <c r="D891" s="40" t="s">
        <v>193</v>
      </c>
      <c r="E891" s="40">
        <v>6</v>
      </c>
      <c r="F891" s="43" t="s">
        <v>45</v>
      </c>
      <c r="G891" s="43" t="s">
        <v>169</v>
      </c>
    </row>
    <row r="892" spans="1:7" x14ac:dyDescent="0.25">
      <c r="A892" s="40">
        <v>887</v>
      </c>
      <c r="B892" s="40" t="s">
        <v>1110</v>
      </c>
      <c r="C892" s="40" t="s">
        <v>168</v>
      </c>
      <c r="D892" s="40" t="s">
        <v>180</v>
      </c>
      <c r="E892" s="40">
        <v>4</v>
      </c>
      <c r="F892" s="43" t="s">
        <v>45</v>
      </c>
      <c r="G892" s="43" t="s">
        <v>180</v>
      </c>
    </row>
    <row r="893" spans="1:7" x14ac:dyDescent="0.25">
      <c r="A893" s="40">
        <v>888</v>
      </c>
      <c r="B893" s="40" t="s">
        <v>1111</v>
      </c>
      <c r="C893" s="40" t="s">
        <v>167</v>
      </c>
      <c r="D893" s="40" t="s">
        <v>1972</v>
      </c>
      <c r="E893" s="40">
        <v>3</v>
      </c>
      <c r="F893" s="43" t="s">
        <v>45</v>
      </c>
      <c r="G893" s="43" t="s">
        <v>2006</v>
      </c>
    </row>
    <row r="894" spans="1:7" x14ac:dyDescent="0.25">
      <c r="A894" s="40">
        <v>889</v>
      </c>
      <c r="B894" s="40" t="s">
        <v>1112</v>
      </c>
      <c r="C894" s="40" t="s">
        <v>168</v>
      </c>
      <c r="D894" s="40" t="s">
        <v>1952</v>
      </c>
      <c r="E894" s="40">
        <v>4</v>
      </c>
      <c r="F894" s="43" t="s">
        <v>45</v>
      </c>
      <c r="G894" s="43" t="s">
        <v>184</v>
      </c>
    </row>
    <row r="895" spans="1:7" x14ac:dyDescent="0.25">
      <c r="A895" s="40">
        <v>890</v>
      </c>
      <c r="B895" s="40" t="s">
        <v>1113</v>
      </c>
      <c r="C895" s="40" t="s">
        <v>167</v>
      </c>
      <c r="D895" s="40" t="s">
        <v>178</v>
      </c>
      <c r="E895" s="40">
        <v>5</v>
      </c>
      <c r="F895" s="43" t="s">
        <v>45</v>
      </c>
      <c r="G895" s="43" t="s">
        <v>178</v>
      </c>
    </row>
    <row r="896" spans="1:7" x14ac:dyDescent="0.25">
      <c r="A896" s="40">
        <v>891</v>
      </c>
      <c r="B896" s="40" t="s">
        <v>1114</v>
      </c>
      <c r="C896" s="40" t="s">
        <v>168</v>
      </c>
      <c r="D896" s="40" t="s">
        <v>1966</v>
      </c>
      <c r="E896" s="40">
        <v>6</v>
      </c>
      <c r="F896" s="43" t="s">
        <v>45</v>
      </c>
      <c r="G896" s="43" t="s">
        <v>177</v>
      </c>
    </row>
    <row r="897" spans="1:7" x14ac:dyDescent="0.25">
      <c r="A897" s="40">
        <v>892</v>
      </c>
      <c r="B897" s="40" t="s">
        <v>1115</v>
      </c>
      <c r="C897" s="40" t="s">
        <v>168</v>
      </c>
      <c r="D897" s="40" t="s">
        <v>1959</v>
      </c>
      <c r="E897" s="40">
        <v>7</v>
      </c>
      <c r="F897" s="43" t="s">
        <v>45</v>
      </c>
      <c r="G897" s="43" t="s">
        <v>190</v>
      </c>
    </row>
    <row r="898" spans="1:7" x14ac:dyDescent="0.25">
      <c r="A898" s="40">
        <v>893</v>
      </c>
      <c r="B898" s="40" t="s">
        <v>1116</v>
      </c>
      <c r="C898" s="40" t="s">
        <v>168</v>
      </c>
      <c r="D898" s="40" t="s">
        <v>195</v>
      </c>
      <c r="E898" s="40">
        <v>6</v>
      </c>
      <c r="F898" s="43" t="s">
        <v>45</v>
      </c>
      <c r="G898" s="43" t="s">
        <v>2006</v>
      </c>
    </row>
    <row r="899" spans="1:7" x14ac:dyDescent="0.25">
      <c r="A899" s="40">
        <v>894</v>
      </c>
      <c r="B899" s="40" t="s">
        <v>1117</v>
      </c>
      <c r="C899" s="40" t="s">
        <v>168</v>
      </c>
      <c r="D899" s="40" t="s">
        <v>1952</v>
      </c>
      <c r="E899" s="40">
        <v>9</v>
      </c>
      <c r="F899" s="43" t="s">
        <v>45</v>
      </c>
      <c r="G899" s="43" t="s">
        <v>184</v>
      </c>
    </row>
    <row r="900" spans="1:7" x14ac:dyDescent="0.25">
      <c r="A900" s="40">
        <v>895</v>
      </c>
      <c r="B900" s="40" t="s">
        <v>1118</v>
      </c>
      <c r="C900" s="40" t="s">
        <v>167</v>
      </c>
      <c r="D900" s="40" t="s">
        <v>198</v>
      </c>
      <c r="E900" s="40">
        <v>4</v>
      </c>
      <c r="F900" s="43" t="s">
        <v>45</v>
      </c>
      <c r="G900" s="43" t="s">
        <v>1987</v>
      </c>
    </row>
    <row r="901" spans="1:7" x14ac:dyDescent="0.25">
      <c r="A901" s="40">
        <v>896</v>
      </c>
      <c r="B901" s="40" t="s">
        <v>1119</v>
      </c>
      <c r="C901" s="40" t="s">
        <v>168</v>
      </c>
      <c r="D901" s="40" t="s">
        <v>1955</v>
      </c>
      <c r="E901" s="40">
        <v>10</v>
      </c>
      <c r="F901" s="43" t="s">
        <v>45</v>
      </c>
      <c r="G901" s="43" t="s">
        <v>183</v>
      </c>
    </row>
    <row r="902" spans="1:7" x14ac:dyDescent="0.25">
      <c r="A902" s="40">
        <v>897</v>
      </c>
      <c r="B902" s="40" t="s">
        <v>1120</v>
      </c>
      <c r="C902" s="40" t="s">
        <v>168</v>
      </c>
      <c r="D902" s="40" t="s">
        <v>1966</v>
      </c>
      <c r="E902" s="40">
        <v>10</v>
      </c>
      <c r="F902" s="43" t="s">
        <v>45</v>
      </c>
      <c r="G902" s="43" t="s">
        <v>177</v>
      </c>
    </row>
    <row r="903" spans="1:7" x14ac:dyDescent="0.25">
      <c r="A903" s="40">
        <v>898</v>
      </c>
      <c r="B903" s="40" t="s">
        <v>1121</v>
      </c>
      <c r="C903" s="40" t="s">
        <v>168</v>
      </c>
      <c r="D903" s="40" t="s">
        <v>195</v>
      </c>
      <c r="E903" s="40">
        <v>9</v>
      </c>
      <c r="F903" s="43" t="s">
        <v>45</v>
      </c>
      <c r="G903" s="43" t="s">
        <v>1984</v>
      </c>
    </row>
    <row r="904" spans="1:7" x14ac:dyDescent="0.25">
      <c r="A904" s="40">
        <v>899</v>
      </c>
      <c r="B904" s="40" t="s">
        <v>1122</v>
      </c>
      <c r="C904" s="40" t="s">
        <v>167</v>
      </c>
      <c r="D904" s="40" t="s">
        <v>195</v>
      </c>
      <c r="E904" s="40">
        <v>2</v>
      </c>
      <c r="F904" s="43" t="s">
        <v>45</v>
      </c>
      <c r="G904" s="43" t="s">
        <v>2006</v>
      </c>
    </row>
    <row r="905" spans="1:7" x14ac:dyDescent="0.25">
      <c r="A905" s="40">
        <v>900</v>
      </c>
      <c r="B905" s="40" t="s">
        <v>1123</v>
      </c>
      <c r="C905" s="40" t="s">
        <v>168</v>
      </c>
      <c r="D905" s="40" t="s">
        <v>193</v>
      </c>
      <c r="E905" s="40">
        <v>6</v>
      </c>
      <c r="F905" s="43" t="s">
        <v>45</v>
      </c>
      <c r="G905" s="43" t="s">
        <v>169</v>
      </c>
    </row>
    <row r="906" spans="1:7" x14ac:dyDescent="0.25">
      <c r="A906" s="40">
        <v>901</v>
      </c>
      <c r="B906" s="40" t="s">
        <v>1124</v>
      </c>
      <c r="C906" s="40" t="s">
        <v>167</v>
      </c>
      <c r="D906" s="40" t="s">
        <v>1934</v>
      </c>
      <c r="E906" s="40">
        <v>4</v>
      </c>
      <c r="F906" s="43" t="s">
        <v>45</v>
      </c>
      <c r="G906" s="43" t="s">
        <v>182</v>
      </c>
    </row>
    <row r="907" spans="1:7" x14ac:dyDescent="0.25">
      <c r="A907" s="40">
        <v>902</v>
      </c>
      <c r="B907" s="40" t="s">
        <v>1125</v>
      </c>
      <c r="C907" s="40" t="s">
        <v>168</v>
      </c>
      <c r="D907" s="40" t="s">
        <v>193</v>
      </c>
      <c r="E907" s="40">
        <v>6</v>
      </c>
      <c r="F907" s="43" t="s">
        <v>45</v>
      </c>
      <c r="G907" s="43" t="s">
        <v>1986</v>
      </c>
    </row>
    <row r="908" spans="1:7" x14ac:dyDescent="0.25">
      <c r="A908" s="40">
        <v>903</v>
      </c>
      <c r="B908" s="40" t="s">
        <v>1126</v>
      </c>
      <c r="C908" s="40" t="s">
        <v>168</v>
      </c>
      <c r="D908" s="40" t="s">
        <v>193</v>
      </c>
      <c r="E908" s="40">
        <v>4</v>
      </c>
      <c r="F908" s="43" t="s">
        <v>45</v>
      </c>
      <c r="G908" s="43" t="s">
        <v>1986</v>
      </c>
    </row>
    <row r="909" spans="1:7" x14ac:dyDescent="0.25">
      <c r="A909" s="40">
        <v>904</v>
      </c>
      <c r="B909" s="40" t="s">
        <v>1127</v>
      </c>
      <c r="C909" s="40" t="s">
        <v>167</v>
      </c>
      <c r="D909" s="40" t="s">
        <v>181</v>
      </c>
      <c r="E909" s="40">
        <v>6</v>
      </c>
      <c r="F909" s="43" t="s">
        <v>45</v>
      </c>
      <c r="G909" s="43" t="s">
        <v>179</v>
      </c>
    </row>
    <row r="910" spans="1:7" x14ac:dyDescent="0.25">
      <c r="A910" s="40">
        <v>905</v>
      </c>
      <c r="B910" s="40" t="s">
        <v>1128</v>
      </c>
      <c r="C910" s="40" t="s">
        <v>167</v>
      </c>
      <c r="D910" s="40" t="s">
        <v>180</v>
      </c>
      <c r="E910" s="40">
        <v>7</v>
      </c>
      <c r="F910" s="43" t="s">
        <v>45</v>
      </c>
      <c r="G910" s="43" t="s">
        <v>180</v>
      </c>
    </row>
    <row r="911" spans="1:7" x14ac:dyDescent="0.25">
      <c r="A911" s="40">
        <v>906</v>
      </c>
      <c r="B911" s="40" t="s">
        <v>1129</v>
      </c>
      <c r="C911" s="40" t="s">
        <v>167</v>
      </c>
      <c r="D911" s="40" t="s">
        <v>1962</v>
      </c>
      <c r="E911" s="40">
        <v>5</v>
      </c>
      <c r="F911" s="43" t="s">
        <v>45</v>
      </c>
      <c r="G911" s="43" t="s">
        <v>179</v>
      </c>
    </row>
    <row r="912" spans="1:7" x14ac:dyDescent="0.25">
      <c r="A912" s="40">
        <v>907</v>
      </c>
      <c r="B912" s="40" t="s">
        <v>1130</v>
      </c>
      <c r="C912" s="40" t="s">
        <v>167</v>
      </c>
      <c r="D912" s="40" t="s">
        <v>2007</v>
      </c>
      <c r="E912" s="40">
        <v>2</v>
      </c>
      <c r="F912" s="43" t="s">
        <v>45</v>
      </c>
      <c r="G912" s="43" t="s">
        <v>179</v>
      </c>
    </row>
    <row r="913" spans="1:7" x14ac:dyDescent="0.25">
      <c r="A913" s="40">
        <v>908</v>
      </c>
      <c r="B913" s="40" t="s">
        <v>1131</v>
      </c>
      <c r="C913" s="40" t="s">
        <v>167</v>
      </c>
      <c r="D913" s="40" t="s">
        <v>181</v>
      </c>
      <c r="E913" s="40">
        <v>4</v>
      </c>
      <c r="F913" s="43" t="s">
        <v>45</v>
      </c>
      <c r="G913" s="43" t="s">
        <v>179</v>
      </c>
    </row>
    <row r="914" spans="1:7" x14ac:dyDescent="0.25">
      <c r="A914" s="40">
        <v>909</v>
      </c>
      <c r="B914" s="40" t="s">
        <v>1132</v>
      </c>
      <c r="C914" s="40" t="s">
        <v>167</v>
      </c>
      <c r="D914" s="40" t="s">
        <v>180</v>
      </c>
      <c r="E914" s="40">
        <v>2</v>
      </c>
      <c r="F914" s="43" t="s">
        <v>45</v>
      </c>
      <c r="G914" s="43" t="s">
        <v>180</v>
      </c>
    </row>
    <row r="915" spans="1:7" x14ac:dyDescent="0.25">
      <c r="A915" s="40">
        <v>910</v>
      </c>
      <c r="B915" s="40" t="s">
        <v>1133</v>
      </c>
      <c r="C915" s="40" t="s">
        <v>167</v>
      </c>
      <c r="D915" s="40" t="s">
        <v>1932</v>
      </c>
      <c r="E915" s="40">
        <v>9</v>
      </c>
      <c r="F915" s="43" t="s">
        <v>45</v>
      </c>
      <c r="G915" s="43" t="s">
        <v>1980</v>
      </c>
    </row>
    <row r="916" spans="1:7" x14ac:dyDescent="0.25">
      <c r="A916" s="40">
        <v>911</v>
      </c>
      <c r="B916" s="40" t="s">
        <v>1134</v>
      </c>
      <c r="C916" s="40" t="s">
        <v>167</v>
      </c>
      <c r="D916" s="40" t="s">
        <v>185</v>
      </c>
      <c r="E916" s="40">
        <v>2</v>
      </c>
      <c r="F916" s="43" t="s">
        <v>45</v>
      </c>
      <c r="G916" s="43" t="s">
        <v>185</v>
      </c>
    </row>
    <row r="917" spans="1:7" x14ac:dyDescent="0.25">
      <c r="A917" s="40">
        <v>912</v>
      </c>
      <c r="B917" s="40" t="s">
        <v>1135</v>
      </c>
      <c r="C917" s="40" t="s">
        <v>167</v>
      </c>
      <c r="D917" s="40" t="s">
        <v>181</v>
      </c>
      <c r="E917" s="40">
        <v>7</v>
      </c>
      <c r="F917" s="43" t="s">
        <v>45</v>
      </c>
      <c r="G917" s="43" t="s">
        <v>181</v>
      </c>
    </row>
    <row r="918" spans="1:7" x14ac:dyDescent="0.25">
      <c r="A918" s="40">
        <v>913</v>
      </c>
      <c r="B918" s="40" t="s">
        <v>1136</v>
      </c>
      <c r="C918" s="40" t="s">
        <v>167</v>
      </c>
      <c r="D918" s="40" t="s">
        <v>2007</v>
      </c>
      <c r="E918" s="40">
        <v>7</v>
      </c>
      <c r="F918" s="43" t="s">
        <v>45</v>
      </c>
      <c r="G918" s="43" t="s">
        <v>179</v>
      </c>
    </row>
    <row r="919" spans="1:7" x14ac:dyDescent="0.25">
      <c r="A919" s="40">
        <v>914</v>
      </c>
      <c r="B919" s="40" t="s">
        <v>1137</v>
      </c>
      <c r="C919" s="40" t="s">
        <v>168</v>
      </c>
      <c r="D919" s="40" t="s">
        <v>2007</v>
      </c>
      <c r="E919" s="40">
        <v>7</v>
      </c>
      <c r="F919" s="43" t="s">
        <v>45</v>
      </c>
      <c r="G919" s="43" t="s">
        <v>179</v>
      </c>
    </row>
    <row r="920" spans="1:7" x14ac:dyDescent="0.25">
      <c r="A920" s="40">
        <v>915</v>
      </c>
      <c r="B920" s="40" t="s">
        <v>1138</v>
      </c>
      <c r="C920" s="40" t="s">
        <v>167</v>
      </c>
      <c r="D920" s="40" t="s">
        <v>181</v>
      </c>
      <c r="E920" s="40">
        <v>1</v>
      </c>
      <c r="F920" s="43" t="s">
        <v>45</v>
      </c>
      <c r="G920" s="43" t="s">
        <v>179</v>
      </c>
    </row>
    <row r="921" spans="1:7" x14ac:dyDescent="0.25">
      <c r="A921" s="40">
        <v>916</v>
      </c>
      <c r="B921" s="40" t="s">
        <v>1139</v>
      </c>
      <c r="C921" s="40" t="s">
        <v>167</v>
      </c>
      <c r="D921" s="40" t="s">
        <v>2007</v>
      </c>
      <c r="E921" s="40">
        <v>5</v>
      </c>
      <c r="F921" s="43" t="s">
        <v>45</v>
      </c>
      <c r="G921" s="43" t="s">
        <v>179</v>
      </c>
    </row>
    <row r="922" spans="1:7" x14ac:dyDescent="0.25">
      <c r="A922" s="40">
        <v>917</v>
      </c>
      <c r="B922" s="40" t="s">
        <v>1140</v>
      </c>
      <c r="C922" s="40" t="s">
        <v>167</v>
      </c>
      <c r="D922" s="40" t="s">
        <v>2007</v>
      </c>
      <c r="E922" s="40">
        <v>7</v>
      </c>
      <c r="F922" s="43" t="s">
        <v>45</v>
      </c>
      <c r="G922" s="43" t="s">
        <v>179</v>
      </c>
    </row>
    <row r="923" spans="1:7" x14ac:dyDescent="0.25">
      <c r="A923" s="40">
        <v>918</v>
      </c>
      <c r="B923" s="40" t="s">
        <v>1141</v>
      </c>
      <c r="C923" s="40" t="s">
        <v>168</v>
      </c>
      <c r="D923" s="40" t="s">
        <v>175</v>
      </c>
      <c r="E923" s="40">
        <v>4</v>
      </c>
      <c r="F923" s="43" t="s">
        <v>45</v>
      </c>
      <c r="G923" s="43" t="s">
        <v>175</v>
      </c>
    </row>
    <row r="924" spans="1:7" x14ac:dyDescent="0.25">
      <c r="A924" s="40">
        <v>919</v>
      </c>
      <c r="B924" s="40" t="s">
        <v>1142</v>
      </c>
      <c r="C924" s="40" t="s">
        <v>167</v>
      </c>
      <c r="D924" s="40" t="s">
        <v>1939</v>
      </c>
      <c r="E924" s="40">
        <v>6</v>
      </c>
      <c r="F924" s="43" t="s">
        <v>45</v>
      </c>
      <c r="G924" s="43" t="s">
        <v>172</v>
      </c>
    </row>
    <row r="925" spans="1:7" x14ac:dyDescent="0.25">
      <c r="A925" s="40">
        <v>920</v>
      </c>
      <c r="B925" s="40" t="s">
        <v>1143</v>
      </c>
      <c r="C925" s="40" t="s">
        <v>168</v>
      </c>
      <c r="D925" s="40" t="s">
        <v>1958</v>
      </c>
      <c r="E925" s="40">
        <v>8</v>
      </c>
      <c r="F925" s="43" t="s">
        <v>45</v>
      </c>
      <c r="G925" s="43" t="s">
        <v>1984</v>
      </c>
    </row>
    <row r="926" spans="1:7" x14ac:dyDescent="0.25">
      <c r="A926" s="40">
        <v>921</v>
      </c>
      <c r="B926" s="40" t="s">
        <v>1144</v>
      </c>
      <c r="C926" s="40" t="s">
        <v>168</v>
      </c>
      <c r="D926" s="40" t="s">
        <v>1942</v>
      </c>
      <c r="E926" s="40">
        <v>8</v>
      </c>
      <c r="F926" s="43" t="s">
        <v>45</v>
      </c>
      <c r="G926" s="43" t="s">
        <v>1981</v>
      </c>
    </row>
    <row r="927" spans="1:7" x14ac:dyDescent="0.25">
      <c r="A927" s="40">
        <v>922</v>
      </c>
      <c r="B927" s="40" t="s">
        <v>1145</v>
      </c>
      <c r="C927" s="40" t="s">
        <v>167</v>
      </c>
      <c r="D927" s="40" t="s">
        <v>1948</v>
      </c>
      <c r="E927" s="40">
        <v>6</v>
      </c>
      <c r="F927" s="43" t="s">
        <v>45</v>
      </c>
      <c r="G927" s="43" t="s">
        <v>190</v>
      </c>
    </row>
    <row r="928" spans="1:7" x14ac:dyDescent="0.25">
      <c r="A928" s="40">
        <v>923</v>
      </c>
      <c r="B928" s="40" t="s">
        <v>1146</v>
      </c>
      <c r="C928" s="40" t="s">
        <v>168</v>
      </c>
      <c r="D928" s="40" t="s">
        <v>185</v>
      </c>
      <c r="E928" s="40">
        <v>1</v>
      </c>
      <c r="F928" s="43" t="s">
        <v>45</v>
      </c>
      <c r="G928" s="43" t="s">
        <v>185</v>
      </c>
    </row>
    <row r="929" spans="1:7" x14ac:dyDescent="0.25">
      <c r="A929" s="40">
        <v>924</v>
      </c>
      <c r="B929" s="40" t="s">
        <v>1147</v>
      </c>
      <c r="C929" s="40" t="s">
        <v>167</v>
      </c>
      <c r="D929" s="40" t="s">
        <v>185</v>
      </c>
      <c r="E929" s="40">
        <v>7</v>
      </c>
      <c r="F929" s="43" t="s">
        <v>45</v>
      </c>
      <c r="G929" s="43" t="s">
        <v>185</v>
      </c>
    </row>
    <row r="930" spans="1:7" x14ac:dyDescent="0.25">
      <c r="A930" s="40">
        <v>925</v>
      </c>
      <c r="B930" s="40" t="s">
        <v>1148</v>
      </c>
      <c r="C930" s="40" t="s">
        <v>168</v>
      </c>
      <c r="D930" s="40" t="s">
        <v>178</v>
      </c>
      <c r="F930" s="43" t="s">
        <v>45</v>
      </c>
      <c r="G930" s="43" t="s">
        <v>178</v>
      </c>
    </row>
    <row r="931" spans="1:7" x14ac:dyDescent="0.25">
      <c r="A931" s="40">
        <v>926</v>
      </c>
      <c r="B931" s="40" t="s">
        <v>1149</v>
      </c>
      <c r="C931" s="40" t="s">
        <v>167</v>
      </c>
      <c r="D931" s="40" t="s">
        <v>192</v>
      </c>
      <c r="E931" s="40">
        <v>12</v>
      </c>
      <c r="F931" s="43" t="s">
        <v>45</v>
      </c>
      <c r="G931" s="43" t="s">
        <v>192</v>
      </c>
    </row>
    <row r="932" spans="1:7" x14ac:dyDescent="0.25">
      <c r="A932" s="40">
        <v>927</v>
      </c>
      <c r="B932" s="40" t="s">
        <v>1150</v>
      </c>
      <c r="C932" s="40" t="s">
        <v>168</v>
      </c>
      <c r="D932" s="40" t="s">
        <v>198</v>
      </c>
      <c r="E932" s="40">
        <v>6</v>
      </c>
      <c r="F932" s="43" t="s">
        <v>45</v>
      </c>
      <c r="G932" s="43" t="s">
        <v>188</v>
      </c>
    </row>
    <row r="933" spans="1:7" x14ac:dyDescent="0.25">
      <c r="A933" s="40">
        <v>928</v>
      </c>
      <c r="B933" s="40" t="s">
        <v>1151</v>
      </c>
      <c r="C933" s="40" t="s">
        <v>168</v>
      </c>
      <c r="D933" s="40" t="s">
        <v>174</v>
      </c>
      <c r="E933" s="40">
        <v>6</v>
      </c>
      <c r="F933" s="43" t="s">
        <v>45</v>
      </c>
      <c r="G933" s="43" t="s">
        <v>174</v>
      </c>
    </row>
    <row r="934" spans="1:7" x14ac:dyDescent="0.25">
      <c r="A934" s="40">
        <v>929</v>
      </c>
      <c r="B934" s="40" t="s">
        <v>1152</v>
      </c>
      <c r="C934" s="40" t="s">
        <v>168</v>
      </c>
      <c r="D934" s="40" t="s">
        <v>1943</v>
      </c>
      <c r="E934" s="40">
        <v>6</v>
      </c>
      <c r="F934" s="43" t="s">
        <v>45</v>
      </c>
      <c r="G934" s="43" t="s">
        <v>183</v>
      </c>
    </row>
    <row r="935" spans="1:7" x14ac:dyDescent="0.25">
      <c r="A935" s="40">
        <v>930</v>
      </c>
      <c r="B935" s="40" t="s">
        <v>1153</v>
      </c>
      <c r="C935" s="40" t="s">
        <v>167</v>
      </c>
      <c r="D935" s="40" t="s">
        <v>180</v>
      </c>
      <c r="E935" s="40">
        <v>1</v>
      </c>
      <c r="F935" s="43" t="s">
        <v>45</v>
      </c>
      <c r="G935" s="43" t="s">
        <v>180</v>
      </c>
    </row>
    <row r="936" spans="1:7" x14ac:dyDescent="0.25">
      <c r="A936" s="40">
        <v>931</v>
      </c>
      <c r="B936" s="40" t="s">
        <v>1154</v>
      </c>
      <c r="C936" s="40" t="s">
        <v>167</v>
      </c>
      <c r="D936" s="40" t="s">
        <v>181</v>
      </c>
      <c r="E936" s="40">
        <v>10</v>
      </c>
      <c r="F936" s="43" t="s">
        <v>45</v>
      </c>
      <c r="G936" s="43" t="s">
        <v>181</v>
      </c>
    </row>
    <row r="937" spans="1:7" x14ac:dyDescent="0.25">
      <c r="A937" s="40">
        <v>932</v>
      </c>
      <c r="B937" s="40" t="s">
        <v>1154</v>
      </c>
      <c r="C937" s="40" t="s">
        <v>167</v>
      </c>
      <c r="D937" s="40" t="s">
        <v>180</v>
      </c>
      <c r="E937" s="40">
        <v>3</v>
      </c>
      <c r="F937" s="43" t="s">
        <v>45</v>
      </c>
      <c r="G937" s="43" t="s">
        <v>180</v>
      </c>
    </row>
    <row r="938" spans="1:7" x14ac:dyDescent="0.25">
      <c r="A938" s="40">
        <v>933</v>
      </c>
      <c r="B938" s="40" t="s">
        <v>1155</v>
      </c>
      <c r="C938" s="40" t="s">
        <v>167</v>
      </c>
      <c r="D938" s="40" t="s">
        <v>181</v>
      </c>
      <c r="E938" s="40">
        <v>6</v>
      </c>
      <c r="F938" s="43" t="s">
        <v>45</v>
      </c>
      <c r="G938" s="43" t="s">
        <v>181</v>
      </c>
    </row>
    <row r="939" spans="1:7" x14ac:dyDescent="0.25">
      <c r="A939" s="40">
        <v>934</v>
      </c>
      <c r="B939" s="40" t="s">
        <v>1156</v>
      </c>
      <c r="C939" s="40" t="s">
        <v>168</v>
      </c>
      <c r="D939" s="40" t="s">
        <v>178</v>
      </c>
      <c r="F939" s="43" t="s">
        <v>45</v>
      </c>
      <c r="G939" s="43" t="s">
        <v>178</v>
      </c>
    </row>
    <row r="940" spans="1:7" x14ac:dyDescent="0.25">
      <c r="A940" s="40">
        <v>935</v>
      </c>
      <c r="B940" s="40" t="s">
        <v>1157</v>
      </c>
      <c r="C940" s="40" t="s">
        <v>167</v>
      </c>
      <c r="D940" s="40" t="s">
        <v>192</v>
      </c>
      <c r="E940" s="40">
        <v>6</v>
      </c>
      <c r="F940" s="43" t="s">
        <v>45</v>
      </c>
      <c r="G940" s="43" t="s">
        <v>192</v>
      </c>
    </row>
    <row r="941" spans="1:7" x14ac:dyDescent="0.25">
      <c r="A941" s="40">
        <v>936</v>
      </c>
      <c r="B941" s="40" t="s">
        <v>1158</v>
      </c>
      <c r="C941" s="40" t="s">
        <v>168</v>
      </c>
      <c r="D941" s="40" t="s">
        <v>181</v>
      </c>
      <c r="E941" s="40">
        <v>4</v>
      </c>
      <c r="F941" s="43" t="s">
        <v>45</v>
      </c>
      <c r="G941" s="43" t="s">
        <v>180</v>
      </c>
    </row>
    <row r="942" spans="1:7" x14ac:dyDescent="0.25">
      <c r="A942" s="40">
        <v>937</v>
      </c>
      <c r="B942" s="40" t="s">
        <v>1159</v>
      </c>
      <c r="C942" s="40" t="s">
        <v>167</v>
      </c>
      <c r="D942" s="40" t="s">
        <v>1974</v>
      </c>
      <c r="E942" s="40">
        <v>4</v>
      </c>
      <c r="F942" s="43" t="s">
        <v>45</v>
      </c>
      <c r="G942" s="43" t="s">
        <v>190</v>
      </c>
    </row>
    <row r="943" spans="1:7" x14ac:dyDescent="0.25">
      <c r="A943" s="40">
        <v>938</v>
      </c>
      <c r="B943" s="40" t="s">
        <v>1160</v>
      </c>
      <c r="C943" s="40" t="s">
        <v>168</v>
      </c>
      <c r="D943" s="40" t="s">
        <v>1943</v>
      </c>
      <c r="E943" s="40">
        <v>15</v>
      </c>
      <c r="F943" s="43" t="s">
        <v>45</v>
      </c>
      <c r="G943" s="43" t="s">
        <v>183</v>
      </c>
    </row>
    <row r="944" spans="1:7" x14ac:dyDescent="0.25">
      <c r="A944" s="40">
        <v>939</v>
      </c>
      <c r="B944" s="40" t="s">
        <v>1161</v>
      </c>
      <c r="C944" s="40" t="s">
        <v>167</v>
      </c>
      <c r="D944" s="40" t="s">
        <v>181</v>
      </c>
      <c r="E944" s="40">
        <v>5</v>
      </c>
      <c r="F944" s="43" t="s">
        <v>45</v>
      </c>
      <c r="G944" s="43" t="s">
        <v>1980</v>
      </c>
    </row>
    <row r="945" spans="1:7" x14ac:dyDescent="0.25">
      <c r="A945" s="40">
        <v>940</v>
      </c>
      <c r="B945" s="40" t="s">
        <v>1162</v>
      </c>
      <c r="C945" s="40" t="s">
        <v>168</v>
      </c>
      <c r="D945" s="40" t="s">
        <v>192</v>
      </c>
      <c r="E945" s="40">
        <v>4</v>
      </c>
      <c r="F945" s="43" t="s">
        <v>45</v>
      </c>
      <c r="G945" s="43" t="s">
        <v>192</v>
      </c>
    </row>
    <row r="946" spans="1:7" x14ac:dyDescent="0.25">
      <c r="A946" s="40">
        <v>941</v>
      </c>
      <c r="B946" s="40" t="s">
        <v>1163</v>
      </c>
      <c r="C946" s="40" t="s">
        <v>168</v>
      </c>
      <c r="D946" s="40" t="s">
        <v>1953</v>
      </c>
      <c r="E946" s="40">
        <v>9</v>
      </c>
      <c r="F946" s="43" t="s">
        <v>45</v>
      </c>
      <c r="G946" s="43" t="s">
        <v>186</v>
      </c>
    </row>
    <row r="947" spans="1:7" x14ac:dyDescent="0.25">
      <c r="A947" s="40">
        <v>942</v>
      </c>
      <c r="B947" s="40" t="s">
        <v>1164</v>
      </c>
      <c r="C947" s="40" t="s">
        <v>167</v>
      </c>
      <c r="D947" s="40" t="s">
        <v>1943</v>
      </c>
      <c r="E947" s="40">
        <v>6</v>
      </c>
      <c r="F947" s="43" t="s">
        <v>45</v>
      </c>
      <c r="G947" s="43" t="s">
        <v>183</v>
      </c>
    </row>
    <row r="948" spans="1:7" x14ac:dyDescent="0.25">
      <c r="A948" s="40">
        <v>943</v>
      </c>
      <c r="B948" s="40" t="s">
        <v>1165</v>
      </c>
      <c r="C948" s="40" t="s">
        <v>168</v>
      </c>
      <c r="D948" s="40" t="s">
        <v>1944</v>
      </c>
      <c r="E948" s="40">
        <v>1</v>
      </c>
      <c r="F948" s="43" t="s">
        <v>45</v>
      </c>
      <c r="G948" s="43" t="s">
        <v>183</v>
      </c>
    </row>
    <row r="949" spans="1:7" x14ac:dyDescent="0.25">
      <c r="A949" s="40">
        <v>944</v>
      </c>
      <c r="B949" s="40" t="s">
        <v>1166</v>
      </c>
      <c r="C949" s="40" t="s">
        <v>167</v>
      </c>
      <c r="D949" s="40" t="s">
        <v>193</v>
      </c>
      <c r="E949" s="40">
        <v>2</v>
      </c>
      <c r="F949" s="43" t="s">
        <v>45</v>
      </c>
      <c r="G949" s="43" t="s">
        <v>1986</v>
      </c>
    </row>
    <row r="950" spans="1:7" x14ac:dyDescent="0.25">
      <c r="A950" s="40">
        <v>945</v>
      </c>
      <c r="B950" s="40" t="s">
        <v>1167</v>
      </c>
      <c r="C950" s="40" t="s">
        <v>167</v>
      </c>
      <c r="D950" s="40" t="s">
        <v>180</v>
      </c>
      <c r="E950" s="40">
        <v>6</v>
      </c>
      <c r="F950" s="43" t="s">
        <v>45</v>
      </c>
      <c r="G950" s="43" t="s">
        <v>180</v>
      </c>
    </row>
    <row r="951" spans="1:7" x14ac:dyDescent="0.25">
      <c r="A951" s="40">
        <v>946</v>
      </c>
      <c r="B951" s="40" t="s">
        <v>1168</v>
      </c>
      <c r="C951" s="40" t="s">
        <v>168</v>
      </c>
      <c r="D951" s="40" t="s">
        <v>1945</v>
      </c>
      <c r="E951" s="40">
        <v>2</v>
      </c>
      <c r="F951" s="43" t="s">
        <v>45</v>
      </c>
      <c r="G951" s="43" t="s">
        <v>184</v>
      </c>
    </row>
    <row r="952" spans="1:7" x14ac:dyDescent="0.25">
      <c r="A952" s="40">
        <v>947</v>
      </c>
      <c r="B952" s="40" t="s">
        <v>1169</v>
      </c>
      <c r="C952" s="40" t="s">
        <v>167</v>
      </c>
      <c r="D952" s="40" t="s">
        <v>193</v>
      </c>
      <c r="E952" s="40">
        <v>4</v>
      </c>
      <c r="F952" s="43" t="s">
        <v>45</v>
      </c>
      <c r="G952" s="43" t="s">
        <v>1985</v>
      </c>
    </row>
    <row r="953" spans="1:7" x14ac:dyDescent="0.25">
      <c r="A953" s="40">
        <v>948</v>
      </c>
      <c r="B953" s="40" t="s">
        <v>1170</v>
      </c>
      <c r="C953" s="40" t="s">
        <v>168</v>
      </c>
      <c r="D953" s="40" t="s">
        <v>178</v>
      </c>
      <c r="E953" s="40">
        <v>2</v>
      </c>
      <c r="F953" s="43" t="s">
        <v>45</v>
      </c>
      <c r="G953" s="43" t="s">
        <v>178</v>
      </c>
    </row>
    <row r="954" spans="1:7" x14ac:dyDescent="0.25">
      <c r="A954" s="40">
        <v>949</v>
      </c>
      <c r="B954" s="40" t="s">
        <v>1171</v>
      </c>
      <c r="C954" s="40" t="s">
        <v>168</v>
      </c>
      <c r="D954" s="40" t="s">
        <v>198</v>
      </c>
      <c r="E954" s="40">
        <v>9</v>
      </c>
      <c r="F954" s="43" t="s">
        <v>45</v>
      </c>
      <c r="G954" s="43" t="s">
        <v>198</v>
      </c>
    </row>
    <row r="955" spans="1:7" x14ac:dyDescent="0.25">
      <c r="A955" s="40">
        <v>950</v>
      </c>
      <c r="B955" s="40" t="s">
        <v>1172</v>
      </c>
      <c r="C955" s="40" t="s">
        <v>167</v>
      </c>
      <c r="D955" s="40" t="s">
        <v>193</v>
      </c>
      <c r="E955" s="40">
        <v>4</v>
      </c>
      <c r="F955" s="43" t="s">
        <v>45</v>
      </c>
      <c r="G955" s="43" t="s">
        <v>169</v>
      </c>
    </row>
    <row r="956" spans="1:7" x14ac:dyDescent="0.25">
      <c r="A956" s="40">
        <v>951</v>
      </c>
      <c r="B956" s="40" t="s">
        <v>1173</v>
      </c>
      <c r="C956" s="40" t="s">
        <v>168</v>
      </c>
      <c r="D956" s="40" t="s">
        <v>198</v>
      </c>
      <c r="E956" s="40">
        <v>9</v>
      </c>
      <c r="F956" s="43" t="s">
        <v>45</v>
      </c>
      <c r="G956" s="43" t="s">
        <v>188</v>
      </c>
    </row>
    <row r="957" spans="1:7" x14ac:dyDescent="0.25">
      <c r="A957" s="40">
        <v>952</v>
      </c>
      <c r="B957" s="40" t="s">
        <v>1174</v>
      </c>
      <c r="C957" s="40" t="s">
        <v>168</v>
      </c>
      <c r="D957" s="40" t="s">
        <v>180</v>
      </c>
      <c r="E957" s="40">
        <v>8</v>
      </c>
      <c r="F957" s="43" t="s">
        <v>45</v>
      </c>
      <c r="G957" s="43" t="s">
        <v>180</v>
      </c>
    </row>
    <row r="958" spans="1:7" x14ac:dyDescent="0.25">
      <c r="A958" s="40">
        <v>953</v>
      </c>
      <c r="B958" s="40" t="s">
        <v>1175</v>
      </c>
      <c r="C958" s="40" t="s">
        <v>168</v>
      </c>
      <c r="D958" s="40" t="s">
        <v>175</v>
      </c>
      <c r="E958" s="40">
        <v>6</v>
      </c>
      <c r="F958" s="43" t="s">
        <v>45</v>
      </c>
      <c r="G958" s="43" t="s">
        <v>175</v>
      </c>
    </row>
    <row r="959" spans="1:7" x14ac:dyDescent="0.25">
      <c r="A959" s="40">
        <v>954</v>
      </c>
      <c r="B959" s="40" t="s">
        <v>1176</v>
      </c>
      <c r="C959" s="40" t="s">
        <v>167</v>
      </c>
      <c r="D959" s="40" t="s">
        <v>181</v>
      </c>
      <c r="E959" s="40">
        <v>3</v>
      </c>
      <c r="F959" s="43" t="s">
        <v>45</v>
      </c>
      <c r="G959" s="43" t="s">
        <v>179</v>
      </c>
    </row>
    <row r="960" spans="1:7" x14ac:dyDescent="0.25">
      <c r="A960" s="40">
        <v>955</v>
      </c>
      <c r="B960" s="40" t="s">
        <v>1177</v>
      </c>
      <c r="C960" s="40" t="s">
        <v>168</v>
      </c>
      <c r="D960" s="40" t="s">
        <v>198</v>
      </c>
      <c r="E960" s="40">
        <v>4</v>
      </c>
      <c r="F960" s="43" t="s">
        <v>51</v>
      </c>
    </row>
    <row r="961" spans="1:7" x14ac:dyDescent="0.25">
      <c r="A961" s="40">
        <v>956</v>
      </c>
      <c r="B961" s="40" t="s">
        <v>1178</v>
      </c>
      <c r="C961" s="40" t="s">
        <v>168</v>
      </c>
      <c r="D961" s="40" t="s">
        <v>178</v>
      </c>
      <c r="E961" s="40">
        <v>15</v>
      </c>
      <c r="F961" s="43" t="s">
        <v>45</v>
      </c>
      <c r="G961" s="43" t="s">
        <v>178</v>
      </c>
    </row>
    <row r="962" spans="1:7" x14ac:dyDescent="0.25">
      <c r="A962" s="40">
        <v>957</v>
      </c>
      <c r="B962" s="40" t="s">
        <v>1179</v>
      </c>
      <c r="C962" s="40" t="s">
        <v>167</v>
      </c>
      <c r="D962" s="40" t="s">
        <v>195</v>
      </c>
      <c r="E962" s="40">
        <v>3</v>
      </c>
      <c r="F962" s="43" t="s">
        <v>45</v>
      </c>
      <c r="G962" s="43" t="s">
        <v>2006</v>
      </c>
    </row>
    <row r="963" spans="1:7" x14ac:dyDescent="0.25">
      <c r="A963" s="40">
        <v>958</v>
      </c>
      <c r="B963" s="40" t="s">
        <v>1180</v>
      </c>
      <c r="C963" s="40" t="s">
        <v>167</v>
      </c>
      <c r="D963" s="40" t="s">
        <v>181</v>
      </c>
      <c r="E963" s="40">
        <v>6</v>
      </c>
      <c r="F963" s="43" t="s">
        <v>45</v>
      </c>
      <c r="G963" s="43" t="s">
        <v>181</v>
      </c>
    </row>
    <row r="964" spans="1:7" x14ac:dyDescent="0.25">
      <c r="A964" s="40">
        <v>959</v>
      </c>
      <c r="B964" s="40" t="s">
        <v>1181</v>
      </c>
      <c r="C964" s="40" t="s">
        <v>167</v>
      </c>
      <c r="D964" s="40" t="s">
        <v>1961</v>
      </c>
      <c r="E964" s="40">
        <v>6</v>
      </c>
      <c r="F964" s="43" t="s">
        <v>45</v>
      </c>
      <c r="G964" s="43" t="s">
        <v>175</v>
      </c>
    </row>
    <row r="965" spans="1:7" x14ac:dyDescent="0.25">
      <c r="A965" s="40">
        <v>960</v>
      </c>
      <c r="B965" s="40" t="s">
        <v>1182</v>
      </c>
      <c r="C965" s="40" t="s">
        <v>168</v>
      </c>
      <c r="D965" s="40" t="s">
        <v>192</v>
      </c>
      <c r="E965" s="40">
        <v>7</v>
      </c>
      <c r="F965" s="43" t="s">
        <v>45</v>
      </c>
      <c r="G965" s="43" t="s">
        <v>192</v>
      </c>
    </row>
    <row r="966" spans="1:7" x14ac:dyDescent="0.25">
      <c r="A966" s="40">
        <v>961</v>
      </c>
      <c r="B966" s="40" t="s">
        <v>1183</v>
      </c>
      <c r="C966" s="40" t="s">
        <v>168</v>
      </c>
      <c r="D966" s="40" t="s">
        <v>198</v>
      </c>
      <c r="E966" s="40">
        <v>4</v>
      </c>
      <c r="F966" s="43" t="s">
        <v>45</v>
      </c>
      <c r="G966" s="43" t="s">
        <v>188</v>
      </c>
    </row>
    <row r="967" spans="1:7" x14ac:dyDescent="0.25">
      <c r="A967" s="40">
        <v>962</v>
      </c>
      <c r="B967" s="40" t="s">
        <v>1184</v>
      </c>
      <c r="C967" s="40" t="s">
        <v>167</v>
      </c>
      <c r="D967" s="40" t="s">
        <v>192</v>
      </c>
      <c r="E967" s="40">
        <v>9</v>
      </c>
      <c r="F967" s="43" t="s">
        <v>45</v>
      </c>
      <c r="G967" s="43" t="s">
        <v>192</v>
      </c>
    </row>
    <row r="968" spans="1:7" x14ac:dyDescent="0.25">
      <c r="A968" s="40">
        <v>963</v>
      </c>
      <c r="B968" s="40" t="s">
        <v>1185</v>
      </c>
      <c r="C968" s="40" t="s">
        <v>167</v>
      </c>
      <c r="D968" s="40" t="s">
        <v>193</v>
      </c>
      <c r="E968" s="40">
        <v>2</v>
      </c>
      <c r="F968" s="43" t="s">
        <v>45</v>
      </c>
      <c r="G968" s="43" t="s">
        <v>1986</v>
      </c>
    </row>
    <row r="969" spans="1:7" x14ac:dyDescent="0.25">
      <c r="A969" s="40">
        <v>964</v>
      </c>
      <c r="B969" s="40" t="s">
        <v>1186</v>
      </c>
      <c r="C969" s="40" t="s">
        <v>167</v>
      </c>
      <c r="D969" s="40" t="s">
        <v>1940</v>
      </c>
      <c r="E969" s="40">
        <v>5</v>
      </c>
      <c r="F969" s="43" t="s">
        <v>45</v>
      </c>
      <c r="G969" s="43" t="s">
        <v>1984</v>
      </c>
    </row>
    <row r="970" spans="1:7" x14ac:dyDescent="0.25">
      <c r="A970" s="40">
        <v>965</v>
      </c>
      <c r="B970" s="40" t="s">
        <v>1187</v>
      </c>
      <c r="C970" s="40" t="s">
        <v>167</v>
      </c>
      <c r="D970" s="40" t="s">
        <v>178</v>
      </c>
      <c r="E970" s="40">
        <v>1</v>
      </c>
      <c r="F970" s="43" t="s">
        <v>45</v>
      </c>
      <c r="G970" s="43" t="s">
        <v>178</v>
      </c>
    </row>
    <row r="971" spans="1:7" x14ac:dyDescent="0.25">
      <c r="A971" s="40">
        <v>966</v>
      </c>
      <c r="B971" s="40" t="s">
        <v>1187</v>
      </c>
      <c r="C971" s="40" t="s">
        <v>167</v>
      </c>
      <c r="D971" s="40" t="s">
        <v>192</v>
      </c>
      <c r="E971" s="40">
        <v>1</v>
      </c>
      <c r="F971" s="43" t="s">
        <v>45</v>
      </c>
      <c r="G971" s="43" t="s">
        <v>192</v>
      </c>
    </row>
    <row r="972" spans="1:7" x14ac:dyDescent="0.25">
      <c r="A972" s="40">
        <v>967</v>
      </c>
      <c r="B972" s="40" t="s">
        <v>1188</v>
      </c>
      <c r="C972" s="40" t="s">
        <v>168</v>
      </c>
      <c r="D972" s="40" t="s">
        <v>181</v>
      </c>
      <c r="E972" s="40">
        <v>10</v>
      </c>
      <c r="F972" s="43" t="s">
        <v>45</v>
      </c>
      <c r="G972" s="43" t="s">
        <v>181</v>
      </c>
    </row>
    <row r="973" spans="1:7" x14ac:dyDescent="0.25">
      <c r="A973" s="40">
        <v>968</v>
      </c>
      <c r="B973" s="40" t="s">
        <v>1189</v>
      </c>
      <c r="C973" s="40" t="s">
        <v>167</v>
      </c>
      <c r="D973" s="40" t="s">
        <v>1966</v>
      </c>
      <c r="E973" s="40">
        <v>10</v>
      </c>
      <c r="F973" s="43" t="s">
        <v>45</v>
      </c>
      <c r="G973" s="43" t="s">
        <v>177</v>
      </c>
    </row>
    <row r="974" spans="1:7" x14ac:dyDescent="0.25">
      <c r="A974" s="40">
        <v>969</v>
      </c>
      <c r="B974" s="40" t="s">
        <v>1190</v>
      </c>
      <c r="C974" s="40" t="s">
        <v>167</v>
      </c>
      <c r="D974" s="40" t="s">
        <v>181</v>
      </c>
      <c r="E974" s="40">
        <v>2</v>
      </c>
      <c r="F974" s="43" t="s">
        <v>45</v>
      </c>
      <c r="G974" s="43" t="s">
        <v>179</v>
      </c>
    </row>
    <row r="975" spans="1:7" x14ac:dyDescent="0.25">
      <c r="A975" s="40">
        <v>970</v>
      </c>
      <c r="B975" s="40" t="s">
        <v>1191</v>
      </c>
      <c r="C975" s="40" t="s">
        <v>167</v>
      </c>
      <c r="D975" s="40" t="s">
        <v>181</v>
      </c>
      <c r="E975" s="40">
        <v>8</v>
      </c>
      <c r="F975" s="43" t="s">
        <v>45</v>
      </c>
      <c r="G975" s="43" t="s">
        <v>179</v>
      </c>
    </row>
    <row r="976" spans="1:7" x14ac:dyDescent="0.25">
      <c r="A976" s="40">
        <v>971</v>
      </c>
      <c r="B976" s="40" t="s">
        <v>1192</v>
      </c>
      <c r="C976" s="40" t="s">
        <v>167</v>
      </c>
      <c r="D976" s="40" t="s">
        <v>1939</v>
      </c>
      <c r="E976" s="40">
        <v>6</v>
      </c>
      <c r="F976" s="43" t="s">
        <v>45</v>
      </c>
      <c r="G976" s="43" t="s">
        <v>172</v>
      </c>
    </row>
    <row r="977" spans="1:7" x14ac:dyDescent="0.25">
      <c r="A977" s="40">
        <v>972</v>
      </c>
      <c r="B977" s="40" t="s">
        <v>1193</v>
      </c>
      <c r="C977" s="40" t="s">
        <v>167</v>
      </c>
      <c r="D977" s="40" t="s">
        <v>180</v>
      </c>
      <c r="E977" s="40">
        <v>6</v>
      </c>
      <c r="F977" s="43" t="s">
        <v>45</v>
      </c>
      <c r="G977" s="43" t="s">
        <v>180</v>
      </c>
    </row>
    <row r="978" spans="1:7" x14ac:dyDescent="0.25">
      <c r="A978" s="40">
        <v>973</v>
      </c>
      <c r="B978" s="40" t="s">
        <v>1194</v>
      </c>
      <c r="C978" s="40" t="s">
        <v>167</v>
      </c>
      <c r="D978" s="40" t="s">
        <v>1950</v>
      </c>
      <c r="E978" s="40">
        <v>7</v>
      </c>
      <c r="F978" s="43" t="s">
        <v>45</v>
      </c>
      <c r="G978" s="43" t="s">
        <v>183</v>
      </c>
    </row>
    <row r="979" spans="1:7" x14ac:dyDescent="0.25">
      <c r="A979" s="40">
        <v>974</v>
      </c>
      <c r="B979" s="40" t="s">
        <v>1195</v>
      </c>
      <c r="C979" s="40" t="s">
        <v>167</v>
      </c>
      <c r="D979" s="40" t="s">
        <v>195</v>
      </c>
      <c r="E979" s="40">
        <v>6</v>
      </c>
      <c r="F979" s="43" t="s">
        <v>45</v>
      </c>
      <c r="G979" s="43" t="s">
        <v>2006</v>
      </c>
    </row>
    <row r="980" spans="1:7" x14ac:dyDescent="0.25">
      <c r="A980" s="40">
        <v>975</v>
      </c>
      <c r="B980" s="40" t="s">
        <v>1196</v>
      </c>
      <c r="C980" s="40" t="s">
        <v>168</v>
      </c>
      <c r="D980" s="40" t="s">
        <v>198</v>
      </c>
      <c r="E980" s="40">
        <v>6</v>
      </c>
      <c r="F980" s="43" t="s">
        <v>51</v>
      </c>
    </row>
    <row r="981" spans="1:7" x14ac:dyDescent="0.25">
      <c r="A981" s="40">
        <v>976</v>
      </c>
      <c r="B981" s="40" t="s">
        <v>1197</v>
      </c>
      <c r="C981" s="40" t="s">
        <v>167</v>
      </c>
      <c r="D981" s="40" t="s">
        <v>1958</v>
      </c>
      <c r="E981" s="40">
        <v>5</v>
      </c>
      <c r="F981" s="43" t="s">
        <v>45</v>
      </c>
      <c r="G981" s="43" t="s">
        <v>190</v>
      </c>
    </row>
    <row r="982" spans="1:7" x14ac:dyDescent="0.25">
      <c r="A982" s="40">
        <v>977</v>
      </c>
      <c r="B982" s="40" t="s">
        <v>1198</v>
      </c>
      <c r="C982" s="40" t="s">
        <v>167</v>
      </c>
      <c r="D982" s="40" t="s">
        <v>181</v>
      </c>
      <c r="E982" s="40">
        <v>7</v>
      </c>
      <c r="F982" s="43" t="s">
        <v>45</v>
      </c>
      <c r="G982" s="43" t="s">
        <v>181</v>
      </c>
    </row>
    <row r="983" spans="1:7" x14ac:dyDescent="0.25">
      <c r="A983" s="40">
        <v>978</v>
      </c>
      <c r="B983" s="40" t="s">
        <v>1199</v>
      </c>
      <c r="C983" s="40" t="s">
        <v>167</v>
      </c>
      <c r="D983" s="40" t="s">
        <v>1958</v>
      </c>
      <c r="E983" s="40">
        <v>7</v>
      </c>
      <c r="F983" s="43" t="s">
        <v>45</v>
      </c>
      <c r="G983" s="43" t="s">
        <v>190</v>
      </c>
    </row>
    <row r="984" spans="1:7" x14ac:dyDescent="0.25">
      <c r="A984" s="40">
        <v>979</v>
      </c>
      <c r="B984" s="40" t="s">
        <v>1200</v>
      </c>
      <c r="C984" s="40" t="s">
        <v>167</v>
      </c>
      <c r="D984" s="40" t="s">
        <v>195</v>
      </c>
      <c r="E984" s="40">
        <v>12</v>
      </c>
      <c r="F984" s="43" t="s">
        <v>45</v>
      </c>
      <c r="G984" s="43" t="s">
        <v>2006</v>
      </c>
    </row>
    <row r="985" spans="1:7" x14ac:dyDescent="0.25">
      <c r="A985" s="40">
        <v>980</v>
      </c>
      <c r="B985" s="40" t="s">
        <v>1201</v>
      </c>
      <c r="C985" s="40" t="s">
        <v>167</v>
      </c>
      <c r="D985" s="40" t="s">
        <v>180</v>
      </c>
      <c r="E985" s="40">
        <v>8</v>
      </c>
      <c r="F985" s="43" t="s">
        <v>45</v>
      </c>
      <c r="G985" s="43" t="s">
        <v>180</v>
      </c>
    </row>
    <row r="986" spans="1:7" x14ac:dyDescent="0.25">
      <c r="A986" s="40">
        <v>981</v>
      </c>
      <c r="B986" s="40" t="s">
        <v>1202</v>
      </c>
      <c r="C986" s="40" t="s">
        <v>167</v>
      </c>
      <c r="D986" s="40" t="s">
        <v>178</v>
      </c>
      <c r="E986" s="40">
        <v>6</v>
      </c>
      <c r="F986" s="43" t="s">
        <v>45</v>
      </c>
      <c r="G986" s="43" t="s">
        <v>178</v>
      </c>
    </row>
    <row r="987" spans="1:7" x14ac:dyDescent="0.25">
      <c r="A987" s="40">
        <v>982</v>
      </c>
      <c r="B987" s="40" t="s">
        <v>1203</v>
      </c>
      <c r="C987" s="40" t="s">
        <v>167</v>
      </c>
      <c r="D987" s="40" t="s">
        <v>178</v>
      </c>
      <c r="E987" s="40">
        <v>5</v>
      </c>
      <c r="F987" s="43" t="s">
        <v>45</v>
      </c>
      <c r="G987" s="43" t="s">
        <v>178</v>
      </c>
    </row>
    <row r="988" spans="1:7" x14ac:dyDescent="0.25">
      <c r="A988" s="40">
        <v>983</v>
      </c>
      <c r="B988" s="40" t="s">
        <v>1204</v>
      </c>
      <c r="C988" s="40" t="s">
        <v>167</v>
      </c>
      <c r="D988" s="40" t="s">
        <v>1958</v>
      </c>
      <c r="E988" s="40">
        <v>7</v>
      </c>
      <c r="F988" s="43" t="s">
        <v>45</v>
      </c>
      <c r="G988" s="43" t="s">
        <v>190</v>
      </c>
    </row>
    <row r="989" spans="1:7" x14ac:dyDescent="0.25">
      <c r="A989" s="40">
        <v>984</v>
      </c>
      <c r="B989" s="40" t="s">
        <v>1205</v>
      </c>
      <c r="C989" s="40" t="s">
        <v>167</v>
      </c>
      <c r="D989" s="40" t="s">
        <v>1962</v>
      </c>
      <c r="E989" s="40">
        <v>3</v>
      </c>
      <c r="F989" s="43" t="s">
        <v>45</v>
      </c>
      <c r="G989" s="43" t="s">
        <v>179</v>
      </c>
    </row>
    <row r="990" spans="1:7" x14ac:dyDescent="0.25">
      <c r="A990" s="40">
        <v>985</v>
      </c>
      <c r="B990" s="40" t="s">
        <v>1206</v>
      </c>
      <c r="C990" s="40" t="s">
        <v>168</v>
      </c>
      <c r="D990" s="40" t="s">
        <v>198</v>
      </c>
      <c r="E990" s="40">
        <v>10</v>
      </c>
      <c r="F990" s="43" t="s">
        <v>45</v>
      </c>
      <c r="G990" s="43" t="s">
        <v>188</v>
      </c>
    </row>
    <row r="991" spans="1:7" x14ac:dyDescent="0.25">
      <c r="A991" s="40">
        <v>986</v>
      </c>
      <c r="B991" s="40" t="s">
        <v>1207</v>
      </c>
      <c r="C991" s="40" t="s">
        <v>167</v>
      </c>
      <c r="D991" s="40" t="s">
        <v>181</v>
      </c>
      <c r="E991" s="40">
        <v>4</v>
      </c>
      <c r="F991" s="43" t="s">
        <v>45</v>
      </c>
      <c r="G991" s="43" t="s">
        <v>181</v>
      </c>
    </row>
    <row r="992" spans="1:7" x14ac:dyDescent="0.25">
      <c r="A992" s="40">
        <v>987</v>
      </c>
      <c r="B992" s="40" t="s">
        <v>1208</v>
      </c>
      <c r="C992" s="40" t="s">
        <v>167</v>
      </c>
      <c r="D992" s="40" t="s">
        <v>195</v>
      </c>
      <c r="E992" s="40">
        <v>9</v>
      </c>
      <c r="F992" s="43" t="s">
        <v>45</v>
      </c>
      <c r="G992" s="43" t="s">
        <v>2006</v>
      </c>
    </row>
    <row r="993" spans="1:7" x14ac:dyDescent="0.25">
      <c r="A993" s="40">
        <v>988</v>
      </c>
      <c r="B993" s="40" t="s">
        <v>1209</v>
      </c>
      <c r="C993" s="40" t="s">
        <v>167</v>
      </c>
      <c r="D993" s="40" t="s">
        <v>180</v>
      </c>
      <c r="E993" s="40">
        <v>4</v>
      </c>
      <c r="F993" s="43" t="s">
        <v>45</v>
      </c>
      <c r="G993" s="43" t="s">
        <v>180</v>
      </c>
    </row>
    <row r="994" spans="1:7" x14ac:dyDescent="0.25">
      <c r="A994" s="40">
        <v>989</v>
      </c>
      <c r="B994" s="40" t="s">
        <v>1210</v>
      </c>
      <c r="C994" s="40" t="s">
        <v>168</v>
      </c>
      <c r="D994" s="40" t="s">
        <v>174</v>
      </c>
      <c r="E994" s="40">
        <v>7</v>
      </c>
      <c r="F994" s="43" t="s">
        <v>45</v>
      </c>
      <c r="G994" s="43" t="s">
        <v>174</v>
      </c>
    </row>
    <row r="995" spans="1:7" x14ac:dyDescent="0.25">
      <c r="A995" s="40">
        <v>990</v>
      </c>
      <c r="B995" s="40" t="s">
        <v>1211</v>
      </c>
      <c r="C995" s="40" t="s">
        <v>167</v>
      </c>
      <c r="D995" s="40" t="s">
        <v>180</v>
      </c>
      <c r="E995" s="40">
        <v>8</v>
      </c>
      <c r="F995" s="43" t="s">
        <v>45</v>
      </c>
      <c r="G995" s="43" t="s">
        <v>180</v>
      </c>
    </row>
    <row r="996" spans="1:7" x14ac:dyDescent="0.25">
      <c r="A996" s="40">
        <v>991</v>
      </c>
      <c r="B996" s="40" t="s">
        <v>1212</v>
      </c>
      <c r="C996" s="40" t="s">
        <v>168</v>
      </c>
      <c r="D996" s="40" t="s">
        <v>180</v>
      </c>
      <c r="E996" s="40">
        <v>11</v>
      </c>
      <c r="F996" s="43" t="s">
        <v>45</v>
      </c>
      <c r="G996" s="43" t="s">
        <v>180</v>
      </c>
    </row>
    <row r="997" spans="1:7" x14ac:dyDescent="0.25">
      <c r="A997" s="40">
        <v>992</v>
      </c>
      <c r="B997" s="40" t="s">
        <v>1213</v>
      </c>
      <c r="C997" s="40" t="s">
        <v>168</v>
      </c>
      <c r="D997" s="40" t="s">
        <v>1948</v>
      </c>
      <c r="E997" s="40">
        <v>7</v>
      </c>
      <c r="F997" s="43" t="s">
        <v>45</v>
      </c>
      <c r="G997" s="43" t="s">
        <v>190</v>
      </c>
    </row>
    <row r="998" spans="1:7" x14ac:dyDescent="0.25">
      <c r="A998" s="40">
        <v>993</v>
      </c>
      <c r="B998" s="40" t="s">
        <v>1214</v>
      </c>
      <c r="C998" s="40" t="s">
        <v>167</v>
      </c>
      <c r="D998" s="40" t="s">
        <v>180</v>
      </c>
      <c r="E998" s="40">
        <v>3</v>
      </c>
      <c r="F998" s="43" t="s">
        <v>45</v>
      </c>
      <c r="G998" s="43" t="s">
        <v>180</v>
      </c>
    </row>
    <row r="999" spans="1:7" x14ac:dyDescent="0.25">
      <c r="A999" s="40">
        <v>994</v>
      </c>
      <c r="B999" s="40" t="s">
        <v>1215</v>
      </c>
      <c r="C999" s="40" t="s">
        <v>168</v>
      </c>
      <c r="D999" s="40" t="s">
        <v>192</v>
      </c>
      <c r="E999" s="40">
        <v>1</v>
      </c>
      <c r="F999" s="43" t="s">
        <v>45</v>
      </c>
      <c r="G999" s="43" t="s">
        <v>192</v>
      </c>
    </row>
    <row r="1000" spans="1:7" x14ac:dyDescent="0.25">
      <c r="A1000" s="40">
        <v>995</v>
      </c>
      <c r="B1000" s="40" t="s">
        <v>1216</v>
      </c>
      <c r="C1000" s="40" t="s">
        <v>167</v>
      </c>
      <c r="D1000" s="40" t="s">
        <v>1932</v>
      </c>
      <c r="E1000" s="40">
        <v>3</v>
      </c>
      <c r="F1000" s="43" t="s">
        <v>45</v>
      </c>
      <c r="G1000" s="43" t="s">
        <v>1980</v>
      </c>
    </row>
    <row r="1001" spans="1:7" x14ac:dyDescent="0.25">
      <c r="A1001" s="40">
        <v>996</v>
      </c>
      <c r="B1001" s="40" t="s">
        <v>1217</v>
      </c>
      <c r="C1001" s="40" t="s">
        <v>167</v>
      </c>
      <c r="D1001" s="40" t="s">
        <v>174</v>
      </c>
      <c r="E1001" s="40">
        <v>5</v>
      </c>
      <c r="F1001" s="43" t="s">
        <v>45</v>
      </c>
      <c r="G1001" s="43" t="s">
        <v>174</v>
      </c>
    </row>
    <row r="1002" spans="1:7" x14ac:dyDescent="0.25">
      <c r="A1002" s="40">
        <v>997</v>
      </c>
      <c r="B1002" s="40" t="s">
        <v>1218</v>
      </c>
      <c r="C1002" s="40" t="s">
        <v>168</v>
      </c>
      <c r="D1002" s="40" t="s">
        <v>186</v>
      </c>
      <c r="E1002" s="40">
        <v>1</v>
      </c>
      <c r="F1002" s="43" t="s">
        <v>45</v>
      </c>
      <c r="G1002" s="43" t="s">
        <v>186</v>
      </c>
    </row>
    <row r="1003" spans="1:7" x14ac:dyDescent="0.25">
      <c r="A1003" s="40">
        <v>998</v>
      </c>
      <c r="B1003" s="40" t="s">
        <v>1219</v>
      </c>
      <c r="C1003" s="40" t="s">
        <v>168</v>
      </c>
      <c r="D1003" s="40" t="s">
        <v>186</v>
      </c>
      <c r="E1003" s="40">
        <v>5</v>
      </c>
      <c r="F1003" s="43" t="s">
        <v>45</v>
      </c>
      <c r="G1003" s="43" t="s">
        <v>186</v>
      </c>
    </row>
    <row r="1004" spans="1:7" x14ac:dyDescent="0.25">
      <c r="A1004" s="40">
        <v>999</v>
      </c>
      <c r="B1004" s="40" t="s">
        <v>1220</v>
      </c>
      <c r="C1004" s="40" t="s">
        <v>168</v>
      </c>
      <c r="D1004" s="40" t="s">
        <v>181</v>
      </c>
      <c r="E1004" s="40">
        <v>4</v>
      </c>
      <c r="F1004" s="43" t="s">
        <v>45</v>
      </c>
      <c r="G1004" s="43" t="s">
        <v>181</v>
      </c>
    </row>
    <row r="1005" spans="1:7" x14ac:dyDescent="0.25">
      <c r="A1005" s="40">
        <v>1000</v>
      </c>
      <c r="B1005" s="40" t="s">
        <v>1221</v>
      </c>
      <c r="C1005" s="40" t="s">
        <v>167</v>
      </c>
      <c r="D1005" s="40" t="s">
        <v>178</v>
      </c>
      <c r="E1005" s="40">
        <v>7</v>
      </c>
      <c r="F1005" s="43" t="s">
        <v>45</v>
      </c>
      <c r="G1005" s="43" t="s">
        <v>178</v>
      </c>
    </row>
    <row r="1006" spans="1:7" x14ac:dyDescent="0.25">
      <c r="A1006" s="40">
        <v>1001</v>
      </c>
      <c r="B1006" s="40" t="s">
        <v>1222</v>
      </c>
      <c r="C1006" s="40" t="s">
        <v>168</v>
      </c>
      <c r="D1006" s="40" t="s">
        <v>198</v>
      </c>
      <c r="E1006" s="40">
        <v>4</v>
      </c>
      <c r="F1006" s="43" t="s">
        <v>51</v>
      </c>
    </row>
    <row r="1007" spans="1:7" x14ac:dyDescent="0.25">
      <c r="A1007" s="40">
        <v>1002</v>
      </c>
      <c r="B1007" s="40" t="s">
        <v>1223</v>
      </c>
      <c r="C1007" s="40" t="s">
        <v>167</v>
      </c>
      <c r="D1007" s="40" t="s">
        <v>185</v>
      </c>
      <c r="E1007" s="40">
        <v>7</v>
      </c>
      <c r="F1007" s="43" t="s">
        <v>45</v>
      </c>
      <c r="G1007" s="43" t="s">
        <v>185</v>
      </c>
    </row>
    <row r="1008" spans="1:7" x14ac:dyDescent="0.25">
      <c r="A1008" s="40">
        <v>1003</v>
      </c>
      <c r="B1008" s="40" t="s">
        <v>1224</v>
      </c>
      <c r="C1008" s="40" t="s">
        <v>168</v>
      </c>
      <c r="D1008" s="40" t="s">
        <v>175</v>
      </c>
      <c r="E1008" s="40">
        <v>4</v>
      </c>
      <c r="F1008" s="43" t="s">
        <v>45</v>
      </c>
      <c r="G1008" s="43" t="s">
        <v>175</v>
      </c>
    </row>
    <row r="1009" spans="1:7" x14ac:dyDescent="0.25">
      <c r="A1009" s="40">
        <v>1004</v>
      </c>
      <c r="B1009" s="40" t="s">
        <v>1225</v>
      </c>
      <c r="C1009" s="40" t="s">
        <v>167</v>
      </c>
      <c r="D1009" s="40" t="s">
        <v>1946</v>
      </c>
      <c r="E1009" s="40">
        <v>7</v>
      </c>
      <c r="F1009" s="43" t="s">
        <v>45</v>
      </c>
      <c r="G1009" s="43" t="s">
        <v>179</v>
      </c>
    </row>
    <row r="1010" spans="1:7" x14ac:dyDescent="0.25">
      <c r="A1010" s="40">
        <v>1005</v>
      </c>
      <c r="B1010" s="40" t="s">
        <v>1226</v>
      </c>
      <c r="C1010" s="40" t="s">
        <v>168</v>
      </c>
      <c r="D1010" s="40" t="s">
        <v>1966</v>
      </c>
      <c r="E1010" s="40">
        <v>5</v>
      </c>
      <c r="F1010" s="43" t="s">
        <v>45</v>
      </c>
      <c r="G1010" s="43" t="s">
        <v>177</v>
      </c>
    </row>
    <row r="1011" spans="1:7" x14ac:dyDescent="0.25">
      <c r="A1011" s="40">
        <v>1006</v>
      </c>
      <c r="B1011" s="40" t="s">
        <v>1227</v>
      </c>
      <c r="C1011" s="40" t="s">
        <v>167</v>
      </c>
      <c r="D1011" s="40" t="s">
        <v>176</v>
      </c>
      <c r="E1011" s="40">
        <v>4</v>
      </c>
      <c r="F1011" s="43" t="s">
        <v>45</v>
      </c>
      <c r="G1011" s="43" t="s">
        <v>176</v>
      </c>
    </row>
    <row r="1012" spans="1:7" x14ac:dyDescent="0.25">
      <c r="A1012" s="40">
        <v>1007</v>
      </c>
      <c r="B1012" s="40" t="s">
        <v>1228</v>
      </c>
      <c r="C1012" s="40" t="s">
        <v>168</v>
      </c>
      <c r="D1012" s="40" t="s">
        <v>174</v>
      </c>
      <c r="E1012" s="40">
        <v>8</v>
      </c>
      <c r="F1012" s="43" t="s">
        <v>45</v>
      </c>
      <c r="G1012" s="43" t="s">
        <v>174</v>
      </c>
    </row>
    <row r="1013" spans="1:7" x14ac:dyDescent="0.25">
      <c r="A1013" s="40">
        <v>1008</v>
      </c>
      <c r="B1013" s="40" t="s">
        <v>1229</v>
      </c>
      <c r="C1013" s="40" t="s">
        <v>167</v>
      </c>
      <c r="D1013" s="40" t="s">
        <v>1963</v>
      </c>
      <c r="E1013" s="40">
        <v>4</v>
      </c>
      <c r="F1013" s="43" t="s">
        <v>45</v>
      </c>
      <c r="G1013" s="43" t="s">
        <v>191</v>
      </c>
    </row>
    <row r="1014" spans="1:7" x14ac:dyDescent="0.25">
      <c r="A1014" s="40">
        <v>1009</v>
      </c>
      <c r="B1014" s="40" t="s">
        <v>1230</v>
      </c>
      <c r="C1014" s="40" t="s">
        <v>167</v>
      </c>
      <c r="D1014" s="40" t="s">
        <v>1963</v>
      </c>
      <c r="E1014" s="40">
        <v>2</v>
      </c>
      <c r="F1014" s="43" t="s">
        <v>45</v>
      </c>
      <c r="G1014" s="43" t="s">
        <v>191</v>
      </c>
    </row>
    <row r="1015" spans="1:7" x14ac:dyDescent="0.25">
      <c r="A1015" s="40">
        <v>1010</v>
      </c>
      <c r="B1015" s="40" t="s">
        <v>1231</v>
      </c>
      <c r="C1015" s="40" t="s">
        <v>168</v>
      </c>
      <c r="D1015" s="40" t="s">
        <v>1963</v>
      </c>
      <c r="E1015" s="40">
        <v>9</v>
      </c>
      <c r="F1015" s="43" t="s">
        <v>45</v>
      </c>
      <c r="G1015" s="43" t="s">
        <v>190</v>
      </c>
    </row>
    <row r="1016" spans="1:7" x14ac:dyDescent="0.25">
      <c r="A1016" s="40">
        <v>1011</v>
      </c>
      <c r="B1016" s="40" t="s">
        <v>1232</v>
      </c>
      <c r="C1016" s="40" t="s">
        <v>167</v>
      </c>
      <c r="D1016" s="40" t="s">
        <v>1948</v>
      </c>
      <c r="E1016" s="40">
        <v>4</v>
      </c>
      <c r="F1016" s="43" t="s">
        <v>45</v>
      </c>
      <c r="G1016" s="43" t="s">
        <v>190</v>
      </c>
    </row>
    <row r="1017" spans="1:7" x14ac:dyDescent="0.25">
      <c r="A1017" s="40">
        <v>1012</v>
      </c>
      <c r="B1017" s="40" t="s">
        <v>1233</v>
      </c>
      <c r="C1017" s="40" t="s">
        <v>167</v>
      </c>
      <c r="D1017" s="40" t="s">
        <v>1934</v>
      </c>
      <c r="E1017" s="40">
        <v>8</v>
      </c>
      <c r="F1017" s="43" t="s">
        <v>45</v>
      </c>
      <c r="G1017" s="43" t="s">
        <v>182</v>
      </c>
    </row>
    <row r="1018" spans="1:7" x14ac:dyDescent="0.25">
      <c r="A1018" s="40">
        <v>1013</v>
      </c>
      <c r="B1018" s="40" t="s">
        <v>1234</v>
      </c>
      <c r="C1018" s="40" t="s">
        <v>168</v>
      </c>
      <c r="D1018" s="40" t="s">
        <v>193</v>
      </c>
      <c r="E1018" s="40">
        <v>3</v>
      </c>
      <c r="F1018" s="43" t="s">
        <v>45</v>
      </c>
      <c r="G1018" s="43" t="s">
        <v>188</v>
      </c>
    </row>
    <row r="1019" spans="1:7" x14ac:dyDescent="0.25">
      <c r="A1019" s="40">
        <v>1014</v>
      </c>
      <c r="B1019" s="40" t="s">
        <v>1235</v>
      </c>
      <c r="C1019" s="40" t="s">
        <v>167</v>
      </c>
      <c r="D1019" s="40" t="s">
        <v>198</v>
      </c>
      <c r="E1019" s="40">
        <v>14</v>
      </c>
      <c r="F1019" s="43" t="s">
        <v>45</v>
      </c>
      <c r="G1019" s="43" t="s">
        <v>188</v>
      </c>
    </row>
    <row r="1020" spans="1:7" x14ac:dyDescent="0.25">
      <c r="A1020" s="40">
        <v>1015</v>
      </c>
      <c r="B1020" s="40" t="s">
        <v>1236</v>
      </c>
      <c r="C1020" s="40" t="s">
        <v>168</v>
      </c>
      <c r="D1020" s="40" t="s">
        <v>198</v>
      </c>
      <c r="E1020" s="40">
        <v>3</v>
      </c>
      <c r="F1020" s="43" t="s">
        <v>45</v>
      </c>
      <c r="G1020" s="43" t="s">
        <v>187</v>
      </c>
    </row>
    <row r="1021" spans="1:7" x14ac:dyDescent="0.25">
      <c r="A1021" s="40">
        <v>1016</v>
      </c>
      <c r="B1021" s="40" t="s">
        <v>1237</v>
      </c>
      <c r="C1021" s="40" t="s">
        <v>168</v>
      </c>
      <c r="D1021" s="40" t="s">
        <v>198</v>
      </c>
      <c r="E1021" s="40">
        <v>12</v>
      </c>
      <c r="F1021" s="43" t="s">
        <v>45</v>
      </c>
      <c r="G1021" s="43" t="s">
        <v>188</v>
      </c>
    </row>
    <row r="1022" spans="1:7" x14ac:dyDescent="0.25">
      <c r="A1022" s="40">
        <v>1017</v>
      </c>
      <c r="B1022" s="40" t="s">
        <v>1238</v>
      </c>
      <c r="C1022" s="40" t="s">
        <v>168</v>
      </c>
      <c r="D1022" s="40" t="s">
        <v>193</v>
      </c>
      <c r="E1022" s="40">
        <v>4</v>
      </c>
      <c r="F1022" s="43" t="s">
        <v>45</v>
      </c>
      <c r="G1022" s="43" t="s">
        <v>1985</v>
      </c>
    </row>
    <row r="1023" spans="1:7" x14ac:dyDescent="0.25">
      <c r="A1023" s="40">
        <v>1018</v>
      </c>
      <c r="B1023" s="40" t="s">
        <v>1239</v>
      </c>
      <c r="C1023" s="40" t="s">
        <v>168</v>
      </c>
      <c r="D1023" s="40" t="s">
        <v>195</v>
      </c>
      <c r="E1023" s="40">
        <v>4</v>
      </c>
      <c r="F1023" s="43" t="s">
        <v>45</v>
      </c>
      <c r="G1023" s="43" t="s">
        <v>2006</v>
      </c>
    </row>
    <row r="1024" spans="1:7" x14ac:dyDescent="0.25">
      <c r="A1024" s="40">
        <v>1019</v>
      </c>
      <c r="B1024" s="40" t="s">
        <v>1240</v>
      </c>
      <c r="C1024" s="40" t="s">
        <v>167</v>
      </c>
      <c r="D1024" s="40" t="s">
        <v>1950</v>
      </c>
      <c r="E1024" s="40">
        <v>5</v>
      </c>
      <c r="F1024" s="43" t="s">
        <v>45</v>
      </c>
      <c r="G1024" s="43" t="s">
        <v>183</v>
      </c>
    </row>
    <row r="1025" spans="1:7" x14ac:dyDescent="0.25">
      <c r="A1025" s="40">
        <v>1020</v>
      </c>
      <c r="B1025" s="40" t="s">
        <v>1241</v>
      </c>
      <c r="C1025" s="40" t="s">
        <v>167</v>
      </c>
      <c r="D1025" s="40" t="s">
        <v>1932</v>
      </c>
      <c r="E1025" s="40">
        <v>2</v>
      </c>
      <c r="F1025" s="43" t="s">
        <v>45</v>
      </c>
      <c r="G1025" s="43" t="s">
        <v>1980</v>
      </c>
    </row>
    <row r="1026" spans="1:7" x14ac:dyDescent="0.25">
      <c r="A1026" s="40">
        <v>1021</v>
      </c>
      <c r="B1026" s="40" t="s">
        <v>1242</v>
      </c>
      <c r="C1026" s="40" t="s">
        <v>167</v>
      </c>
      <c r="D1026" s="40" t="s">
        <v>1958</v>
      </c>
      <c r="E1026" s="40">
        <v>2</v>
      </c>
      <c r="F1026" s="43" t="s">
        <v>45</v>
      </c>
      <c r="G1026" s="43" t="s">
        <v>190</v>
      </c>
    </row>
    <row r="1027" spans="1:7" x14ac:dyDescent="0.25">
      <c r="A1027" s="40">
        <v>1022</v>
      </c>
      <c r="B1027" s="40" t="s">
        <v>1243</v>
      </c>
      <c r="C1027" s="40" t="s">
        <v>168</v>
      </c>
      <c r="D1027" s="40" t="s">
        <v>198</v>
      </c>
      <c r="E1027" s="40">
        <v>6</v>
      </c>
      <c r="F1027" s="43" t="s">
        <v>45</v>
      </c>
      <c r="G1027" s="43" t="s">
        <v>188</v>
      </c>
    </row>
    <row r="1028" spans="1:7" x14ac:dyDescent="0.25">
      <c r="A1028" s="40">
        <v>1023</v>
      </c>
      <c r="B1028" s="40" t="s">
        <v>1244</v>
      </c>
      <c r="C1028" s="40" t="s">
        <v>168</v>
      </c>
      <c r="D1028" s="40" t="s">
        <v>178</v>
      </c>
      <c r="E1028" s="40">
        <v>6</v>
      </c>
      <c r="F1028" s="43" t="s">
        <v>45</v>
      </c>
      <c r="G1028" s="43" t="s">
        <v>178</v>
      </c>
    </row>
    <row r="1029" spans="1:7" x14ac:dyDescent="0.25">
      <c r="A1029" s="40">
        <v>1024</v>
      </c>
      <c r="B1029" s="40" t="s">
        <v>1245</v>
      </c>
      <c r="C1029" s="40" t="s">
        <v>167</v>
      </c>
      <c r="D1029" s="40" t="s">
        <v>195</v>
      </c>
      <c r="E1029" s="40">
        <v>5</v>
      </c>
      <c r="F1029" s="43" t="s">
        <v>45</v>
      </c>
      <c r="G1029" s="43" t="s">
        <v>2006</v>
      </c>
    </row>
    <row r="1030" spans="1:7" x14ac:dyDescent="0.25">
      <c r="A1030" s="40">
        <v>1025</v>
      </c>
      <c r="B1030" s="40" t="s">
        <v>1246</v>
      </c>
      <c r="C1030" s="40" t="s">
        <v>168</v>
      </c>
      <c r="D1030" s="40" t="s">
        <v>195</v>
      </c>
      <c r="E1030" s="40">
        <v>7</v>
      </c>
      <c r="F1030" s="43" t="s">
        <v>45</v>
      </c>
      <c r="G1030" s="43" t="s">
        <v>2006</v>
      </c>
    </row>
    <row r="1031" spans="1:7" x14ac:dyDescent="0.25">
      <c r="A1031" s="40">
        <v>1026</v>
      </c>
      <c r="B1031" s="40" t="s">
        <v>1247</v>
      </c>
      <c r="C1031" s="40" t="s">
        <v>168</v>
      </c>
      <c r="D1031" s="40" t="s">
        <v>195</v>
      </c>
      <c r="E1031" s="40">
        <v>9</v>
      </c>
      <c r="F1031" s="43" t="s">
        <v>45</v>
      </c>
      <c r="G1031" s="43" t="s">
        <v>2006</v>
      </c>
    </row>
    <row r="1032" spans="1:7" x14ac:dyDescent="0.25">
      <c r="A1032" s="40">
        <v>1027</v>
      </c>
      <c r="B1032" s="40" t="s">
        <v>1248</v>
      </c>
      <c r="C1032" s="40" t="s">
        <v>168</v>
      </c>
      <c r="D1032" s="40" t="s">
        <v>195</v>
      </c>
      <c r="E1032" s="40">
        <v>4</v>
      </c>
      <c r="F1032" s="43" t="s">
        <v>45</v>
      </c>
      <c r="G1032" s="43" t="s">
        <v>2006</v>
      </c>
    </row>
    <row r="1033" spans="1:7" x14ac:dyDescent="0.25">
      <c r="A1033" s="40">
        <v>1028</v>
      </c>
      <c r="B1033" s="40" t="s">
        <v>1249</v>
      </c>
      <c r="C1033" s="40" t="s">
        <v>168</v>
      </c>
      <c r="D1033" s="40" t="s">
        <v>1966</v>
      </c>
      <c r="E1033" s="40">
        <v>10</v>
      </c>
      <c r="F1033" s="43" t="s">
        <v>45</v>
      </c>
      <c r="G1033" s="43" t="s">
        <v>177</v>
      </c>
    </row>
    <row r="1034" spans="1:7" x14ac:dyDescent="0.25">
      <c r="A1034" s="40">
        <v>1029</v>
      </c>
      <c r="B1034" s="40" t="s">
        <v>1250</v>
      </c>
      <c r="C1034" s="40" t="s">
        <v>167</v>
      </c>
      <c r="D1034" s="40" t="s">
        <v>1966</v>
      </c>
      <c r="E1034" s="40">
        <v>5</v>
      </c>
      <c r="F1034" s="43" t="s">
        <v>45</v>
      </c>
      <c r="G1034" s="43" t="s">
        <v>177</v>
      </c>
    </row>
    <row r="1035" spans="1:7" x14ac:dyDescent="0.25">
      <c r="A1035" s="40">
        <v>1030</v>
      </c>
      <c r="B1035" s="40" t="s">
        <v>1251</v>
      </c>
      <c r="C1035" s="40" t="s">
        <v>167</v>
      </c>
      <c r="D1035" s="40" t="s">
        <v>1968</v>
      </c>
      <c r="E1035" s="40">
        <v>1</v>
      </c>
      <c r="F1035" s="43" t="s">
        <v>45</v>
      </c>
      <c r="G1035" s="43" t="s">
        <v>2006</v>
      </c>
    </row>
    <row r="1036" spans="1:7" x14ac:dyDescent="0.25">
      <c r="A1036" s="40">
        <v>1031</v>
      </c>
      <c r="B1036" s="40" t="s">
        <v>1252</v>
      </c>
      <c r="C1036" s="40" t="s">
        <v>167</v>
      </c>
      <c r="D1036" s="40" t="s">
        <v>1964</v>
      </c>
      <c r="E1036" s="40">
        <v>3</v>
      </c>
      <c r="F1036" s="43" t="s">
        <v>45</v>
      </c>
      <c r="G1036" s="43" t="s">
        <v>2006</v>
      </c>
    </row>
    <row r="1037" spans="1:7" x14ac:dyDescent="0.25">
      <c r="A1037" s="40">
        <v>1032</v>
      </c>
      <c r="B1037" s="40" t="s">
        <v>1253</v>
      </c>
      <c r="C1037" s="40" t="s">
        <v>168</v>
      </c>
      <c r="D1037" s="40" t="s">
        <v>1972</v>
      </c>
      <c r="E1037" s="40">
        <v>4</v>
      </c>
      <c r="F1037" s="43" t="s">
        <v>45</v>
      </c>
      <c r="G1037" s="43" t="s">
        <v>2006</v>
      </c>
    </row>
    <row r="1038" spans="1:7" x14ac:dyDescent="0.25">
      <c r="A1038" s="40">
        <v>1033</v>
      </c>
      <c r="B1038" s="40" t="s">
        <v>1254</v>
      </c>
      <c r="C1038" s="40" t="s">
        <v>168</v>
      </c>
      <c r="D1038" s="40" t="s">
        <v>1968</v>
      </c>
      <c r="E1038" s="40">
        <v>2</v>
      </c>
      <c r="F1038" s="43" t="s">
        <v>45</v>
      </c>
      <c r="G1038" s="43" t="s">
        <v>2006</v>
      </c>
    </row>
    <row r="1039" spans="1:7" x14ac:dyDescent="0.25">
      <c r="A1039" s="40">
        <v>1034</v>
      </c>
      <c r="B1039" s="40" t="s">
        <v>1255</v>
      </c>
      <c r="C1039" s="40" t="s">
        <v>167</v>
      </c>
      <c r="D1039" s="40" t="s">
        <v>1950</v>
      </c>
      <c r="E1039" s="40">
        <v>5</v>
      </c>
      <c r="F1039" s="43" t="s">
        <v>45</v>
      </c>
      <c r="G1039" s="43" t="s">
        <v>183</v>
      </c>
    </row>
    <row r="1040" spans="1:7" x14ac:dyDescent="0.25">
      <c r="A1040" s="40">
        <v>1035</v>
      </c>
      <c r="B1040" s="40" t="s">
        <v>1256</v>
      </c>
      <c r="C1040" s="40" t="s">
        <v>168</v>
      </c>
      <c r="D1040" s="40" t="s">
        <v>1966</v>
      </c>
      <c r="E1040" s="40">
        <v>8</v>
      </c>
      <c r="F1040" s="43" t="s">
        <v>45</v>
      </c>
      <c r="G1040" s="43" t="s">
        <v>177</v>
      </c>
    </row>
    <row r="1041" spans="1:7" x14ac:dyDescent="0.25">
      <c r="A1041" s="40">
        <v>1036</v>
      </c>
      <c r="B1041" s="40" t="s">
        <v>1257</v>
      </c>
      <c r="C1041" s="40" t="s">
        <v>168</v>
      </c>
      <c r="D1041" s="40" t="s">
        <v>1972</v>
      </c>
      <c r="E1041" s="40">
        <v>7</v>
      </c>
      <c r="F1041" s="43" t="s">
        <v>45</v>
      </c>
      <c r="G1041" s="43" t="s">
        <v>2006</v>
      </c>
    </row>
    <row r="1042" spans="1:7" x14ac:dyDescent="0.25">
      <c r="A1042" s="40">
        <v>1037</v>
      </c>
      <c r="B1042" s="40" t="s">
        <v>1258</v>
      </c>
      <c r="C1042" s="40" t="s">
        <v>167</v>
      </c>
      <c r="D1042" s="40" t="s">
        <v>1968</v>
      </c>
      <c r="E1042" s="40">
        <v>7</v>
      </c>
      <c r="F1042" s="43" t="s">
        <v>45</v>
      </c>
      <c r="G1042" s="43" t="s">
        <v>2006</v>
      </c>
    </row>
    <row r="1043" spans="1:7" x14ac:dyDescent="0.25">
      <c r="A1043" s="40">
        <v>1038</v>
      </c>
      <c r="B1043" s="40" t="s">
        <v>1259</v>
      </c>
      <c r="C1043" s="40" t="s">
        <v>168</v>
      </c>
      <c r="D1043" s="40" t="s">
        <v>1972</v>
      </c>
      <c r="E1043" s="40">
        <v>9</v>
      </c>
      <c r="F1043" s="43" t="s">
        <v>45</v>
      </c>
      <c r="G1043" s="43" t="s">
        <v>2006</v>
      </c>
    </row>
    <row r="1044" spans="1:7" x14ac:dyDescent="0.25">
      <c r="A1044" s="40">
        <v>1039</v>
      </c>
      <c r="B1044" s="40" t="s">
        <v>1260</v>
      </c>
      <c r="C1044" s="40" t="s">
        <v>167</v>
      </c>
      <c r="D1044" s="40" t="s">
        <v>2007</v>
      </c>
      <c r="E1044" s="40">
        <v>2</v>
      </c>
      <c r="F1044" s="43" t="s">
        <v>45</v>
      </c>
      <c r="G1044" s="43" t="s">
        <v>176</v>
      </c>
    </row>
    <row r="1045" spans="1:7" x14ac:dyDescent="0.25">
      <c r="A1045" s="40">
        <v>1040</v>
      </c>
      <c r="B1045" s="40" t="s">
        <v>1261</v>
      </c>
      <c r="C1045" s="40" t="s">
        <v>168</v>
      </c>
      <c r="D1045" s="40" t="s">
        <v>1966</v>
      </c>
      <c r="E1045" s="40">
        <v>3</v>
      </c>
      <c r="F1045" s="43" t="s">
        <v>45</v>
      </c>
      <c r="G1045" s="43" t="s">
        <v>177</v>
      </c>
    </row>
    <row r="1046" spans="1:7" x14ac:dyDescent="0.25">
      <c r="A1046" s="40">
        <v>1041</v>
      </c>
      <c r="B1046" s="40" t="s">
        <v>1262</v>
      </c>
      <c r="C1046" s="40" t="s">
        <v>168</v>
      </c>
      <c r="D1046" s="40" t="s">
        <v>1966</v>
      </c>
      <c r="E1046" s="40">
        <v>4</v>
      </c>
      <c r="F1046" s="43" t="s">
        <v>45</v>
      </c>
      <c r="G1046" s="43" t="s">
        <v>177</v>
      </c>
    </row>
    <row r="1047" spans="1:7" x14ac:dyDescent="0.25">
      <c r="A1047" s="40">
        <v>1042</v>
      </c>
      <c r="B1047" s="40" t="s">
        <v>1263</v>
      </c>
      <c r="C1047" s="40" t="s">
        <v>168</v>
      </c>
      <c r="D1047" s="40" t="s">
        <v>1966</v>
      </c>
      <c r="E1047" s="40">
        <v>6</v>
      </c>
      <c r="F1047" s="43" t="s">
        <v>45</v>
      </c>
      <c r="G1047" s="43" t="s">
        <v>177</v>
      </c>
    </row>
    <row r="1048" spans="1:7" x14ac:dyDescent="0.25">
      <c r="A1048" s="40">
        <v>1043</v>
      </c>
      <c r="B1048" s="40" t="s">
        <v>1264</v>
      </c>
      <c r="C1048" s="40" t="s">
        <v>168</v>
      </c>
      <c r="D1048" s="40" t="s">
        <v>1966</v>
      </c>
      <c r="E1048" s="40">
        <v>3</v>
      </c>
      <c r="F1048" s="43" t="s">
        <v>45</v>
      </c>
      <c r="G1048" s="43" t="s">
        <v>177</v>
      </c>
    </row>
    <row r="1049" spans="1:7" x14ac:dyDescent="0.25">
      <c r="A1049" s="40">
        <v>1044</v>
      </c>
      <c r="B1049" s="40" t="s">
        <v>1265</v>
      </c>
      <c r="C1049" s="40" t="s">
        <v>168</v>
      </c>
      <c r="D1049" s="40" t="s">
        <v>1966</v>
      </c>
      <c r="E1049" s="40">
        <v>14</v>
      </c>
      <c r="F1049" s="43" t="s">
        <v>45</v>
      </c>
      <c r="G1049" s="43" t="s">
        <v>177</v>
      </c>
    </row>
    <row r="1050" spans="1:7" x14ac:dyDescent="0.25">
      <c r="A1050" s="40">
        <v>1045</v>
      </c>
      <c r="B1050" s="40" t="s">
        <v>1266</v>
      </c>
      <c r="C1050" s="40" t="s">
        <v>167</v>
      </c>
      <c r="D1050" s="40" t="s">
        <v>1942</v>
      </c>
      <c r="E1050" s="40">
        <v>2</v>
      </c>
      <c r="F1050" s="43" t="s">
        <v>45</v>
      </c>
      <c r="G1050" s="43" t="s">
        <v>184</v>
      </c>
    </row>
    <row r="1051" spans="1:7" x14ac:dyDescent="0.25">
      <c r="A1051" s="40">
        <v>1046</v>
      </c>
      <c r="B1051" s="40" t="s">
        <v>1267</v>
      </c>
      <c r="C1051" s="40" t="s">
        <v>167</v>
      </c>
      <c r="D1051" s="40" t="s">
        <v>1938</v>
      </c>
      <c r="E1051" s="40">
        <v>8</v>
      </c>
      <c r="F1051" s="43" t="s">
        <v>45</v>
      </c>
      <c r="G1051" s="43" t="s">
        <v>191</v>
      </c>
    </row>
    <row r="1052" spans="1:7" x14ac:dyDescent="0.25">
      <c r="A1052" s="40">
        <v>1047</v>
      </c>
      <c r="B1052" s="40" t="s">
        <v>1268</v>
      </c>
      <c r="C1052" s="40" t="s">
        <v>167</v>
      </c>
      <c r="D1052" s="40" t="s">
        <v>1969</v>
      </c>
      <c r="E1052" s="40">
        <v>6</v>
      </c>
      <c r="F1052" s="43" t="s">
        <v>45</v>
      </c>
      <c r="G1052" s="43" t="s">
        <v>2006</v>
      </c>
    </row>
    <row r="1053" spans="1:7" x14ac:dyDescent="0.25">
      <c r="A1053" s="40">
        <v>1048</v>
      </c>
      <c r="B1053" s="40" t="s">
        <v>1269</v>
      </c>
      <c r="C1053" s="40" t="s">
        <v>167</v>
      </c>
      <c r="D1053" s="40" t="s">
        <v>181</v>
      </c>
      <c r="E1053" s="40">
        <v>8</v>
      </c>
      <c r="F1053" s="43" t="s">
        <v>45</v>
      </c>
      <c r="G1053" s="43" t="s">
        <v>181</v>
      </c>
    </row>
    <row r="1054" spans="1:7" x14ac:dyDescent="0.25">
      <c r="A1054" s="40">
        <v>1049</v>
      </c>
      <c r="B1054" s="40" t="s">
        <v>1270</v>
      </c>
      <c r="C1054" s="40" t="s">
        <v>168</v>
      </c>
      <c r="D1054" s="40" t="s">
        <v>1951</v>
      </c>
      <c r="E1054" s="40">
        <v>1</v>
      </c>
      <c r="F1054" s="43" t="s">
        <v>45</v>
      </c>
      <c r="G1054" s="43" t="s">
        <v>182</v>
      </c>
    </row>
    <row r="1055" spans="1:7" x14ac:dyDescent="0.25">
      <c r="A1055" s="40">
        <v>1050</v>
      </c>
      <c r="B1055" s="40" t="s">
        <v>1271</v>
      </c>
      <c r="C1055" s="40" t="s">
        <v>167</v>
      </c>
      <c r="D1055" s="40" t="s">
        <v>193</v>
      </c>
      <c r="E1055" s="40">
        <v>5</v>
      </c>
      <c r="F1055" s="43" t="s">
        <v>51</v>
      </c>
    </row>
    <row r="1056" spans="1:7" x14ac:dyDescent="0.25">
      <c r="A1056" s="40">
        <v>1051</v>
      </c>
      <c r="B1056" s="40" t="s">
        <v>1272</v>
      </c>
      <c r="C1056" s="40" t="s">
        <v>168</v>
      </c>
      <c r="D1056" s="40" t="s">
        <v>1967</v>
      </c>
      <c r="E1056" s="40">
        <v>5</v>
      </c>
      <c r="F1056" s="43" t="s">
        <v>45</v>
      </c>
      <c r="G1056" s="43" t="s">
        <v>172</v>
      </c>
    </row>
    <row r="1057" spans="1:7" x14ac:dyDescent="0.25">
      <c r="A1057" s="40">
        <v>1052</v>
      </c>
      <c r="B1057" s="40" t="s">
        <v>1273</v>
      </c>
      <c r="C1057" s="40" t="s">
        <v>168</v>
      </c>
      <c r="D1057" s="40" t="s">
        <v>1952</v>
      </c>
      <c r="E1057" s="40">
        <v>9</v>
      </c>
      <c r="F1057" s="43" t="s">
        <v>45</v>
      </c>
      <c r="G1057" s="43" t="s">
        <v>184</v>
      </c>
    </row>
    <row r="1058" spans="1:7" x14ac:dyDescent="0.25">
      <c r="A1058" s="40">
        <v>1053</v>
      </c>
      <c r="B1058" s="40" t="s">
        <v>1274</v>
      </c>
      <c r="C1058" s="40" t="s">
        <v>167</v>
      </c>
      <c r="D1058" s="40" t="s">
        <v>181</v>
      </c>
      <c r="E1058" s="40">
        <v>4</v>
      </c>
      <c r="F1058" s="43" t="s">
        <v>45</v>
      </c>
      <c r="G1058" s="43" t="s">
        <v>181</v>
      </c>
    </row>
    <row r="1059" spans="1:7" x14ac:dyDescent="0.25">
      <c r="A1059" s="40">
        <v>1054</v>
      </c>
      <c r="B1059" s="40" t="s">
        <v>1275</v>
      </c>
      <c r="C1059" s="40" t="s">
        <v>167</v>
      </c>
      <c r="D1059" s="40" t="s">
        <v>181</v>
      </c>
      <c r="E1059" s="40">
        <v>5</v>
      </c>
      <c r="F1059" s="43" t="s">
        <v>45</v>
      </c>
      <c r="G1059" s="43" t="s">
        <v>181</v>
      </c>
    </row>
    <row r="1060" spans="1:7" x14ac:dyDescent="0.25">
      <c r="A1060" s="40">
        <v>1055</v>
      </c>
      <c r="B1060" s="40" t="s">
        <v>1276</v>
      </c>
      <c r="C1060" s="40" t="s">
        <v>167</v>
      </c>
      <c r="D1060" s="40" t="s">
        <v>1932</v>
      </c>
      <c r="E1060" s="40">
        <v>4</v>
      </c>
      <c r="F1060" s="43" t="s">
        <v>45</v>
      </c>
      <c r="G1060" s="43" t="s">
        <v>1980</v>
      </c>
    </row>
    <row r="1061" spans="1:7" x14ac:dyDescent="0.25">
      <c r="A1061" s="40">
        <v>1056</v>
      </c>
      <c r="B1061" s="40" t="s">
        <v>1277</v>
      </c>
      <c r="C1061" s="40" t="s">
        <v>167</v>
      </c>
      <c r="D1061" s="40" t="s">
        <v>186</v>
      </c>
      <c r="E1061" s="40">
        <v>3</v>
      </c>
      <c r="F1061" s="43" t="s">
        <v>45</v>
      </c>
      <c r="G1061" s="43" t="s">
        <v>186</v>
      </c>
    </row>
    <row r="1062" spans="1:7" x14ac:dyDescent="0.25">
      <c r="A1062" s="40">
        <v>1057</v>
      </c>
      <c r="B1062" s="40" t="s">
        <v>1278</v>
      </c>
      <c r="C1062" s="40" t="s">
        <v>167</v>
      </c>
      <c r="D1062" s="40" t="s">
        <v>174</v>
      </c>
      <c r="E1062" s="40">
        <v>8</v>
      </c>
      <c r="F1062" s="43" t="s">
        <v>45</v>
      </c>
      <c r="G1062" s="43" t="s">
        <v>174</v>
      </c>
    </row>
    <row r="1063" spans="1:7" x14ac:dyDescent="0.25">
      <c r="A1063" s="40">
        <v>1058</v>
      </c>
      <c r="B1063" s="40" t="s">
        <v>1279</v>
      </c>
      <c r="C1063" s="40" t="s">
        <v>168</v>
      </c>
      <c r="D1063" s="40" t="s">
        <v>174</v>
      </c>
      <c r="E1063" s="40">
        <v>12</v>
      </c>
      <c r="F1063" s="43" t="s">
        <v>45</v>
      </c>
      <c r="G1063" s="43" t="s">
        <v>1934</v>
      </c>
    </row>
    <row r="1064" spans="1:7" x14ac:dyDescent="0.25">
      <c r="A1064" s="40">
        <v>1059</v>
      </c>
      <c r="B1064" s="40" t="s">
        <v>1280</v>
      </c>
      <c r="C1064" s="40" t="s">
        <v>167</v>
      </c>
      <c r="D1064" s="40" t="s">
        <v>1965</v>
      </c>
      <c r="E1064" s="40">
        <v>8</v>
      </c>
      <c r="F1064" s="43" t="s">
        <v>45</v>
      </c>
      <c r="G1064" s="43" t="s">
        <v>172</v>
      </c>
    </row>
    <row r="1065" spans="1:7" x14ac:dyDescent="0.25">
      <c r="A1065" s="40">
        <v>1060</v>
      </c>
      <c r="B1065" s="40" t="s">
        <v>1281</v>
      </c>
      <c r="C1065" s="40" t="s">
        <v>167</v>
      </c>
      <c r="D1065" s="40" t="s">
        <v>1944</v>
      </c>
      <c r="E1065" s="40">
        <v>2</v>
      </c>
      <c r="F1065" s="43" t="s">
        <v>45</v>
      </c>
      <c r="G1065" s="43" t="s">
        <v>183</v>
      </c>
    </row>
    <row r="1066" spans="1:7" x14ac:dyDescent="0.25">
      <c r="A1066" s="40">
        <v>1061</v>
      </c>
      <c r="B1066" s="40" t="s">
        <v>1282</v>
      </c>
      <c r="C1066" s="40" t="s">
        <v>167</v>
      </c>
      <c r="D1066" s="40" t="s">
        <v>1936</v>
      </c>
      <c r="E1066" s="40">
        <v>11</v>
      </c>
      <c r="F1066" s="43" t="s">
        <v>45</v>
      </c>
      <c r="G1066" s="43" t="s">
        <v>2006</v>
      </c>
    </row>
    <row r="1067" spans="1:7" x14ac:dyDescent="0.25">
      <c r="A1067" s="40">
        <v>1062</v>
      </c>
      <c r="B1067" s="40" t="s">
        <v>1283</v>
      </c>
      <c r="C1067" s="40" t="s">
        <v>167</v>
      </c>
      <c r="D1067" s="40" t="s">
        <v>1936</v>
      </c>
      <c r="E1067" s="40">
        <v>4</v>
      </c>
      <c r="F1067" s="43" t="s">
        <v>45</v>
      </c>
      <c r="G1067" s="43" t="s">
        <v>195</v>
      </c>
    </row>
    <row r="1068" spans="1:7" x14ac:dyDescent="0.25">
      <c r="A1068" s="40">
        <v>1063</v>
      </c>
      <c r="B1068" s="40" t="s">
        <v>1284</v>
      </c>
      <c r="C1068" s="40" t="s">
        <v>167</v>
      </c>
      <c r="D1068" s="40" t="s">
        <v>1948</v>
      </c>
      <c r="E1068" s="40">
        <v>6</v>
      </c>
      <c r="F1068" s="43" t="s">
        <v>45</v>
      </c>
      <c r="G1068" s="43" t="s">
        <v>190</v>
      </c>
    </row>
    <row r="1069" spans="1:7" x14ac:dyDescent="0.25">
      <c r="A1069" s="40">
        <v>1064</v>
      </c>
      <c r="B1069" s="40" t="s">
        <v>1285</v>
      </c>
      <c r="C1069" s="40" t="s">
        <v>167</v>
      </c>
      <c r="D1069" s="40" t="s">
        <v>1943</v>
      </c>
      <c r="E1069" s="40">
        <v>4</v>
      </c>
      <c r="F1069" s="43" t="s">
        <v>45</v>
      </c>
      <c r="G1069" s="43" t="s">
        <v>183</v>
      </c>
    </row>
    <row r="1070" spans="1:7" x14ac:dyDescent="0.25">
      <c r="A1070" s="40">
        <v>1065</v>
      </c>
      <c r="B1070" s="40" t="s">
        <v>1286</v>
      </c>
      <c r="C1070" s="40" t="s">
        <v>168</v>
      </c>
      <c r="D1070" s="40" t="s">
        <v>1967</v>
      </c>
      <c r="E1070" s="40">
        <v>1</v>
      </c>
      <c r="F1070" s="43" t="s">
        <v>45</v>
      </c>
      <c r="G1070" s="43" t="s">
        <v>172</v>
      </c>
    </row>
    <row r="1071" spans="1:7" x14ac:dyDescent="0.25">
      <c r="A1071" s="40">
        <v>1066</v>
      </c>
      <c r="B1071" s="40" t="s">
        <v>1287</v>
      </c>
      <c r="C1071" s="40" t="s">
        <v>167</v>
      </c>
      <c r="D1071" s="40" t="s">
        <v>180</v>
      </c>
      <c r="E1071" s="40">
        <v>5</v>
      </c>
      <c r="F1071" s="43" t="s">
        <v>45</v>
      </c>
      <c r="G1071" s="43" t="s">
        <v>180</v>
      </c>
    </row>
    <row r="1072" spans="1:7" x14ac:dyDescent="0.25">
      <c r="A1072" s="40">
        <v>1067</v>
      </c>
      <c r="B1072" s="40" t="s">
        <v>1288</v>
      </c>
      <c r="C1072" s="40" t="s">
        <v>168</v>
      </c>
      <c r="D1072" s="40" t="s">
        <v>1966</v>
      </c>
      <c r="E1072" s="40">
        <v>4</v>
      </c>
      <c r="F1072" s="43" t="s">
        <v>45</v>
      </c>
      <c r="G1072" s="43" t="s">
        <v>177</v>
      </c>
    </row>
    <row r="1073" spans="1:7" x14ac:dyDescent="0.25">
      <c r="A1073" s="40">
        <v>1068</v>
      </c>
      <c r="B1073" s="40" t="s">
        <v>1289</v>
      </c>
      <c r="C1073" s="40" t="s">
        <v>167</v>
      </c>
      <c r="D1073" s="40" t="s">
        <v>180</v>
      </c>
      <c r="E1073" s="40">
        <v>7</v>
      </c>
      <c r="F1073" s="43" t="s">
        <v>45</v>
      </c>
      <c r="G1073" s="43" t="s">
        <v>180</v>
      </c>
    </row>
    <row r="1074" spans="1:7" x14ac:dyDescent="0.25">
      <c r="A1074" s="40">
        <v>1069</v>
      </c>
      <c r="B1074" s="40" t="s">
        <v>1290</v>
      </c>
      <c r="C1074" s="40" t="s">
        <v>168</v>
      </c>
      <c r="D1074" s="40" t="s">
        <v>1942</v>
      </c>
      <c r="E1074" s="40">
        <v>2</v>
      </c>
      <c r="F1074" s="43" t="s">
        <v>45</v>
      </c>
      <c r="G1074" s="43" t="s">
        <v>184</v>
      </c>
    </row>
    <row r="1075" spans="1:7" x14ac:dyDescent="0.25">
      <c r="A1075" s="40">
        <v>1070</v>
      </c>
      <c r="B1075" s="40" t="s">
        <v>1291</v>
      </c>
      <c r="C1075" s="40" t="s">
        <v>167</v>
      </c>
      <c r="D1075" s="40" t="s">
        <v>1960</v>
      </c>
      <c r="E1075" s="40">
        <v>4</v>
      </c>
      <c r="F1075" s="43" t="s">
        <v>45</v>
      </c>
      <c r="G1075" s="43" t="s">
        <v>183</v>
      </c>
    </row>
    <row r="1076" spans="1:7" x14ac:dyDescent="0.25">
      <c r="A1076" s="40">
        <v>1071</v>
      </c>
      <c r="B1076" s="40" t="s">
        <v>1292</v>
      </c>
      <c r="C1076" s="40" t="s">
        <v>168</v>
      </c>
      <c r="D1076" s="40" t="s">
        <v>1941</v>
      </c>
      <c r="E1076" s="40">
        <v>7</v>
      </c>
      <c r="F1076" s="43" t="s">
        <v>45</v>
      </c>
      <c r="G1076" s="43" t="s">
        <v>1984</v>
      </c>
    </row>
    <row r="1077" spans="1:7" x14ac:dyDescent="0.25">
      <c r="A1077" s="40">
        <v>1072</v>
      </c>
      <c r="B1077" s="40" t="s">
        <v>1293</v>
      </c>
      <c r="C1077" s="40" t="s">
        <v>168</v>
      </c>
      <c r="D1077" s="40" t="s">
        <v>192</v>
      </c>
      <c r="E1077" s="40">
        <v>3</v>
      </c>
      <c r="F1077" s="43" t="s">
        <v>45</v>
      </c>
      <c r="G1077" s="43" t="s">
        <v>192</v>
      </c>
    </row>
    <row r="1078" spans="1:7" x14ac:dyDescent="0.25">
      <c r="A1078" s="40">
        <v>1073</v>
      </c>
      <c r="B1078" s="40" t="s">
        <v>1294</v>
      </c>
      <c r="C1078" s="40" t="s">
        <v>167</v>
      </c>
      <c r="D1078" s="40" t="s">
        <v>186</v>
      </c>
      <c r="E1078" s="40">
        <v>6</v>
      </c>
      <c r="F1078" s="43" t="s">
        <v>45</v>
      </c>
      <c r="G1078" s="43" t="s">
        <v>186</v>
      </c>
    </row>
    <row r="1079" spans="1:7" x14ac:dyDescent="0.25">
      <c r="A1079" s="40">
        <v>1074</v>
      </c>
      <c r="B1079" s="40" t="s">
        <v>1295</v>
      </c>
      <c r="C1079" s="40" t="s">
        <v>167</v>
      </c>
      <c r="D1079" s="40" t="s">
        <v>1963</v>
      </c>
      <c r="E1079" s="40">
        <v>8</v>
      </c>
      <c r="F1079" s="43" t="s">
        <v>45</v>
      </c>
      <c r="G1079" s="43" t="s">
        <v>191</v>
      </c>
    </row>
    <row r="1080" spans="1:7" x14ac:dyDescent="0.25">
      <c r="A1080" s="40">
        <v>1075</v>
      </c>
      <c r="B1080" s="40" t="s">
        <v>1296</v>
      </c>
      <c r="C1080" s="40" t="s">
        <v>167</v>
      </c>
      <c r="D1080" s="40" t="s">
        <v>198</v>
      </c>
      <c r="E1080" s="40">
        <v>10</v>
      </c>
      <c r="F1080" s="43" t="s">
        <v>45</v>
      </c>
      <c r="G1080" s="43" t="s">
        <v>198</v>
      </c>
    </row>
    <row r="1081" spans="1:7" x14ac:dyDescent="0.25">
      <c r="A1081" s="40">
        <v>1076</v>
      </c>
      <c r="B1081" s="40" t="s">
        <v>1297</v>
      </c>
      <c r="C1081" s="40" t="s">
        <v>167</v>
      </c>
      <c r="D1081" s="40" t="s">
        <v>193</v>
      </c>
      <c r="E1081" s="40">
        <v>10</v>
      </c>
      <c r="F1081" s="43" t="s">
        <v>45</v>
      </c>
      <c r="G1081" s="43" t="s">
        <v>1985</v>
      </c>
    </row>
    <row r="1082" spans="1:7" x14ac:dyDescent="0.25">
      <c r="A1082" s="40">
        <v>1077</v>
      </c>
      <c r="B1082" s="40" t="s">
        <v>1298</v>
      </c>
      <c r="C1082" s="40" t="s">
        <v>167</v>
      </c>
      <c r="D1082" s="40" t="s">
        <v>1966</v>
      </c>
      <c r="E1082" s="40">
        <v>2</v>
      </c>
      <c r="F1082" s="43" t="s">
        <v>45</v>
      </c>
      <c r="G1082" s="43" t="s">
        <v>177</v>
      </c>
    </row>
    <row r="1083" spans="1:7" x14ac:dyDescent="0.25">
      <c r="A1083" s="40">
        <v>1078</v>
      </c>
      <c r="B1083" s="40" t="s">
        <v>1299</v>
      </c>
      <c r="C1083" s="40" t="s">
        <v>168</v>
      </c>
      <c r="D1083" s="40" t="s">
        <v>1943</v>
      </c>
      <c r="E1083" s="40">
        <v>7</v>
      </c>
      <c r="F1083" s="43" t="s">
        <v>45</v>
      </c>
      <c r="G1083" s="43" t="s">
        <v>183</v>
      </c>
    </row>
    <row r="1084" spans="1:7" x14ac:dyDescent="0.25">
      <c r="A1084" s="40">
        <v>1079</v>
      </c>
      <c r="B1084" s="40" t="s">
        <v>1300</v>
      </c>
      <c r="C1084" s="40" t="s">
        <v>167</v>
      </c>
      <c r="D1084" s="40" t="s">
        <v>1965</v>
      </c>
      <c r="E1084" s="40">
        <v>3</v>
      </c>
      <c r="F1084" s="43" t="s">
        <v>45</v>
      </c>
      <c r="G1084" s="43" t="s">
        <v>172</v>
      </c>
    </row>
    <row r="1085" spans="1:7" x14ac:dyDescent="0.25">
      <c r="A1085" s="40">
        <v>1080</v>
      </c>
      <c r="B1085" s="40" t="s">
        <v>1301</v>
      </c>
      <c r="C1085" s="40" t="s">
        <v>168</v>
      </c>
      <c r="D1085" s="40" t="s">
        <v>1952</v>
      </c>
      <c r="E1085" s="40">
        <v>4</v>
      </c>
      <c r="F1085" s="43" t="s">
        <v>45</v>
      </c>
      <c r="G1085" s="43" t="s">
        <v>184</v>
      </c>
    </row>
    <row r="1086" spans="1:7" x14ac:dyDescent="0.25">
      <c r="A1086" s="40">
        <v>1081</v>
      </c>
      <c r="B1086" s="40" t="s">
        <v>1302</v>
      </c>
      <c r="C1086" s="40" t="s">
        <v>167</v>
      </c>
      <c r="D1086" s="40" t="s">
        <v>172</v>
      </c>
      <c r="E1086" s="40">
        <v>3</v>
      </c>
      <c r="F1086" s="43" t="s">
        <v>45</v>
      </c>
      <c r="G1086" s="43" t="s">
        <v>172</v>
      </c>
    </row>
    <row r="1087" spans="1:7" x14ac:dyDescent="0.25">
      <c r="A1087" s="40">
        <v>1082</v>
      </c>
      <c r="B1087" s="40" t="s">
        <v>1303</v>
      </c>
      <c r="C1087" s="40" t="s">
        <v>167</v>
      </c>
      <c r="D1087" s="40" t="s">
        <v>1939</v>
      </c>
      <c r="E1087" s="40">
        <v>6</v>
      </c>
      <c r="F1087" s="43" t="s">
        <v>45</v>
      </c>
      <c r="G1087" s="43" t="s">
        <v>172</v>
      </c>
    </row>
    <row r="1088" spans="1:7" x14ac:dyDescent="0.25">
      <c r="A1088" s="40">
        <v>1083</v>
      </c>
      <c r="B1088" s="40" t="s">
        <v>1304</v>
      </c>
      <c r="C1088" s="40" t="s">
        <v>168</v>
      </c>
      <c r="D1088" s="40" t="s">
        <v>1942</v>
      </c>
      <c r="E1088" s="40">
        <v>4</v>
      </c>
      <c r="F1088" s="43" t="s">
        <v>45</v>
      </c>
      <c r="G1088" s="43" t="s">
        <v>184</v>
      </c>
    </row>
    <row r="1089" spans="1:7" x14ac:dyDescent="0.25">
      <c r="A1089" s="40">
        <v>1084</v>
      </c>
      <c r="B1089" s="40" t="s">
        <v>1305</v>
      </c>
      <c r="C1089" s="40" t="s">
        <v>167</v>
      </c>
      <c r="D1089" s="40" t="s">
        <v>1965</v>
      </c>
      <c r="E1089" s="40">
        <v>3</v>
      </c>
      <c r="F1089" s="43" t="s">
        <v>45</v>
      </c>
      <c r="G1089" s="43" t="s">
        <v>172</v>
      </c>
    </row>
    <row r="1090" spans="1:7" x14ac:dyDescent="0.25">
      <c r="A1090" s="40">
        <v>1085</v>
      </c>
      <c r="B1090" s="40" t="s">
        <v>1306</v>
      </c>
      <c r="C1090" s="40" t="s">
        <v>168</v>
      </c>
      <c r="D1090" s="40" t="s">
        <v>1966</v>
      </c>
      <c r="E1090" s="40">
        <v>2</v>
      </c>
      <c r="F1090" s="43" t="s">
        <v>45</v>
      </c>
      <c r="G1090" s="43" t="s">
        <v>177</v>
      </c>
    </row>
    <row r="1091" spans="1:7" x14ac:dyDescent="0.25">
      <c r="A1091" s="40">
        <v>1086</v>
      </c>
      <c r="B1091" s="40" t="s">
        <v>1307</v>
      </c>
      <c r="C1091" s="40" t="s">
        <v>167</v>
      </c>
      <c r="D1091" s="40" t="s">
        <v>172</v>
      </c>
      <c r="E1091" s="40">
        <v>6</v>
      </c>
      <c r="F1091" s="43" t="s">
        <v>45</v>
      </c>
      <c r="G1091" s="43" t="s">
        <v>172</v>
      </c>
    </row>
    <row r="1092" spans="1:7" x14ac:dyDescent="0.25">
      <c r="A1092" s="40">
        <v>1087</v>
      </c>
      <c r="B1092" s="40" t="s">
        <v>1308</v>
      </c>
      <c r="C1092" s="40" t="s">
        <v>167</v>
      </c>
      <c r="D1092" s="40" t="s">
        <v>1950</v>
      </c>
      <c r="E1092" s="40">
        <v>10</v>
      </c>
      <c r="F1092" s="43" t="s">
        <v>45</v>
      </c>
      <c r="G1092" s="43" t="s">
        <v>183</v>
      </c>
    </row>
    <row r="1093" spans="1:7" x14ac:dyDescent="0.25">
      <c r="A1093" s="40">
        <v>1088</v>
      </c>
      <c r="B1093" s="40" t="s">
        <v>1309</v>
      </c>
      <c r="C1093" s="40" t="s">
        <v>168</v>
      </c>
      <c r="D1093" s="40" t="s">
        <v>193</v>
      </c>
      <c r="E1093" s="40">
        <v>10</v>
      </c>
      <c r="F1093" s="43" t="s">
        <v>45</v>
      </c>
      <c r="G1093" s="43" t="s">
        <v>1985</v>
      </c>
    </row>
    <row r="1094" spans="1:7" x14ac:dyDescent="0.25">
      <c r="A1094" s="40">
        <v>1089</v>
      </c>
      <c r="B1094" s="40" t="s">
        <v>1310</v>
      </c>
      <c r="C1094" s="40" t="s">
        <v>168</v>
      </c>
      <c r="D1094" s="40" t="s">
        <v>1942</v>
      </c>
      <c r="E1094" s="40">
        <v>6</v>
      </c>
      <c r="F1094" s="43" t="s">
        <v>45</v>
      </c>
      <c r="G1094" s="43" t="s">
        <v>184</v>
      </c>
    </row>
    <row r="1095" spans="1:7" x14ac:dyDescent="0.25">
      <c r="A1095" s="40">
        <v>1090</v>
      </c>
      <c r="B1095" s="40" t="s">
        <v>1311</v>
      </c>
      <c r="C1095" s="40" t="s">
        <v>167</v>
      </c>
      <c r="D1095" s="40" t="s">
        <v>192</v>
      </c>
      <c r="E1095" s="40">
        <v>4</v>
      </c>
      <c r="F1095" s="43" t="s">
        <v>45</v>
      </c>
      <c r="G1095" s="43" t="s">
        <v>192</v>
      </c>
    </row>
    <row r="1096" spans="1:7" x14ac:dyDescent="0.25">
      <c r="A1096" s="40">
        <v>1091</v>
      </c>
      <c r="B1096" s="40" t="s">
        <v>1312</v>
      </c>
      <c r="C1096" s="40" t="s">
        <v>167</v>
      </c>
      <c r="D1096" s="40" t="s">
        <v>192</v>
      </c>
      <c r="E1096" s="40">
        <v>4</v>
      </c>
      <c r="F1096" s="43" t="s">
        <v>45</v>
      </c>
      <c r="G1096" s="43" t="s">
        <v>192</v>
      </c>
    </row>
    <row r="1097" spans="1:7" x14ac:dyDescent="0.25">
      <c r="A1097" s="40">
        <v>1092</v>
      </c>
      <c r="B1097" s="40" t="s">
        <v>1313</v>
      </c>
      <c r="C1097" s="40" t="s">
        <v>167</v>
      </c>
      <c r="D1097" s="40" t="s">
        <v>192</v>
      </c>
      <c r="E1097" s="40">
        <v>4</v>
      </c>
      <c r="F1097" s="43" t="s">
        <v>45</v>
      </c>
      <c r="G1097" s="43" t="s">
        <v>192</v>
      </c>
    </row>
    <row r="1098" spans="1:7" x14ac:dyDescent="0.25">
      <c r="A1098" s="40">
        <v>1093</v>
      </c>
      <c r="B1098" s="40" t="s">
        <v>1314</v>
      </c>
      <c r="C1098" s="40" t="s">
        <v>168</v>
      </c>
      <c r="D1098" s="40" t="s">
        <v>192</v>
      </c>
      <c r="E1098" s="40">
        <v>5</v>
      </c>
      <c r="F1098" s="43" t="s">
        <v>45</v>
      </c>
      <c r="G1098" s="43" t="s">
        <v>192</v>
      </c>
    </row>
    <row r="1099" spans="1:7" x14ac:dyDescent="0.25">
      <c r="A1099" s="40">
        <v>1094</v>
      </c>
      <c r="B1099" s="40" t="s">
        <v>1315</v>
      </c>
      <c r="C1099" s="40" t="s">
        <v>167</v>
      </c>
      <c r="D1099" s="40" t="s">
        <v>1934</v>
      </c>
      <c r="E1099" s="40">
        <v>10</v>
      </c>
      <c r="F1099" s="43" t="s">
        <v>45</v>
      </c>
      <c r="G1099" s="43" t="s">
        <v>182</v>
      </c>
    </row>
    <row r="1100" spans="1:7" x14ac:dyDescent="0.25">
      <c r="A1100" s="40">
        <v>1095</v>
      </c>
      <c r="B1100" s="40" t="s">
        <v>1316</v>
      </c>
      <c r="C1100" s="40" t="s">
        <v>168</v>
      </c>
      <c r="D1100" s="40" t="s">
        <v>1942</v>
      </c>
      <c r="E1100" s="40">
        <v>2</v>
      </c>
      <c r="F1100" s="43" t="s">
        <v>45</v>
      </c>
      <c r="G1100" s="43" t="s">
        <v>184</v>
      </c>
    </row>
    <row r="1101" spans="1:7" x14ac:dyDescent="0.25">
      <c r="A1101" s="40">
        <v>1096</v>
      </c>
      <c r="B1101" s="40" t="s">
        <v>1317</v>
      </c>
      <c r="C1101" s="40" t="s">
        <v>167</v>
      </c>
      <c r="D1101" s="40" t="s">
        <v>192</v>
      </c>
      <c r="E1101" s="40">
        <v>3</v>
      </c>
      <c r="F1101" s="43" t="s">
        <v>45</v>
      </c>
      <c r="G1101" s="43" t="s">
        <v>192</v>
      </c>
    </row>
    <row r="1102" spans="1:7" x14ac:dyDescent="0.25">
      <c r="A1102" s="40">
        <v>1097</v>
      </c>
      <c r="B1102" s="40" t="s">
        <v>1318</v>
      </c>
      <c r="C1102" s="40" t="s">
        <v>168</v>
      </c>
      <c r="D1102" s="40" t="s">
        <v>192</v>
      </c>
      <c r="E1102" s="40">
        <v>4</v>
      </c>
      <c r="F1102" s="43" t="s">
        <v>45</v>
      </c>
      <c r="G1102" s="43" t="s">
        <v>192</v>
      </c>
    </row>
    <row r="1103" spans="1:7" x14ac:dyDescent="0.25">
      <c r="A1103" s="40">
        <v>1098</v>
      </c>
      <c r="B1103" s="40" t="s">
        <v>1319</v>
      </c>
      <c r="C1103" s="40" t="s">
        <v>168</v>
      </c>
      <c r="D1103" s="40" t="s">
        <v>192</v>
      </c>
      <c r="E1103" s="40">
        <v>7</v>
      </c>
      <c r="F1103" s="43" t="s">
        <v>45</v>
      </c>
      <c r="G1103" s="43" t="s">
        <v>192</v>
      </c>
    </row>
    <row r="1104" spans="1:7" x14ac:dyDescent="0.25">
      <c r="A1104" s="40">
        <v>1099</v>
      </c>
      <c r="B1104" s="40" t="s">
        <v>1320</v>
      </c>
      <c r="C1104" s="40" t="s">
        <v>168</v>
      </c>
      <c r="D1104" s="40" t="s">
        <v>1942</v>
      </c>
      <c r="E1104" s="40">
        <v>5</v>
      </c>
      <c r="F1104" s="43" t="s">
        <v>45</v>
      </c>
      <c r="G1104" s="43" t="s">
        <v>184</v>
      </c>
    </row>
    <row r="1105" spans="1:7" x14ac:dyDescent="0.25">
      <c r="A1105" s="40">
        <v>1100</v>
      </c>
      <c r="B1105" s="40" t="s">
        <v>1321</v>
      </c>
      <c r="C1105" s="40" t="s">
        <v>168</v>
      </c>
      <c r="D1105" s="40" t="s">
        <v>198</v>
      </c>
      <c r="E1105" s="40">
        <v>0</v>
      </c>
      <c r="F1105" s="43" t="s">
        <v>45</v>
      </c>
      <c r="G1105" s="43" t="s">
        <v>187</v>
      </c>
    </row>
    <row r="1106" spans="1:7" x14ac:dyDescent="0.25">
      <c r="A1106" s="40">
        <v>1101</v>
      </c>
      <c r="B1106" s="40" t="s">
        <v>1322</v>
      </c>
      <c r="C1106" s="40" t="s">
        <v>168</v>
      </c>
      <c r="D1106" s="40" t="s">
        <v>1932</v>
      </c>
      <c r="E1106" s="40">
        <v>1</v>
      </c>
      <c r="F1106" s="43" t="s">
        <v>45</v>
      </c>
      <c r="G1106" s="43" t="s">
        <v>1983</v>
      </c>
    </row>
    <row r="1107" spans="1:7" x14ac:dyDescent="0.25">
      <c r="A1107" s="40">
        <v>1102</v>
      </c>
      <c r="B1107" s="40" t="s">
        <v>1323</v>
      </c>
      <c r="C1107" s="40" t="s">
        <v>167</v>
      </c>
      <c r="D1107" s="40" t="s">
        <v>1966</v>
      </c>
      <c r="E1107" s="40">
        <v>3</v>
      </c>
      <c r="F1107" s="43" t="s">
        <v>45</v>
      </c>
      <c r="G1107" s="43" t="s">
        <v>177</v>
      </c>
    </row>
    <row r="1108" spans="1:7" x14ac:dyDescent="0.25">
      <c r="A1108" s="40">
        <v>1103</v>
      </c>
      <c r="B1108" s="40" t="s">
        <v>1324</v>
      </c>
      <c r="C1108" s="40" t="s">
        <v>168</v>
      </c>
      <c r="D1108" s="40" t="s">
        <v>181</v>
      </c>
      <c r="E1108" s="40">
        <v>6</v>
      </c>
      <c r="F1108" s="43" t="s">
        <v>45</v>
      </c>
      <c r="G1108" s="43" t="s">
        <v>181</v>
      </c>
    </row>
    <row r="1109" spans="1:7" x14ac:dyDescent="0.25">
      <c r="A1109" s="40">
        <v>1104</v>
      </c>
      <c r="B1109" s="40" t="s">
        <v>1325</v>
      </c>
      <c r="C1109" s="40" t="s">
        <v>168</v>
      </c>
      <c r="D1109" s="40" t="s">
        <v>181</v>
      </c>
      <c r="E1109" s="40">
        <v>5</v>
      </c>
      <c r="F1109" s="43" t="s">
        <v>45</v>
      </c>
      <c r="G1109" s="43" t="s">
        <v>181</v>
      </c>
    </row>
    <row r="1110" spans="1:7" x14ac:dyDescent="0.25">
      <c r="A1110" s="40">
        <v>1105</v>
      </c>
      <c r="B1110" s="40" t="s">
        <v>1326</v>
      </c>
      <c r="C1110" s="40" t="s">
        <v>167</v>
      </c>
      <c r="D1110" s="40" t="s">
        <v>1963</v>
      </c>
      <c r="E1110" s="40">
        <v>3</v>
      </c>
      <c r="F1110" s="43" t="s">
        <v>45</v>
      </c>
      <c r="G1110" s="43" t="s">
        <v>190</v>
      </c>
    </row>
    <row r="1111" spans="1:7" x14ac:dyDescent="0.25">
      <c r="A1111" s="40">
        <v>1106</v>
      </c>
      <c r="B1111" s="40" t="s">
        <v>1327</v>
      </c>
      <c r="C1111" s="40" t="s">
        <v>167</v>
      </c>
      <c r="D1111" s="40" t="s">
        <v>1963</v>
      </c>
      <c r="E1111" s="40">
        <v>4</v>
      </c>
      <c r="F1111" s="43" t="s">
        <v>45</v>
      </c>
      <c r="G1111" s="43" t="s">
        <v>190</v>
      </c>
    </row>
    <row r="1112" spans="1:7" x14ac:dyDescent="0.25">
      <c r="A1112" s="40">
        <v>1107</v>
      </c>
      <c r="B1112" s="40" t="s">
        <v>1328</v>
      </c>
      <c r="C1112" s="40" t="s">
        <v>167</v>
      </c>
      <c r="D1112" s="40" t="s">
        <v>181</v>
      </c>
      <c r="E1112" s="40">
        <v>5</v>
      </c>
      <c r="F1112" s="43" t="s">
        <v>45</v>
      </c>
      <c r="G1112" s="43" t="s">
        <v>179</v>
      </c>
    </row>
    <row r="1113" spans="1:7" x14ac:dyDescent="0.25">
      <c r="A1113" s="40">
        <v>1108</v>
      </c>
      <c r="B1113" s="40" t="s">
        <v>1329</v>
      </c>
      <c r="C1113" s="40" t="s">
        <v>167</v>
      </c>
      <c r="D1113" s="40" t="s">
        <v>1933</v>
      </c>
      <c r="E1113" s="40">
        <v>8</v>
      </c>
      <c r="F1113" s="43" t="s">
        <v>45</v>
      </c>
      <c r="G1113" s="43" t="s">
        <v>190</v>
      </c>
    </row>
    <row r="1114" spans="1:7" x14ac:dyDescent="0.25">
      <c r="A1114" s="40">
        <v>1109</v>
      </c>
      <c r="B1114" s="40" t="s">
        <v>1330</v>
      </c>
      <c r="C1114" s="40" t="s">
        <v>167</v>
      </c>
      <c r="D1114" s="40" t="s">
        <v>186</v>
      </c>
      <c r="E1114" s="40">
        <v>2</v>
      </c>
      <c r="F1114" s="43" t="s">
        <v>45</v>
      </c>
      <c r="G1114" s="43" t="s">
        <v>186</v>
      </c>
    </row>
    <row r="1115" spans="1:7" x14ac:dyDescent="0.25">
      <c r="A1115" s="40">
        <v>1110</v>
      </c>
      <c r="B1115" s="40" t="s">
        <v>1331</v>
      </c>
      <c r="C1115" s="40" t="s">
        <v>168</v>
      </c>
      <c r="D1115" s="40" t="s">
        <v>181</v>
      </c>
      <c r="E1115" s="40">
        <v>6</v>
      </c>
      <c r="F1115" s="43" t="s">
        <v>45</v>
      </c>
      <c r="G1115" s="43" t="s">
        <v>179</v>
      </c>
    </row>
    <row r="1116" spans="1:7" x14ac:dyDescent="0.25">
      <c r="A1116" s="40">
        <v>1111</v>
      </c>
      <c r="B1116" s="40" t="s">
        <v>1332</v>
      </c>
      <c r="C1116" s="40" t="s">
        <v>167</v>
      </c>
      <c r="D1116" s="40" t="s">
        <v>178</v>
      </c>
      <c r="E1116" s="40">
        <v>4</v>
      </c>
      <c r="F1116" s="43" t="s">
        <v>45</v>
      </c>
      <c r="G1116" s="43" t="s">
        <v>178</v>
      </c>
    </row>
    <row r="1117" spans="1:7" x14ac:dyDescent="0.25">
      <c r="A1117" s="40">
        <v>1112</v>
      </c>
      <c r="B1117" s="40" t="s">
        <v>1333</v>
      </c>
      <c r="C1117" s="40" t="s">
        <v>168</v>
      </c>
      <c r="D1117" s="40" t="s">
        <v>1932</v>
      </c>
      <c r="E1117" s="40">
        <v>10</v>
      </c>
      <c r="F1117" s="43" t="s">
        <v>45</v>
      </c>
      <c r="G1117" s="43" t="s">
        <v>1980</v>
      </c>
    </row>
    <row r="1118" spans="1:7" x14ac:dyDescent="0.25">
      <c r="A1118" s="40">
        <v>1113</v>
      </c>
      <c r="B1118" s="40" t="s">
        <v>1334</v>
      </c>
      <c r="C1118" s="40" t="s">
        <v>168</v>
      </c>
      <c r="D1118" s="40" t="s">
        <v>1944</v>
      </c>
      <c r="E1118" s="40">
        <v>5</v>
      </c>
      <c r="F1118" s="43" t="s">
        <v>45</v>
      </c>
      <c r="G1118" s="43" t="s">
        <v>183</v>
      </c>
    </row>
    <row r="1119" spans="1:7" x14ac:dyDescent="0.25">
      <c r="A1119" s="40">
        <v>1114</v>
      </c>
      <c r="B1119" s="40" t="s">
        <v>1335</v>
      </c>
      <c r="C1119" s="40" t="s">
        <v>167</v>
      </c>
      <c r="D1119" s="40" t="s">
        <v>1959</v>
      </c>
      <c r="E1119" s="40">
        <v>10</v>
      </c>
      <c r="F1119" s="43" t="s">
        <v>45</v>
      </c>
      <c r="G1119" s="43" t="s">
        <v>190</v>
      </c>
    </row>
    <row r="1120" spans="1:7" x14ac:dyDescent="0.25">
      <c r="A1120" s="40">
        <v>1115</v>
      </c>
      <c r="B1120" s="40" t="s">
        <v>1336</v>
      </c>
      <c r="C1120" s="40" t="s">
        <v>168</v>
      </c>
      <c r="D1120" s="40" t="s">
        <v>193</v>
      </c>
      <c r="E1120" s="40">
        <v>13</v>
      </c>
      <c r="F1120" s="43" t="s">
        <v>45</v>
      </c>
      <c r="G1120" s="43" t="s">
        <v>1985</v>
      </c>
    </row>
    <row r="1121" spans="1:7" x14ac:dyDescent="0.25">
      <c r="A1121" s="40">
        <v>1116</v>
      </c>
      <c r="B1121" s="40" t="s">
        <v>1337</v>
      </c>
      <c r="C1121" s="40" t="s">
        <v>168</v>
      </c>
      <c r="D1121" s="40" t="s">
        <v>193</v>
      </c>
      <c r="E1121" s="40">
        <v>4</v>
      </c>
      <c r="F1121" s="43" t="s">
        <v>45</v>
      </c>
      <c r="G1121" s="43" t="s">
        <v>1985</v>
      </c>
    </row>
    <row r="1122" spans="1:7" x14ac:dyDescent="0.25">
      <c r="A1122" s="40">
        <v>1117</v>
      </c>
      <c r="B1122" s="40" t="s">
        <v>1338</v>
      </c>
      <c r="C1122" s="40" t="s">
        <v>168</v>
      </c>
      <c r="D1122" s="40" t="s">
        <v>1946</v>
      </c>
      <c r="E1122" s="40">
        <v>5</v>
      </c>
      <c r="F1122" s="43" t="s">
        <v>45</v>
      </c>
      <c r="G1122" s="43" t="s">
        <v>179</v>
      </c>
    </row>
    <row r="1123" spans="1:7" x14ac:dyDescent="0.25">
      <c r="A1123" s="40">
        <v>1118</v>
      </c>
      <c r="B1123" s="40" t="s">
        <v>1339</v>
      </c>
      <c r="C1123" s="40" t="s">
        <v>167</v>
      </c>
      <c r="D1123" s="40" t="s">
        <v>1942</v>
      </c>
      <c r="E1123" s="40">
        <v>3</v>
      </c>
      <c r="F1123" s="43" t="s">
        <v>45</v>
      </c>
      <c r="G1123" s="43" t="s">
        <v>184</v>
      </c>
    </row>
    <row r="1124" spans="1:7" x14ac:dyDescent="0.25">
      <c r="A1124" s="40">
        <v>1119</v>
      </c>
      <c r="B1124" s="40" t="s">
        <v>1340</v>
      </c>
      <c r="C1124" s="40" t="s">
        <v>167</v>
      </c>
      <c r="D1124" s="40" t="s">
        <v>178</v>
      </c>
      <c r="E1124" s="40">
        <v>3</v>
      </c>
      <c r="F1124" s="43" t="s">
        <v>45</v>
      </c>
      <c r="G1124" s="43" t="s">
        <v>178</v>
      </c>
    </row>
    <row r="1125" spans="1:7" x14ac:dyDescent="0.25">
      <c r="A1125" s="40">
        <v>1120</v>
      </c>
      <c r="B1125" s="40" t="s">
        <v>1341</v>
      </c>
      <c r="C1125" s="40" t="s">
        <v>168</v>
      </c>
      <c r="D1125" s="40" t="s">
        <v>2005</v>
      </c>
      <c r="E1125" s="40">
        <v>3</v>
      </c>
      <c r="F1125" s="43" t="s">
        <v>45</v>
      </c>
      <c r="G1125" s="43" t="s">
        <v>2006</v>
      </c>
    </row>
    <row r="1126" spans="1:7" x14ac:dyDescent="0.25">
      <c r="A1126" s="40">
        <v>1121</v>
      </c>
      <c r="B1126" s="40" t="s">
        <v>1342</v>
      </c>
      <c r="C1126" s="40" t="s">
        <v>167</v>
      </c>
      <c r="D1126" s="40" t="s">
        <v>193</v>
      </c>
      <c r="E1126" s="40">
        <v>3</v>
      </c>
      <c r="F1126" s="43" t="s">
        <v>45</v>
      </c>
      <c r="G1126" s="43" t="s">
        <v>1985</v>
      </c>
    </row>
    <row r="1127" spans="1:7" x14ac:dyDescent="0.25">
      <c r="A1127" s="40">
        <v>1122</v>
      </c>
      <c r="B1127" s="40" t="s">
        <v>1343</v>
      </c>
      <c r="C1127" s="40" t="s">
        <v>168</v>
      </c>
      <c r="D1127" s="40" t="s">
        <v>181</v>
      </c>
      <c r="E1127" s="40">
        <v>7</v>
      </c>
      <c r="F1127" s="43" t="s">
        <v>45</v>
      </c>
      <c r="G1127" s="43" t="s">
        <v>181</v>
      </c>
    </row>
    <row r="1128" spans="1:7" x14ac:dyDescent="0.25">
      <c r="A1128" s="40">
        <v>1123</v>
      </c>
      <c r="B1128" s="40" t="s">
        <v>1344</v>
      </c>
      <c r="C1128" s="40" t="s">
        <v>167</v>
      </c>
      <c r="D1128" s="40" t="s">
        <v>198</v>
      </c>
      <c r="E1128" s="40">
        <v>2</v>
      </c>
      <c r="F1128" s="43" t="s">
        <v>45</v>
      </c>
      <c r="G1128" s="43" t="s">
        <v>188</v>
      </c>
    </row>
    <row r="1129" spans="1:7" x14ac:dyDescent="0.25">
      <c r="A1129" s="40">
        <v>1124</v>
      </c>
      <c r="B1129" s="40" t="s">
        <v>1345</v>
      </c>
      <c r="C1129" s="40" t="s">
        <v>168</v>
      </c>
      <c r="D1129" s="40" t="s">
        <v>198</v>
      </c>
      <c r="E1129" s="40">
        <v>1</v>
      </c>
      <c r="F1129" s="43" t="s">
        <v>45</v>
      </c>
      <c r="G1129" s="43" t="s">
        <v>187</v>
      </c>
    </row>
    <row r="1130" spans="1:7" x14ac:dyDescent="0.25">
      <c r="A1130" s="40">
        <v>1125</v>
      </c>
      <c r="B1130" s="40" t="s">
        <v>1346</v>
      </c>
      <c r="C1130" s="40" t="s">
        <v>168</v>
      </c>
      <c r="D1130" s="40" t="s">
        <v>181</v>
      </c>
      <c r="E1130" s="40">
        <v>10</v>
      </c>
      <c r="F1130" s="43" t="s">
        <v>45</v>
      </c>
      <c r="G1130" s="43" t="s">
        <v>181</v>
      </c>
    </row>
    <row r="1131" spans="1:7" x14ac:dyDescent="0.25">
      <c r="A1131" s="40">
        <v>1126</v>
      </c>
      <c r="B1131" s="40" t="s">
        <v>1347</v>
      </c>
      <c r="C1131" s="40" t="s">
        <v>167</v>
      </c>
      <c r="D1131" s="40" t="s">
        <v>181</v>
      </c>
      <c r="E1131" s="40">
        <v>5</v>
      </c>
      <c r="F1131" s="43" t="s">
        <v>45</v>
      </c>
      <c r="G1131" s="43" t="s">
        <v>181</v>
      </c>
    </row>
    <row r="1132" spans="1:7" x14ac:dyDescent="0.25">
      <c r="A1132" s="40">
        <v>1127</v>
      </c>
      <c r="B1132" s="40" t="s">
        <v>1348</v>
      </c>
      <c r="C1132" s="40" t="s">
        <v>168</v>
      </c>
      <c r="D1132" s="40" t="s">
        <v>180</v>
      </c>
      <c r="E1132" s="40">
        <v>5</v>
      </c>
      <c r="F1132" s="43" t="s">
        <v>45</v>
      </c>
      <c r="G1132" s="43" t="s">
        <v>180</v>
      </c>
    </row>
    <row r="1133" spans="1:7" x14ac:dyDescent="0.25">
      <c r="A1133" s="40">
        <v>1128</v>
      </c>
      <c r="B1133" s="40" t="s">
        <v>1349</v>
      </c>
      <c r="C1133" s="40" t="s">
        <v>168</v>
      </c>
      <c r="D1133" s="40" t="s">
        <v>1955</v>
      </c>
      <c r="E1133" s="40">
        <v>5</v>
      </c>
      <c r="F1133" s="43" t="s">
        <v>1978</v>
      </c>
    </row>
    <row r="1134" spans="1:7" x14ac:dyDescent="0.25">
      <c r="A1134" s="40">
        <v>1129</v>
      </c>
      <c r="B1134" s="40" t="s">
        <v>1350</v>
      </c>
      <c r="C1134" s="40" t="s">
        <v>167</v>
      </c>
      <c r="D1134" s="40" t="s">
        <v>1942</v>
      </c>
      <c r="E1134" s="40">
        <v>8</v>
      </c>
      <c r="F1134" s="43" t="s">
        <v>45</v>
      </c>
      <c r="G1134" s="43" t="s">
        <v>184</v>
      </c>
    </row>
    <row r="1135" spans="1:7" x14ac:dyDescent="0.25">
      <c r="A1135" s="40">
        <v>1130</v>
      </c>
      <c r="B1135" s="40" t="s">
        <v>1351</v>
      </c>
      <c r="C1135" s="40" t="s">
        <v>167</v>
      </c>
      <c r="D1135" s="40" t="s">
        <v>193</v>
      </c>
      <c r="E1135" s="40">
        <v>6</v>
      </c>
      <c r="F1135" s="43" t="s">
        <v>45</v>
      </c>
      <c r="G1135" s="43" t="s">
        <v>169</v>
      </c>
    </row>
    <row r="1136" spans="1:7" x14ac:dyDescent="0.25">
      <c r="A1136" s="40">
        <v>1131</v>
      </c>
      <c r="B1136" s="40" t="s">
        <v>1352</v>
      </c>
      <c r="C1136" s="40" t="s">
        <v>167</v>
      </c>
      <c r="D1136" s="40" t="s">
        <v>1938</v>
      </c>
      <c r="E1136" s="40">
        <v>5</v>
      </c>
      <c r="F1136" s="43" t="s">
        <v>45</v>
      </c>
      <c r="G1136" s="43" t="s">
        <v>190</v>
      </c>
    </row>
    <row r="1137" spans="1:7" x14ac:dyDescent="0.25">
      <c r="A1137" s="40">
        <v>1132</v>
      </c>
      <c r="B1137" s="40" t="s">
        <v>1353</v>
      </c>
      <c r="C1137" s="40" t="s">
        <v>168</v>
      </c>
      <c r="D1137" s="40" t="s">
        <v>180</v>
      </c>
      <c r="E1137" s="40">
        <v>7</v>
      </c>
      <c r="F1137" s="43" t="s">
        <v>45</v>
      </c>
      <c r="G1137" s="43" t="s">
        <v>180</v>
      </c>
    </row>
    <row r="1138" spans="1:7" x14ac:dyDescent="0.25">
      <c r="A1138" s="40">
        <v>1133</v>
      </c>
      <c r="B1138" s="40" t="s">
        <v>1354</v>
      </c>
      <c r="C1138" s="40" t="s">
        <v>167</v>
      </c>
      <c r="D1138" s="40" t="s">
        <v>178</v>
      </c>
      <c r="E1138" s="40">
        <v>12</v>
      </c>
      <c r="F1138" s="43" t="s">
        <v>45</v>
      </c>
      <c r="G1138" s="43" t="s">
        <v>178</v>
      </c>
    </row>
    <row r="1139" spans="1:7" x14ac:dyDescent="0.25">
      <c r="A1139" s="40">
        <v>1134</v>
      </c>
      <c r="B1139" s="40" t="s">
        <v>1355</v>
      </c>
      <c r="C1139" s="40" t="s">
        <v>167</v>
      </c>
      <c r="D1139" s="40" t="s">
        <v>1950</v>
      </c>
      <c r="E1139" s="40">
        <v>9</v>
      </c>
      <c r="F1139" s="43" t="s">
        <v>45</v>
      </c>
      <c r="G1139" s="43" t="s">
        <v>183</v>
      </c>
    </row>
    <row r="1140" spans="1:7" x14ac:dyDescent="0.25">
      <c r="A1140" s="40">
        <v>1135</v>
      </c>
      <c r="B1140" s="40" t="s">
        <v>1356</v>
      </c>
      <c r="C1140" s="40" t="s">
        <v>167</v>
      </c>
      <c r="D1140" s="40" t="s">
        <v>178</v>
      </c>
      <c r="E1140" s="40">
        <v>17</v>
      </c>
      <c r="F1140" s="43" t="s">
        <v>45</v>
      </c>
      <c r="G1140" s="43" t="s">
        <v>178</v>
      </c>
    </row>
    <row r="1141" spans="1:7" x14ac:dyDescent="0.25">
      <c r="A1141" s="40">
        <v>1136</v>
      </c>
      <c r="B1141" s="40" t="s">
        <v>1357</v>
      </c>
      <c r="C1141" s="40" t="s">
        <v>167</v>
      </c>
      <c r="D1141" s="40" t="s">
        <v>186</v>
      </c>
      <c r="E1141" s="40">
        <v>9</v>
      </c>
      <c r="F1141" s="43" t="s">
        <v>45</v>
      </c>
      <c r="G1141" s="43" t="s">
        <v>186</v>
      </c>
    </row>
    <row r="1142" spans="1:7" x14ac:dyDescent="0.25">
      <c r="A1142" s="40">
        <v>1137</v>
      </c>
      <c r="B1142" s="40" t="s">
        <v>1358</v>
      </c>
      <c r="C1142" s="40" t="s">
        <v>167</v>
      </c>
      <c r="D1142" s="40" t="s">
        <v>181</v>
      </c>
      <c r="E1142" s="40">
        <v>6</v>
      </c>
      <c r="F1142" s="43" t="s">
        <v>45</v>
      </c>
      <c r="G1142" s="43" t="s">
        <v>181</v>
      </c>
    </row>
    <row r="1143" spans="1:7" x14ac:dyDescent="0.25">
      <c r="A1143" s="40">
        <v>1138</v>
      </c>
      <c r="B1143" s="40" t="s">
        <v>1359</v>
      </c>
      <c r="C1143" s="40" t="s">
        <v>167</v>
      </c>
      <c r="D1143" s="40" t="s">
        <v>185</v>
      </c>
      <c r="E1143" s="40">
        <v>4</v>
      </c>
      <c r="F1143" s="43" t="s">
        <v>45</v>
      </c>
      <c r="G1143" s="43" t="s">
        <v>185</v>
      </c>
    </row>
    <row r="1144" spans="1:7" x14ac:dyDescent="0.25">
      <c r="A1144" s="40">
        <v>1139</v>
      </c>
      <c r="B1144" s="40" t="s">
        <v>1360</v>
      </c>
      <c r="C1144" s="40" t="s">
        <v>167</v>
      </c>
      <c r="D1144" s="40" t="s">
        <v>193</v>
      </c>
      <c r="E1144" s="40">
        <v>2</v>
      </c>
      <c r="F1144" s="43" t="s">
        <v>45</v>
      </c>
      <c r="G1144" s="43" t="s">
        <v>169</v>
      </c>
    </row>
    <row r="1145" spans="1:7" x14ac:dyDescent="0.25">
      <c r="A1145" s="40">
        <v>1140</v>
      </c>
      <c r="B1145" s="40" t="s">
        <v>1361</v>
      </c>
      <c r="C1145" s="40" t="s">
        <v>167</v>
      </c>
      <c r="D1145" s="40" t="s">
        <v>1944</v>
      </c>
      <c r="E1145" s="40">
        <v>4</v>
      </c>
      <c r="F1145" s="43" t="s">
        <v>45</v>
      </c>
      <c r="G1145" s="43" t="s">
        <v>183</v>
      </c>
    </row>
    <row r="1146" spans="1:7" x14ac:dyDescent="0.25">
      <c r="A1146" s="40">
        <v>1141</v>
      </c>
      <c r="B1146" s="40" t="s">
        <v>1362</v>
      </c>
      <c r="C1146" s="40" t="s">
        <v>167</v>
      </c>
      <c r="D1146" s="40" t="s">
        <v>176</v>
      </c>
      <c r="E1146" s="40">
        <v>3</v>
      </c>
      <c r="F1146" s="43" t="s">
        <v>45</v>
      </c>
      <c r="G1146" s="43" t="s">
        <v>176</v>
      </c>
    </row>
    <row r="1147" spans="1:7" x14ac:dyDescent="0.25">
      <c r="A1147" s="40">
        <v>1142</v>
      </c>
      <c r="B1147" s="40" t="s">
        <v>1363</v>
      </c>
      <c r="C1147" s="40" t="s">
        <v>168</v>
      </c>
      <c r="D1147" s="40" t="s">
        <v>192</v>
      </c>
      <c r="E1147" s="40">
        <v>3</v>
      </c>
      <c r="F1147" s="43" t="s">
        <v>51</v>
      </c>
    </row>
    <row r="1148" spans="1:7" x14ac:dyDescent="0.25">
      <c r="A1148" s="40">
        <v>1143</v>
      </c>
      <c r="B1148" s="40" t="s">
        <v>1364</v>
      </c>
      <c r="C1148" s="40" t="s">
        <v>168</v>
      </c>
      <c r="D1148" s="40" t="s">
        <v>1938</v>
      </c>
      <c r="E1148" s="40">
        <v>9</v>
      </c>
      <c r="F1148" s="43" t="s">
        <v>45</v>
      </c>
      <c r="G1148" s="43" t="s">
        <v>190</v>
      </c>
    </row>
    <row r="1149" spans="1:7" x14ac:dyDescent="0.25">
      <c r="A1149" s="40">
        <v>1144</v>
      </c>
      <c r="B1149" s="40" t="s">
        <v>1365</v>
      </c>
      <c r="C1149" s="40" t="s">
        <v>167</v>
      </c>
      <c r="D1149" s="40" t="s">
        <v>185</v>
      </c>
      <c r="E1149" s="40">
        <v>7</v>
      </c>
      <c r="F1149" s="43" t="s">
        <v>45</v>
      </c>
      <c r="G1149" s="43" t="s">
        <v>185</v>
      </c>
    </row>
    <row r="1150" spans="1:7" x14ac:dyDescent="0.25">
      <c r="A1150" s="40">
        <v>1145</v>
      </c>
      <c r="B1150" s="40" t="s">
        <v>1366</v>
      </c>
      <c r="C1150" s="40" t="s">
        <v>167</v>
      </c>
      <c r="D1150" s="40" t="s">
        <v>1944</v>
      </c>
      <c r="E1150" s="40">
        <v>5</v>
      </c>
      <c r="F1150" s="43" t="s">
        <v>45</v>
      </c>
      <c r="G1150" s="43" t="s">
        <v>183</v>
      </c>
    </row>
    <row r="1151" spans="1:7" x14ac:dyDescent="0.25">
      <c r="A1151" s="40">
        <v>1146</v>
      </c>
      <c r="B1151" s="40" t="s">
        <v>1367</v>
      </c>
      <c r="C1151" s="40" t="s">
        <v>167</v>
      </c>
      <c r="D1151" s="40" t="s">
        <v>2005</v>
      </c>
      <c r="E1151" s="40">
        <v>2</v>
      </c>
      <c r="F1151" s="43" t="s">
        <v>45</v>
      </c>
      <c r="G1151" s="43" t="s">
        <v>2006</v>
      </c>
    </row>
    <row r="1152" spans="1:7" x14ac:dyDescent="0.25">
      <c r="A1152" s="40">
        <v>1147</v>
      </c>
      <c r="B1152" s="40" t="s">
        <v>1368</v>
      </c>
      <c r="C1152" s="40" t="s">
        <v>167</v>
      </c>
      <c r="D1152" s="40" t="s">
        <v>1939</v>
      </c>
      <c r="E1152" s="40">
        <v>9</v>
      </c>
      <c r="F1152" s="43" t="s">
        <v>45</v>
      </c>
      <c r="G1152" s="43" t="s">
        <v>172</v>
      </c>
    </row>
    <row r="1153" spans="1:7" x14ac:dyDescent="0.25">
      <c r="A1153" s="40">
        <v>1148</v>
      </c>
      <c r="B1153" s="40" t="s">
        <v>1369</v>
      </c>
      <c r="C1153" s="40" t="s">
        <v>168</v>
      </c>
      <c r="D1153" s="40" t="s">
        <v>1971</v>
      </c>
      <c r="E1153" s="40">
        <v>9</v>
      </c>
      <c r="F1153" s="43" t="s">
        <v>45</v>
      </c>
      <c r="G1153" s="43" t="s">
        <v>182</v>
      </c>
    </row>
    <row r="1154" spans="1:7" x14ac:dyDescent="0.25">
      <c r="A1154" s="40">
        <v>1149</v>
      </c>
      <c r="B1154" s="40" t="s">
        <v>1370</v>
      </c>
      <c r="C1154" s="40" t="s">
        <v>168</v>
      </c>
      <c r="D1154" s="40" t="s">
        <v>1971</v>
      </c>
      <c r="E1154" s="40">
        <v>22</v>
      </c>
      <c r="F1154" s="43" t="s">
        <v>45</v>
      </c>
      <c r="G1154" s="43" t="s">
        <v>1984</v>
      </c>
    </row>
    <row r="1155" spans="1:7" x14ac:dyDescent="0.25">
      <c r="A1155" s="40">
        <v>1150</v>
      </c>
      <c r="B1155" s="40" t="s">
        <v>1371</v>
      </c>
      <c r="C1155" s="40" t="s">
        <v>167</v>
      </c>
      <c r="D1155" s="40" t="s">
        <v>1945</v>
      </c>
      <c r="E1155" s="40">
        <v>4</v>
      </c>
      <c r="F1155" s="43" t="s">
        <v>45</v>
      </c>
      <c r="G1155" s="43" t="s">
        <v>184</v>
      </c>
    </row>
    <row r="1156" spans="1:7" x14ac:dyDescent="0.25">
      <c r="A1156" s="40">
        <v>1151</v>
      </c>
      <c r="B1156" s="40" t="s">
        <v>1372</v>
      </c>
      <c r="C1156" s="40" t="s">
        <v>167</v>
      </c>
      <c r="D1156" s="40" t="s">
        <v>175</v>
      </c>
      <c r="E1156" s="40">
        <v>2</v>
      </c>
      <c r="F1156" s="43" t="s">
        <v>45</v>
      </c>
      <c r="G1156" s="43" t="s">
        <v>175</v>
      </c>
    </row>
    <row r="1157" spans="1:7" x14ac:dyDescent="0.25">
      <c r="A1157" s="40">
        <v>1152</v>
      </c>
      <c r="B1157" s="40" t="s">
        <v>1373</v>
      </c>
      <c r="C1157" s="40" t="s">
        <v>167</v>
      </c>
      <c r="D1157" s="40" t="s">
        <v>1945</v>
      </c>
      <c r="E1157" s="40">
        <v>2</v>
      </c>
      <c r="F1157" s="43" t="s">
        <v>45</v>
      </c>
      <c r="G1157" s="43" t="s">
        <v>184</v>
      </c>
    </row>
    <row r="1158" spans="1:7" x14ac:dyDescent="0.25">
      <c r="A1158" s="40">
        <v>1153</v>
      </c>
      <c r="B1158" s="40" t="s">
        <v>1374</v>
      </c>
      <c r="C1158" s="40" t="s">
        <v>167</v>
      </c>
      <c r="D1158" s="40" t="s">
        <v>1944</v>
      </c>
      <c r="E1158" s="40">
        <v>4</v>
      </c>
      <c r="F1158" s="43" t="s">
        <v>45</v>
      </c>
      <c r="G1158" s="43" t="s">
        <v>183</v>
      </c>
    </row>
    <row r="1159" spans="1:7" x14ac:dyDescent="0.25">
      <c r="A1159" s="40">
        <v>1154</v>
      </c>
      <c r="B1159" s="40" t="s">
        <v>1375</v>
      </c>
      <c r="C1159" s="40" t="s">
        <v>167</v>
      </c>
      <c r="D1159" s="40" t="s">
        <v>1944</v>
      </c>
      <c r="E1159" s="40">
        <v>10</v>
      </c>
      <c r="F1159" s="43" t="s">
        <v>45</v>
      </c>
      <c r="G1159" s="43" t="s">
        <v>183</v>
      </c>
    </row>
    <row r="1160" spans="1:7" x14ac:dyDescent="0.25">
      <c r="A1160" s="40">
        <v>1155</v>
      </c>
      <c r="B1160" s="40" t="s">
        <v>1376</v>
      </c>
      <c r="C1160" s="40" t="s">
        <v>167</v>
      </c>
      <c r="D1160" s="40" t="s">
        <v>1944</v>
      </c>
      <c r="E1160" s="40">
        <v>6</v>
      </c>
      <c r="F1160" s="43" t="s">
        <v>45</v>
      </c>
      <c r="G1160" s="43" t="s">
        <v>183</v>
      </c>
    </row>
    <row r="1161" spans="1:7" x14ac:dyDescent="0.25">
      <c r="A1161" s="40">
        <v>1156</v>
      </c>
      <c r="B1161" s="40" t="s">
        <v>1377</v>
      </c>
      <c r="C1161" s="40" t="s">
        <v>167</v>
      </c>
      <c r="D1161" s="40" t="s">
        <v>1952</v>
      </c>
      <c r="E1161" s="40">
        <v>8</v>
      </c>
      <c r="F1161" s="43" t="s">
        <v>45</v>
      </c>
      <c r="G1161" s="43" t="s">
        <v>184</v>
      </c>
    </row>
    <row r="1162" spans="1:7" x14ac:dyDescent="0.25">
      <c r="A1162" s="40">
        <v>1157</v>
      </c>
      <c r="B1162" s="40" t="s">
        <v>1378</v>
      </c>
      <c r="C1162" s="40" t="s">
        <v>167</v>
      </c>
      <c r="D1162" s="40" t="s">
        <v>1944</v>
      </c>
      <c r="E1162" s="40">
        <v>4</v>
      </c>
      <c r="F1162" s="43" t="s">
        <v>45</v>
      </c>
      <c r="G1162" s="43" t="s">
        <v>183</v>
      </c>
    </row>
    <row r="1163" spans="1:7" x14ac:dyDescent="0.25">
      <c r="A1163" s="40">
        <v>1158</v>
      </c>
      <c r="B1163" s="40" t="s">
        <v>1379</v>
      </c>
      <c r="C1163" s="40" t="s">
        <v>167</v>
      </c>
      <c r="D1163" s="40" t="s">
        <v>198</v>
      </c>
      <c r="E1163" s="40">
        <v>2</v>
      </c>
      <c r="F1163" s="43" t="s">
        <v>45</v>
      </c>
      <c r="G1163" s="43" t="s">
        <v>188</v>
      </c>
    </row>
    <row r="1164" spans="1:7" x14ac:dyDescent="0.25">
      <c r="A1164" s="40">
        <v>1159</v>
      </c>
      <c r="B1164" s="40" t="s">
        <v>1380</v>
      </c>
      <c r="C1164" s="40" t="s">
        <v>167</v>
      </c>
      <c r="D1164" s="40" t="s">
        <v>1960</v>
      </c>
      <c r="E1164" s="40">
        <v>6</v>
      </c>
      <c r="F1164" s="43" t="s">
        <v>45</v>
      </c>
      <c r="G1164" s="43" t="s">
        <v>183</v>
      </c>
    </row>
    <row r="1165" spans="1:7" x14ac:dyDescent="0.25">
      <c r="A1165" s="40">
        <v>1160</v>
      </c>
      <c r="B1165" s="40" t="s">
        <v>1381</v>
      </c>
      <c r="C1165" s="40" t="s">
        <v>167</v>
      </c>
      <c r="D1165" s="40" t="s">
        <v>1944</v>
      </c>
      <c r="E1165" s="40">
        <v>14</v>
      </c>
      <c r="F1165" s="43" t="s">
        <v>45</v>
      </c>
      <c r="G1165" s="43" t="s">
        <v>183</v>
      </c>
    </row>
    <row r="1166" spans="1:7" x14ac:dyDescent="0.25">
      <c r="A1166" s="40">
        <v>1161</v>
      </c>
      <c r="B1166" s="40" t="s">
        <v>1382</v>
      </c>
      <c r="C1166" s="40" t="s">
        <v>167</v>
      </c>
      <c r="D1166" s="40" t="s">
        <v>1961</v>
      </c>
      <c r="E1166" s="40">
        <v>6</v>
      </c>
      <c r="F1166" s="43" t="s">
        <v>45</v>
      </c>
      <c r="G1166" s="43" t="s">
        <v>175</v>
      </c>
    </row>
    <row r="1167" spans="1:7" x14ac:dyDescent="0.25">
      <c r="A1167" s="40">
        <v>1162</v>
      </c>
      <c r="B1167" s="40" t="s">
        <v>1383</v>
      </c>
      <c r="C1167" s="40" t="s">
        <v>167</v>
      </c>
      <c r="D1167" s="40" t="s">
        <v>1943</v>
      </c>
      <c r="E1167" s="40">
        <v>11</v>
      </c>
      <c r="F1167" s="43" t="s">
        <v>45</v>
      </c>
      <c r="G1167" s="43" t="s">
        <v>183</v>
      </c>
    </row>
    <row r="1168" spans="1:7" x14ac:dyDescent="0.25">
      <c r="A1168" s="40">
        <v>1163</v>
      </c>
      <c r="B1168" s="40" t="s">
        <v>1384</v>
      </c>
      <c r="C1168" s="40" t="s">
        <v>167</v>
      </c>
      <c r="D1168" s="40" t="s">
        <v>175</v>
      </c>
      <c r="E1168" s="40">
        <v>5</v>
      </c>
      <c r="F1168" s="43" t="s">
        <v>45</v>
      </c>
      <c r="G1168" s="43" t="s">
        <v>175</v>
      </c>
    </row>
    <row r="1169" spans="1:7" x14ac:dyDescent="0.25">
      <c r="A1169" s="40">
        <v>1164</v>
      </c>
      <c r="B1169" s="40" t="s">
        <v>1385</v>
      </c>
      <c r="C1169" s="40" t="s">
        <v>167</v>
      </c>
      <c r="D1169" s="40" t="s">
        <v>198</v>
      </c>
      <c r="E1169" s="40">
        <v>3</v>
      </c>
      <c r="F1169" s="43" t="s">
        <v>45</v>
      </c>
      <c r="G1169" s="43" t="s">
        <v>188</v>
      </c>
    </row>
    <row r="1170" spans="1:7" x14ac:dyDescent="0.25">
      <c r="A1170" s="40">
        <v>1165</v>
      </c>
      <c r="B1170" s="40" t="s">
        <v>1386</v>
      </c>
      <c r="C1170" s="40" t="s">
        <v>167</v>
      </c>
      <c r="D1170" s="40" t="s">
        <v>198</v>
      </c>
      <c r="E1170" s="40">
        <v>3</v>
      </c>
      <c r="F1170" s="43" t="s">
        <v>45</v>
      </c>
      <c r="G1170" s="43" t="s">
        <v>188</v>
      </c>
    </row>
    <row r="1171" spans="1:7" x14ac:dyDescent="0.25">
      <c r="A1171" s="40">
        <v>1166</v>
      </c>
      <c r="B1171" s="40" t="s">
        <v>1387</v>
      </c>
      <c r="C1171" s="40" t="s">
        <v>167</v>
      </c>
      <c r="D1171" s="40" t="s">
        <v>198</v>
      </c>
      <c r="E1171" s="40">
        <v>10</v>
      </c>
      <c r="F1171" s="43" t="s">
        <v>45</v>
      </c>
      <c r="G1171" s="43" t="s">
        <v>188</v>
      </c>
    </row>
    <row r="1172" spans="1:7" x14ac:dyDescent="0.25">
      <c r="A1172" s="40">
        <v>1167</v>
      </c>
      <c r="B1172" s="40" t="s">
        <v>1388</v>
      </c>
      <c r="C1172" s="40" t="s">
        <v>167</v>
      </c>
      <c r="D1172" s="40" t="s">
        <v>175</v>
      </c>
      <c r="E1172" s="40">
        <v>6</v>
      </c>
      <c r="F1172" s="43" t="s">
        <v>45</v>
      </c>
      <c r="G1172" s="43" t="s">
        <v>175</v>
      </c>
    </row>
    <row r="1173" spans="1:7" x14ac:dyDescent="0.25">
      <c r="A1173" s="40">
        <v>1168</v>
      </c>
      <c r="B1173" s="40" t="s">
        <v>1389</v>
      </c>
      <c r="C1173" s="40" t="s">
        <v>167</v>
      </c>
      <c r="D1173" s="40" t="s">
        <v>1950</v>
      </c>
      <c r="E1173" s="40">
        <v>9</v>
      </c>
      <c r="F1173" s="43" t="s">
        <v>45</v>
      </c>
      <c r="G1173" s="43" t="s">
        <v>183</v>
      </c>
    </row>
    <row r="1174" spans="1:7" x14ac:dyDescent="0.25">
      <c r="A1174" s="40">
        <v>1169</v>
      </c>
      <c r="B1174" s="40" t="s">
        <v>1390</v>
      </c>
      <c r="C1174" s="40" t="s">
        <v>167</v>
      </c>
      <c r="D1174" s="40" t="s">
        <v>1952</v>
      </c>
      <c r="E1174" s="40">
        <v>11</v>
      </c>
      <c r="F1174" s="43" t="s">
        <v>45</v>
      </c>
      <c r="G1174" s="43" t="s">
        <v>184</v>
      </c>
    </row>
    <row r="1175" spans="1:7" x14ac:dyDescent="0.25">
      <c r="A1175" s="40">
        <v>1170</v>
      </c>
      <c r="B1175" s="40" t="s">
        <v>1391</v>
      </c>
      <c r="C1175" s="40" t="s">
        <v>167</v>
      </c>
      <c r="D1175" s="40" t="s">
        <v>198</v>
      </c>
      <c r="E1175" s="40">
        <v>1</v>
      </c>
      <c r="F1175" s="43" t="s">
        <v>51</v>
      </c>
    </row>
    <row r="1176" spans="1:7" x14ac:dyDescent="0.25">
      <c r="A1176" s="40">
        <v>1171</v>
      </c>
      <c r="B1176" s="40" t="s">
        <v>1392</v>
      </c>
      <c r="C1176" s="40" t="s">
        <v>167</v>
      </c>
      <c r="D1176" s="40" t="s">
        <v>175</v>
      </c>
      <c r="E1176" s="40">
        <v>4</v>
      </c>
      <c r="F1176" s="43" t="s">
        <v>45</v>
      </c>
      <c r="G1176" s="43" t="s">
        <v>175</v>
      </c>
    </row>
    <row r="1177" spans="1:7" x14ac:dyDescent="0.25">
      <c r="A1177" s="40">
        <v>1172</v>
      </c>
      <c r="B1177" s="40" t="s">
        <v>1393</v>
      </c>
      <c r="C1177" s="40" t="s">
        <v>167</v>
      </c>
      <c r="D1177" s="40" t="s">
        <v>198</v>
      </c>
      <c r="E1177" s="40">
        <v>6</v>
      </c>
      <c r="F1177" s="43" t="s">
        <v>1978</v>
      </c>
    </row>
    <row r="1178" spans="1:7" x14ac:dyDescent="0.25">
      <c r="A1178" s="40">
        <v>1173</v>
      </c>
      <c r="B1178" s="40" t="s">
        <v>1394</v>
      </c>
      <c r="C1178" s="40" t="s">
        <v>167</v>
      </c>
      <c r="D1178" s="40" t="s">
        <v>1940</v>
      </c>
      <c r="E1178" s="40">
        <v>2</v>
      </c>
      <c r="F1178" s="43" t="s">
        <v>45</v>
      </c>
      <c r="G1178" s="43" t="s">
        <v>1940</v>
      </c>
    </row>
    <row r="1179" spans="1:7" x14ac:dyDescent="0.25">
      <c r="A1179" s="40">
        <v>1174</v>
      </c>
      <c r="B1179" s="40" t="s">
        <v>1395</v>
      </c>
      <c r="C1179" s="40" t="s">
        <v>167</v>
      </c>
      <c r="D1179" s="40" t="s">
        <v>1944</v>
      </c>
      <c r="E1179" s="40">
        <v>15</v>
      </c>
      <c r="F1179" s="43" t="s">
        <v>45</v>
      </c>
      <c r="G1179" s="43" t="s">
        <v>183</v>
      </c>
    </row>
    <row r="1180" spans="1:7" x14ac:dyDescent="0.25">
      <c r="A1180" s="40">
        <v>1175</v>
      </c>
      <c r="B1180" s="40" t="s">
        <v>1396</v>
      </c>
      <c r="C1180" s="40" t="s">
        <v>167</v>
      </c>
      <c r="D1180" s="40" t="s">
        <v>1944</v>
      </c>
      <c r="E1180" s="40">
        <v>7</v>
      </c>
      <c r="F1180" s="43" t="s">
        <v>45</v>
      </c>
      <c r="G1180" s="43" t="s">
        <v>183</v>
      </c>
    </row>
    <row r="1181" spans="1:7" x14ac:dyDescent="0.25">
      <c r="A1181" s="40">
        <v>1176</v>
      </c>
      <c r="B1181" s="40" t="s">
        <v>1397</v>
      </c>
      <c r="C1181" s="40" t="s">
        <v>167</v>
      </c>
      <c r="D1181" s="40" t="s">
        <v>1944</v>
      </c>
      <c r="E1181" s="40">
        <v>7</v>
      </c>
      <c r="F1181" s="43" t="s">
        <v>45</v>
      </c>
      <c r="G1181" s="43" t="s">
        <v>183</v>
      </c>
    </row>
    <row r="1182" spans="1:7" x14ac:dyDescent="0.25">
      <c r="A1182" s="40">
        <v>1177</v>
      </c>
      <c r="B1182" s="40" t="s">
        <v>1398</v>
      </c>
      <c r="C1182" s="40" t="s">
        <v>167</v>
      </c>
      <c r="D1182" s="40" t="s">
        <v>1961</v>
      </c>
      <c r="E1182" s="40">
        <v>9</v>
      </c>
      <c r="F1182" s="43" t="s">
        <v>45</v>
      </c>
      <c r="G1182" s="43" t="s">
        <v>175</v>
      </c>
    </row>
    <row r="1183" spans="1:7" x14ac:dyDescent="0.25">
      <c r="A1183" s="40">
        <v>1178</v>
      </c>
      <c r="B1183" s="40" t="s">
        <v>1399</v>
      </c>
      <c r="C1183" s="40" t="s">
        <v>167</v>
      </c>
      <c r="D1183" s="40" t="s">
        <v>198</v>
      </c>
      <c r="E1183" s="40">
        <v>9</v>
      </c>
      <c r="F1183" s="43" t="s">
        <v>51</v>
      </c>
    </row>
    <row r="1184" spans="1:7" x14ac:dyDescent="0.25">
      <c r="A1184" s="40">
        <v>1179</v>
      </c>
      <c r="B1184" s="40" t="s">
        <v>1400</v>
      </c>
      <c r="C1184" s="40" t="s">
        <v>167</v>
      </c>
      <c r="D1184" s="40" t="s">
        <v>1955</v>
      </c>
      <c r="E1184" s="40">
        <v>10</v>
      </c>
      <c r="F1184" s="43" t="s">
        <v>45</v>
      </c>
      <c r="G1184" s="43" t="s">
        <v>183</v>
      </c>
    </row>
    <row r="1185" spans="1:7" x14ac:dyDescent="0.25">
      <c r="A1185" s="40">
        <v>1180</v>
      </c>
      <c r="B1185" s="40" t="s">
        <v>1401</v>
      </c>
      <c r="C1185" s="40" t="s">
        <v>167</v>
      </c>
      <c r="D1185" s="40" t="s">
        <v>198</v>
      </c>
      <c r="E1185" s="40">
        <v>3</v>
      </c>
      <c r="F1185" s="43" t="s">
        <v>45</v>
      </c>
      <c r="G1185" s="43" t="s">
        <v>188</v>
      </c>
    </row>
    <row r="1186" spans="1:7" x14ac:dyDescent="0.25">
      <c r="A1186" s="40">
        <v>1181</v>
      </c>
      <c r="B1186" s="40" t="s">
        <v>1402</v>
      </c>
      <c r="C1186" s="40" t="s">
        <v>167</v>
      </c>
      <c r="D1186" s="40" t="s">
        <v>1944</v>
      </c>
      <c r="E1186" s="40">
        <v>7</v>
      </c>
      <c r="F1186" s="43" t="s">
        <v>45</v>
      </c>
      <c r="G1186" s="43" t="s">
        <v>183</v>
      </c>
    </row>
    <row r="1187" spans="1:7" x14ac:dyDescent="0.25">
      <c r="A1187" s="40">
        <v>1182</v>
      </c>
      <c r="B1187" s="40" t="s">
        <v>1403</v>
      </c>
      <c r="C1187" s="40" t="s">
        <v>167</v>
      </c>
      <c r="D1187" s="40" t="s">
        <v>186</v>
      </c>
      <c r="E1187" s="40">
        <v>3</v>
      </c>
      <c r="F1187" s="43" t="s">
        <v>45</v>
      </c>
      <c r="G1187" s="43" t="s">
        <v>186</v>
      </c>
    </row>
    <row r="1188" spans="1:7" x14ac:dyDescent="0.25">
      <c r="A1188" s="40">
        <v>1183</v>
      </c>
      <c r="B1188" s="40" t="s">
        <v>1404</v>
      </c>
      <c r="C1188" s="40" t="s">
        <v>167</v>
      </c>
      <c r="D1188" s="40" t="s">
        <v>1944</v>
      </c>
      <c r="E1188" s="40">
        <v>7</v>
      </c>
      <c r="F1188" s="43" t="s">
        <v>45</v>
      </c>
      <c r="G1188" s="43" t="s">
        <v>183</v>
      </c>
    </row>
    <row r="1189" spans="1:7" x14ac:dyDescent="0.25">
      <c r="A1189" s="40">
        <v>1184</v>
      </c>
      <c r="B1189" s="40" t="s">
        <v>1405</v>
      </c>
      <c r="C1189" s="40" t="s">
        <v>167</v>
      </c>
      <c r="D1189" s="40" t="s">
        <v>1950</v>
      </c>
      <c r="E1189" s="40">
        <v>5</v>
      </c>
      <c r="F1189" s="43" t="s">
        <v>45</v>
      </c>
      <c r="G1189" s="43" t="s">
        <v>183</v>
      </c>
    </row>
    <row r="1190" spans="1:7" x14ac:dyDescent="0.25">
      <c r="A1190" s="40">
        <v>1185</v>
      </c>
      <c r="B1190" s="40" t="s">
        <v>1406</v>
      </c>
      <c r="C1190" s="40" t="s">
        <v>167</v>
      </c>
      <c r="D1190" s="40" t="s">
        <v>180</v>
      </c>
      <c r="E1190" s="40">
        <v>4</v>
      </c>
      <c r="F1190" s="43" t="s">
        <v>45</v>
      </c>
      <c r="G1190" s="43" t="s">
        <v>180</v>
      </c>
    </row>
    <row r="1191" spans="1:7" x14ac:dyDescent="0.25">
      <c r="A1191" s="40">
        <v>1186</v>
      </c>
      <c r="B1191" s="40" t="s">
        <v>1407</v>
      </c>
      <c r="C1191" s="40" t="s">
        <v>167</v>
      </c>
      <c r="D1191" s="40" t="s">
        <v>198</v>
      </c>
      <c r="E1191" s="40">
        <v>2</v>
      </c>
      <c r="F1191" s="43" t="s">
        <v>45</v>
      </c>
      <c r="G1191" s="43" t="s">
        <v>188</v>
      </c>
    </row>
    <row r="1192" spans="1:7" x14ac:dyDescent="0.25">
      <c r="A1192" s="40">
        <v>1187</v>
      </c>
      <c r="B1192" s="40" t="s">
        <v>1408</v>
      </c>
      <c r="C1192" s="40" t="s">
        <v>167</v>
      </c>
      <c r="D1192" s="40" t="s">
        <v>180</v>
      </c>
      <c r="E1192" s="40">
        <v>2</v>
      </c>
      <c r="F1192" s="43" t="s">
        <v>45</v>
      </c>
      <c r="G1192" s="43" t="s">
        <v>180</v>
      </c>
    </row>
    <row r="1193" spans="1:7" x14ac:dyDescent="0.25">
      <c r="A1193" s="40">
        <v>1188</v>
      </c>
      <c r="B1193" s="40" t="s">
        <v>1409</v>
      </c>
      <c r="C1193" s="40" t="s">
        <v>167</v>
      </c>
      <c r="D1193" s="40" t="s">
        <v>1943</v>
      </c>
      <c r="E1193" s="40">
        <v>10</v>
      </c>
      <c r="F1193" s="43" t="s">
        <v>45</v>
      </c>
      <c r="G1193" s="43" t="s">
        <v>183</v>
      </c>
    </row>
    <row r="1194" spans="1:7" x14ac:dyDescent="0.25">
      <c r="A1194" s="40">
        <v>1189</v>
      </c>
      <c r="B1194" s="40" t="s">
        <v>1410</v>
      </c>
      <c r="C1194" s="40" t="s">
        <v>167</v>
      </c>
      <c r="D1194" s="40" t="s">
        <v>198</v>
      </c>
      <c r="E1194" s="40">
        <v>5</v>
      </c>
      <c r="F1194" s="43" t="s">
        <v>51</v>
      </c>
    </row>
    <row r="1195" spans="1:7" x14ac:dyDescent="0.25">
      <c r="A1195" s="40">
        <v>1190</v>
      </c>
      <c r="B1195" s="40" t="s">
        <v>1411</v>
      </c>
      <c r="C1195" s="40" t="s">
        <v>167</v>
      </c>
      <c r="D1195" s="40" t="s">
        <v>198</v>
      </c>
      <c r="E1195" s="40">
        <v>3</v>
      </c>
      <c r="F1195" s="43" t="s">
        <v>45</v>
      </c>
      <c r="G1195" s="43" t="s">
        <v>188</v>
      </c>
    </row>
    <row r="1196" spans="1:7" x14ac:dyDescent="0.25">
      <c r="A1196" s="40">
        <v>1191</v>
      </c>
      <c r="B1196" s="40" t="s">
        <v>1412</v>
      </c>
      <c r="C1196" s="40" t="s">
        <v>167</v>
      </c>
      <c r="D1196" s="40" t="s">
        <v>198</v>
      </c>
      <c r="E1196" s="40">
        <v>4</v>
      </c>
      <c r="F1196" s="43" t="s">
        <v>45</v>
      </c>
      <c r="G1196" s="43" t="s">
        <v>187</v>
      </c>
    </row>
    <row r="1197" spans="1:7" x14ac:dyDescent="0.25">
      <c r="A1197" s="40">
        <v>1192</v>
      </c>
      <c r="B1197" s="40" t="s">
        <v>1413</v>
      </c>
      <c r="C1197" s="40" t="s">
        <v>167</v>
      </c>
      <c r="D1197" s="40" t="s">
        <v>198</v>
      </c>
      <c r="E1197" s="40">
        <v>6</v>
      </c>
      <c r="F1197" s="43" t="s">
        <v>45</v>
      </c>
      <c r="G1197" s="43" t="s">
        <v>188</v>
      </c>
    </row>
    <row r="1198" spans="1:7" x14ac:dyDescent="0.25">
      <c r="A1198" s="40">
        <v>1193</v>
      </c>
      <c r="B1198" s="40" t="s">
        <v>1414</v>
      </c>
      <c r="C1198" s="40" t="s">
        <v>167</v>
      </c>
      <c r="D1198" s="40" t="s">
        <v>1943</v>
      </c>
      <c r="E1198" s="40">
        <v>11</v>
      </c>
      <c r="F1198" s="43" t="s">
        <v>45</v>
      </c>
      <c r="G1198" s="43" t="s">
        <v>183</v>
      </c>
    </row>
    <row r="1199" spans="1:7" x14ac:dyDescent="0.25">
      <c r="A1199" s="40">
        <v>1194</v>
      </c>
      <c r="B1199" s="40" t="s">
        <v>1415</v>
      </c>
      <c r="C1199" s="40" t="s">
        <v>167</v>
      </c>
      <c r="D1199" s="40" t="s">
        <v>180</v>
      </c>
      <c r="E1199" s="40">
        <v>2</v>
      </c>
      <c r="F1199" s="43" t="s">
        <v>45</v>
      </c>
      <c r="G1199" s="43" t="s">
        <v>180</v>
      </c>
    </row>
    <row r="1200" spans="1:7" x14ac:dyDescent="0.25">
      <c r="A1200" s="40">
        <v>1195</v>
      </c>
      <c r="B1200" s="40" t="s">
        <v>1416</v>
      </c>
      <c r="C1200" s="40" t="s">
        <v>167</v>
      </c>
      <c r="D1200" s="40" t="s">
        <v>1940</v>
      </c>
      <c r="E1200" s="40">
        <v>8</v>
      </c>
      <c r="F1200" s="43" t="s">
        <v>45</v>
      </c>
      <c r="G1200" s="43" t="s">
        <v>1984</v>
      </c>
    </row>
    <row r="1201" spans="1:7" x14ac:dyDescent="0.25">
      <c r="A1201" s="40">
        <v>1196</v>
      </c>
      <c r="B1201" s="40" t="s">
        <v>1417</v>
      </c>
      <c r="C1201" s="40" t="s">
        <v>167</v>
      </c>
      <c r="D1201" s="40" t="s">
        <v>198</v>
      </c>
      <c r="E1201" s="40">
        <v>1</v>
      </c>
      <c r="F1201" s="43" t="s">
        <v>51</v>
      </c>
    </row>
    <row r="1202" spans="1:7" x14ac:dyDescent="0.25">
      <c r="A1202" s="40">
        <v>1197</v>
      </c>
      <c r="B1202" s="40" t="s">
        <v>1418</v>
      </c>
      <c r="C1202" s="40" t="s">
        <v>168</v>
      </c>
      <c r="D1202" s="40" t="s">
        <v>175</v>
      </c>
      <c r="E1202" s="40">
        <v>4</v>
      </c>
      <c r="F1202" s="43" t="s">
        <v>45</v>
      </c>
      <c r="G1202" s="43" t="s">
        <v>175</v>
      </c>
    </row>
    <row r="1203" spans="1:7" x14ac:dyDescent="0.25">
      <c r="A1203" s="40">
        <v>1198</v>
      </c>
      <c r="B1203" s="40" t="s">
        <v>1419</v>
      </c>
      <c r="C1203" s="40" t="s">
        <v>167</v>
      </c>
      <c r="D1203" s="40" t="s">
        <v>1944</v>
      </c>
      <c r="E1203" s="40">
        <v>11</v>
      </c>
      <c r="F1203" s="43" t="s">
        <v>45</v>
      </c>
      <c r="G1203" s="43" t="s">
        <v>183</v>
      </c>
    </row>
    <row r="1204" spans="1:7" x14ac:dyDescent="0.25">
      <c r="A1204" s="40">
        <v>1199</v>
      </c>
      <c r="B1204" s="40" t="s">
        <v>1420</v>
      </c>
      <c r="C1204" s="40" t="s">
        <v>167</v>
      </c>
      <c r="D1204" s="40" t="s">
        <v>1973</v>
      </c>
      <c r="E1204" s="40">
        <v>2</v>
      </c>
      <c r="F1204" s="43" t="s">
        <v>45</v>
      </c>
      <c r="G1204" s="43" t="s">
        <v>175</v>
      </c>
    </row>
    <row r="1205" spans="1:7" x14ac:dyDescent="0.25">
      <c r="A1205" s="40">
        <v>1200</v>
      </c>
      <c r="B1205" s="40" t="s">
        <v>1421</v>
      </c>
      <c r="C1205" s="40" t="s">
        <v>167</v>
      </c>
      <c r="E1205" s="40">
        <v>6</v>
      </c>
      <c r="F1205" s="43" t="s">
        <v>45</v>
      </c>
      <c r="G1205" s="43" t="s">
        <v>175</v>
      </c>
    </row>
    <row r="1206" spans="1:7" x14ac:dyDescent="0.25">
      <c r="A1206" s="40">
        <v>1201</v>
      </c>
      <c r="B1206" s="40" t="s">
        <v>1422</v>
      </c>
      <c r="C1206" s="40" t="s">
        <v>167</v>
      </c>
      <c r="D1206" s="40" t="s">
        <v>1950</v>
      </c>
      <c r="E1206" s="40">
        <v>7</v>
      </c>
      <c r="F1206" s="43" t="s">
        <v>45</v>
      </c>
      <c r="G1206" s="43" t="s">
        <v>183</v>
      </c>
    </row>
    <row r="1207" spans="1:7" x14ac:dyDescent="0.25">
      <c r="A1207" s="40">
        <v>1202</v>
      </c>
      <c r="B1207" s="40" t="s">
        <v>1423</v>
      </c>
      <c r="C1207" s="40" t="s">
        <v>167</v>
      </c>
      <c r="D1207" s="40" t="s">
        <v>198</v>
      </c>
      <c r="E1207" s="40">
        <v>4</v>
      </c>
      <c r="F1207" s="43" t="s">
        <v>45</v>
      </c>
      <c r="G1207" s="43" t="s">
        <v>188</v>
      </c>
    </row>
    <row r="1208" spans="1:7" x14ac:dyDescent="0.25">
      <c r="A1208" s="40">
        <v>1203</v>
      </c>
      <c r="B1208" s="40" t="s">
        <v>1424</v>
      </c>
      <c r="C1208" s="40" t="s">
        <v>167</v>
      </c>
      <c r="D1208" s="40" t="s">
        <v>1950</v>
      </c>
      <c r="E1208" s="40">
        <v>7</v>
      </c>
      <c r="F1208" s="43" t="s">
        <v>45</v>
      </c>
      <c r="G1208" s="43" t="s">
        <v>183</v>
      </c>
    </row>
    <row r="1209" spans="1:7" x14ac:dyDescent="0.25">
      <c r="A1209" s="40">
        <v>1204</v>
      </c>
      <c r="B1209" s="40" t="s">
        <v>1425</v>
      </c>
      <c r="C1209" s="40" t="s">
        <v>167</v>
      </c>
      <c r="D1209" s="40" t="s">
        <v>1953</v>
      </c>
      <c r="E1209" s="40">
        <v>12</v>
      </c>
      <c r="F1209" s="43" t="s">
        <v>45</v>
      </c>
      <c r="G1209" s="43" t="s">
        <v>180</v>
      </c>
    </row>
    <row r="1210" spans="1:7" x14ac:dyDescent="0.25">
      <c r="A1210" s="40">
        <v>1205</v>
      </c>
      <c r="B1210" s="40" t="s">
        <v>1426</v>
      </c>
      <c r="C1210" s="40" t="s">
        <v>167</v>
      </c>
      <c r="D1210" s="40" t="s">
        <v>1951</v>
      </c>
      <c r="E1210" s="40">
        <v>7</v>
      </c>
      <c r="F1210" s="43" t="s">
        <v>45</v>
      </c>
      <c r="G1210" s="43" t="s">
        <v>182</v>
      </c>
    </row>
    <row r="1211" spans="1:7" x14ac:dyDescent="0.25">
      <c r="A1211" s="40">
        <v>1206</v>
      </c>
      <c r="B1211" s="40" t="s">
        <v>1427</v>
      </c>
      <c r="C1211" s="40" t="s">
        <v>167</v>
      </c>
      <c r="D1211" s="40" t="s">
        <v>198</v>
      </c>
      <c r="E1211" s="40">
        <v>7</v>
      </c>
      <c r="F1211" s="43" t="s">
        <v>45</v>
      </c>
      <c r="G1211" s="43" t="s">
        <v>187</v>
      </c>
    </row>
    <row r="1212" spans="1:7" x14ac:dyDescent="0.25">
      <c r="A1212" s="40">
        <v>1207</v>
      </c>
      <c r="B1212" s="40" t="s">
        <v>1428</v>
      </c>
      <c r="C1212" s="40" t="s">
        <v>167</v>
      </c>
      <c r="D1212" s="40" t="s">
        <v>175</v>
      </c>
      <c r="E1212" s="40">
        <v>0</v>
      </c>
      <c r="F1212" s="43" t="s">
        <v>45</v>
      </c>
      <c r="G1212" s="43" t="s">
        <v>175</v>
      </c>
    </row>
    <row r="1213" spans="1:7" x14ac:dyDescent="0.25">
      <c r="A1213" s="40">
        <v>1208</v>
      </c>
      <c r="B1213" s="40" t="s">
        <v>1429</v>
      </c>
      <c r="C1213" s="40" t="s">
        <v>167</v>
      </c>
      <c r="D1213" s="40" t="s">
        <v>186</v>
      </c>
      <c r="E1213" s="40">
        <v>5</v>
      </c>
      <c r="F1213" s="43" t="s">
        <v>45</v>
      </c>
      <c r="G1213" s="43" t="s">
        <v>186</v>
      </c>
    </row>
    <row r="1214" spans="1:7" x14ac:dyDescent="0.25">
      <c r="A1214" s="40">
        <v>1209</v>
      </c>
      <c r="B1214" s="40" t="s">
        <v>1430</v>
      </c>
      <c r="C1214" s="40" t="s">
        <v>168</v>
      </c>
      <c r="D1214" s="40" t="s">
        <v>193</v>
      </c>
      <c r="E1214" s="40">
        <v>3</v>
      </c>
      <c r="F1214" s="43" t="s">
        <v>45</v>
      </c>
      <c r="G1214" s="43" t="s">
        <v>1986</v>
      </c>
    </row>
    <row r="1215" spans="1:7" x14ac:dyDescent="0.25">
      <c r="A1215" s="40">
        <v>1210</v>
      </c>
      <c r="B1215" s="40" t="s">
        <v>1431</v>
      </c>
      <c r="C1215" s="40" t="s">
        <v>167</v>
      </c>
      <c r="D1215" s="40" t="s">
        <v>193</v>
      </c>
      <c r="E1215" s="40">
        <v>3</v>
      </c>
      <c r="F1215" s="43" t="s">
        <v>51</v>
      </c>
    </row>
    <row r="1216" spans="1:7" x14ac:dyDescent="0.25">
      <c r="A1216" s="40">
        <v>1211</v>
      </c>
      <c r="B1216" s="40" t="s">
        <v>1432</v>
      </c>
      <c r="C1216" s="40" t="s">
        <v>168</v>
      </c>
      <c r="D1216" s="40" t="s">
        <v>1958</v>
      </c>
      <c r="E1216" s="40">
        <v>7</v>
      </c>
      <c r="F1216" s="43" t="s">
        <v>45</v>
      </c>
      <c r="G1216" s="43" t="s">
        <v>1984</v>
      </c>
    </row>
    <row r="1217" spans="1:7" x14ac:dyDescent="0.25">
      <c r="A1217" s="40">
        <v>1212</v>
      </c>
      <c r="B1217" s="40" t="s">
        <v>1433</v>
      </c>
      <c r="C1217" s="40" t="s">
        <v>167</v>
      </c>
      <c r="D1217" s="40" t="s">
        <v>175</v>
      </c>
      <c r="E1217" s="40">
        <v>7</v>
      </c>
      <c r="F1217" s="43" t="s">
        <v>45</v>
      </c>
      <c r="G1217" s="43" t="s">
        <v>175</v>
      </c>
    </row>
    <row r="1218" spans="1:7" x14ac:dyDescent="0.25">
      <c r="A1218" s="40">
        <v>1213</v>
      </c>
      <c r="B1218" s="40" t="s">
        <v>1434</v>
      </c>
      <c r="C1218" s="40" t="s">
        <v>168</v>
      </c>
      <c r="D1218" s="40" t="s">
        <v>1943</v>
      </c>
      <c r="E1218" s="40">
        <v>10</v>
      </c>
      <c r="F1218" s="43" t="s">
        <v>45</v>
      </c>
      <c r="G1218" s="43" t="s">
        <v>183</v>
      </c>
    </row>
    <row r="1219" spans="1:7" x14ac:dyDescent="0.25">
      <c r="A1219" s="40">
        <v>1214</v>
      </c>
      <c r="B1219" s="40" t="s">
        <v>1435</v>
      </c>
      <c r="C1219" s="40" t="s">
        <v>167</v>
      </c>
      <c r="D1219" s="40" t="s">
        <v>1943</v>
      </c>
      <c r="E1219" s="40">
        <v>11</v>
      </c>
      <c r="F1219" s="43" t="s">
        <v>45</v>
      </c>
      <c r="G1219" s="43" t="s">
        <v>183</v>
      </c>
    </row>
    <row r="1220" spans="1:7" x14ac:dyDescent="0.25">
      <c r="A1220" s="40">
        <v>1215</v>
      </c>
      <c r="B1220" s="40" t="s">
        <v>1436</v>
      </c>
      <c r="C1220" s="40" t="s">
        <v>167</v>
      </c>
      <c r="D1220" s="40" t="s">
        <v>1961</v>
      </c>
      <c r="E1220" s="40">
        <v>9</v>
      </c>
      <c r="F1220" s="43" t="s">
        <v>45</v>
      </c>
      <c r="G1220" s="43" t="s">
        <v>175</v>
      </c>
    </row>
    <row r="1221" spans="1:7" x14ac:dyDescent="0.25">
      <c r="A1221" s="40">
        <v>1216</v>
      </c>
      <c r="B1221" s="40" t="s">
        <v>1437</v>
      </c>
      <c r="C1221" s="40" t="s">
        <v>168</v>
      </c>
      <c r="D1221" s="40" t="s">
        <v>1963</v>
      </c>
      <c r="E1221" s="40">
        <v>4</v>
      </c>
      <c r="F1221" s="43" t="s">
        <v>45</v>
      </c>
      <c r="G1221" s="43" t="s">
        <v>190</v>
      </c>
    </row>
    <row r="1222" spans="1:7" x14ac:dyDescent="0.25">
      <c r="A1222" s="40">
        <v>1217</v>
      </c>
      <c r="B1222" s="40" t="s">
        <v>1438</v>
      </c>
      <c r="C1222" s="40" t="s">
        <v>167</v>
      </c>
      <c r="D1222" s="40" t="s">
        <v>1940</v>
      </c>
      <c r="E1222" s="40">
        <v>8</v>
      </c>
      <c r="F1222" s="43" t="s">
        <v>45</v>
      </c>
      <c r="G1222" s="43" t="s">
        <v>1984</v>
      </c>
    </row>
    <row r="1223" spans="1:7" x14ac:dyDescent="0.25">
      <c r="A1223" s="40">
        <v>1218</v>
      </c>
      <c r="B1223" s="40" t="s">
        <v>1439</v>
      </c>
      <c r="C1223" s="40" t="s">
        <v>168</v>
      </c>
      <c r="D1223" s="40" t="s">
        <v>1944</v>
      </c>
      <c r="E1223" s="40">
        <v>2</v>
      </c>
      <c r="F1223" s="43" t="s">
        <v>45</v>
      </c>
      <c r="G1223" s="43" t="s">
        <v>183</v>
      </c>
    </row>
    <row r="1224" spans="1:7" x14ac:dyDescent="0.25">
      <c r="A1224" s="40">
        <v>1219</v>
      </c>
      <c r="B1224" s="40" t="s">
        <v>1440</v>
      </c>
      <c r="C1224" s="40" t="s">
        <v>167</v>
      </c>
      <c r="D1224" s="40" t="s">
        <v>1944</v>
      </c>
      <c r="E1224" s="40">
        <v>11</v>
      </c>
      <c r="F1224" s="43" t="s">
        <v>45</v>
      </c>
      <c r="G1224" s="43" t="s">
        <v>183</v>
      </c>
    </row>
    <row r="1225" spans="1:7" x14ac:dyDescent="0.25">
      <c r="A1225" s="40">
        <v>1220</v>
      </c>
      <c r="B1225" s="40" t="s">
        <v>1441</v>
      </c>
      <c r="C1225" s="40" t="s">
        <v>167</v>
      </c>
      <c r="D1225" s="40" t="s">
        <v>1951</v>
      </c>
      <c r="E1225" s="40">
        <v>6</v>
      </c>
      <c r="F1225" s="43" t="s">
        <v>45</v>
      </c>
      <c r="G1225" s="43" t="s">
        <v>182</v>
      </c>
    </row>
    <row r="1226" spans="1:7" x14ac:dyDescent="0.25">
      <c r="A1226" s="40">
        <v>1221</v>
      </c>
      <c r="B1226" s="40" t="s">
        <v>1442</v>
      </c>
      <c r="C1226" s="40" t="s">
        <v>167</v>
      </c>
      <c r="D1226" s="40" t="s">
        <v>181</v>
      </c>
      <c r="E1226" s="40">
        <v>9</v>
      </c>
      <c r="F1226" s="43" t="s">
        <v>45</v>
      </c>
      <c r="G1226" s="43" t="s">
        <v>181</v>
      </c>
    </row>
    <row r="1227" spans="1:7" x14ac:dyDescent="0.25">
      <c r="A1227" s="40">
        <v>1222</v>
      </c>
      <c r="B1227" s="40" t="s">
        <v>1443</v>
      </c>
      <c r="C1227" s="40" t="s">
        <v>167</v>
      </c>
      <c r="D1227" s="40" t="s">
        <v>198</v>
      </c>
      <c r="E1227" s="40">
        <v>2</v>
      </c>
      <c r="F1227" s="43" t="s">
        <v>45</v>
      </c>
      <c r="G1227" s="43" t="s">
        <v>187</v>
      </c>
    </row>
    <row r="1228" spans="1:7" x14ac:dyDescent="0.25">
      <c r="A1228" s="40">
        <v>1223</v>
      </c>
      <c r="B1228" s="40" t="s">
        <v>1444</v>
      </c>
      <c r="C1228" s="40" t="s">
        <v>167</v>
      </c>
      <c r="D1228" s="40" t="s">
        <v>195</v>
      </c>
      <c r="E1228" s="40">
        <v>3</v>
      </c>
      <c r="F1228" s="43" t="s">
        <v>45</v>
      </c>
      <c r="G1228" s="43" t="s">
        <v>2006</v>
      </c>
    </row>
    <row r="1229" spans="1:7" x14ac:dyDescent="0.25">
      <c r="A1229" s="40">
        <v>1224</v>
      </c>
      <c r="B1229" s="40" t="s">
        <v>1445</v>
      </c>
      <c r="C1229" s="40" t="s">
        <v>168</v>
      </c>
      <c r="D1229" s="40" t="s">
        <v>1940</v>
      </c>
      <c r="E1229" s="40">
        <v>2</v>
      </c>
      <c r="F1229" s="43" t="s">
        <v>45</v>
      </c>
      <c r="G1229" s="43" t="s">
        <v>1984</v>
      </c>
    </row>
    <row r="1230" spans="1:7" x14ac:dyDescent="0.25">
      <c r="A1230" s="40">
        <v>1225</v>
      </c>
      <c r="B1230" s="40" t="s">
        <v>1446</v>
      </c>
      <c r="C1230" s="40" t="s">
        <v>167</v>
      </c>
      <c r="D1230" s="40" t="s">
        <v>2007</v>
      </c>
      <c r="E1230" s="40">
        <v>6</v>
      </c>
      <c r="F1230" s="43" t="s">
        <v>45</v>
      </c>
      <c r="G1230" s="43" t="s">
        <v>179</v>
      </c>
    </row>
    <row r="1231" spans="1:7" x14ac:dyDescent="0.25">
      <c r="A1231" s="40">
        <v>1226</v>
      </c>
      <c r="B1231" s="40" t="s">
        <v>1447</v>
      </c>
      <c r="C1231" s="40" t="s">
        <v>167</v>
      </c>
      <c r="D1231" s="40" t="s">
        <v>1944</v>
      </c>
      <c r="E1231" s="40">
        <v>7</v>
      </c>
      <c r="F1231" s="43" t="s">
        <v>45</v>
      </c>
      <c r="G1231" s="43" t="s">
        <v>183</v>
      </c>
    </row>
    <row r="1232" spans="1:7" x14ac:dyDescent="0.25">
      <c r="A1232" s="40">
        <v>1227</v>
      </c>
      <c r="B1232" s="40" t="s">
        <v>1448</v>
      </c>
      <c r="C1232" s="40" t="s">
        <v>168</v>
      </c>
      <c r="D1232" s="40" t="s">
        <v>1961</v>
      </c>
      <c r="E1232" s="40">
        <v>12</v>
      </c>
      <c r="F1232" s="43" t="s">
        <v>45</v>
      </c>
      <c r="G1232" s="43" t="s">
        <v>1984</v>
      </c>
    </row>
    <row r="1233" spans="1:7" x14ac:dyDescent="0.25">
      <c r="A1233" s="40">
        <v>1228</v>
      </c>
      <c r="B1233" s="40" t="s">
        <v>1449</v>
      </c>
      <c r="C1233" s="40" t="s">
        <v>167</v>
      </c>
      <c r="D1233" s="40" t="s">
        <v>1939</v>
      </c>
      <c r="E1233" s="40">
        <v>2</v>
      </c>
      <c r="F1233" s="43" t="s">
        <v>45</v>
      </c>
      <c r="G1233" s="43" t="s">
        <v>172</v>
      </c>
    </row>
    <row r="1234" spans="1:7" x14ac:dyDescent="0.25">
      <c r="A1234" s="40">
        <v>1229</v>
      </c>
      <c r="B1234" s="40" t="s">
        <v>1450</v>
      </c>
      <c r="C1234" s="40" t="s">
        <v>167</v>
      </c>
      <c r="D1234" s="40" t="s">
        <v>1944</v>
      </c>
      <c r="E1234" s="40">
        <v>10</v>
      </c>
      <c r="F1234" s="43" t="s">
        <v>45</v>
      </c>
      <c r="G1234" s="43" t="s">
        <v>183</v>
      </c>
    </row>
    <row r="1235" spans="1:7" x14ac:dyDescent="0.25">
      <c r="A1235" s="40">
        <v>1230</v>
      </c>
      <c r="B1235" s="40" t="s">
        <v>1451</v>
      </c>
      <c r="C1235" s="40" t="s">
        <v>167</v>
      </c>
      <c r="D1235" s="40" t="s">
        <v>1944</v>
      </c>
      <c r="E1235" s="40">
        <v>4</v>
      </c>
      <c r="F1235" s="43" t="s">
        <v>45</v>
      </c>
      <c r="G1235" s="43" t="s">
        <v>183</v>
      </c>
    </row>
    <row r="1236" spans="1:7" x14ac:dyDescent="0.25">
      <c r="A1236" s="40">
        <v>1231</v>
      </c>
      <c r="B1236" s="40" t="s">
        <v>1452</v>
      </c>
      <c r="C1236" s="40" t="s">
        <v>167</v>
      </c>
      <c r="D1236" s="40" t="s">
        <v>195</v>
      </c>
      <c r="E1236" s="40">
        <v>4</v>
      </c>
      <c r="F1236" s="43" t="s">
        <v>45</v>
      </c>
      <c r="G1236" s="43" t="s">
        <v>2006</v>
      </c>
    </row>
    <row r="1237" spans="1:7" x14ac:dyDescent="0.25">
      <c r="A1237" s="40">
        <v>1232</v>
      </c>
      <c r="B1237" s="40" t="s">
        <v>1453</v>
      </c>
      <c r="C1237" s="40" t="s">
        <v>167</v>
      </c>
      <c r="D1237" s="40" t="s">
        <v>185</v>
      </c>
      <c r="E1237" s="40">
        <v>7</v>
      </c>
      <c r="F1237" s="43" t="s">
        <v>45</v>
      </c>
      <c r="G1237" s="43" t="s">
        <v>185</v>
      </c>
    </row>
    <row r="1238" spans="1:7" x14ac:dyDescent="0.25">
      <c r="A1238" s="40">
        <v>1233</v>
      </c>
      <c r="B1238" s="40" t="s">
        <v>1454</v>
      </c>
      <c r="C1238" s="40" t="s">
        <v>168</v>
      </c>
      <c r="D1238" s="40" t="s">
        <v>198</v>
      </c>
      <c r="E1238" s="40">
        <v>11</v>
      </c>
      <c r="F1238" s="43" t="s">
        <v>45</v>
      </c>
      <c r="G1238" s="43" t="s">
        <v>187</v>
      </c>
    </row>
    <row r="1239" spans="1:7" x14ac:dyDescent="0.25">
      <c r="A1239" s="40">
        <v>1234</v>
      </c>
      <c r="B1239" s="40" t="s">
        <v>1455</v>
      </c>
      <c r="C1239" s="40" t="s">
        <v>168</v>
      </c>
      <c r="D1239" s="40" t="s">
        <v>175</v>
      </c>
      <c r="E1239" s="40">
        <v>10</v>
      </c>
      <c r="F1239" s="43" t="s">
        <v>45</v>
      </c>
      <c r="G1239" s="43" t="s">
        <v>175</v>
      </c>
    </row>
    <row r="1240" spans="1:7" x14ac:dyDescent="0.25">
      <c r="A1240" s="40">
        <v>1235</v>
      </c>
      <c r="B1240" s="40" t="s">
        <v>1456</v>
      </c>
      <c r="C1240" s="40" t="s">
        <v>167</v>
      </c>
      <c r="D1240" s="40" t="s">
        <v>1968</v>
      </c>
      <c r="E1240" s="40">
        <v>13</v>
      </c>
      <c r="F1240" s="43" t="s">
        <v>45</v>
      </c>
      <c r="G1240" s="43" t="s">
        <v>1984</v>
      </c>
    </row>
    <row r="1241" spans="1:7" x14ac:dyDescent="0.25">
      <c r="A1241" s="40">
        <v>1236</v>
      </c>
      <c r="B1241" s="40" t="s">
        <v>1457</v>
      </c>
      <c r="C1241" s="40" t="s">
        <v>167</v>
      </c>
      <c r="D1241" s="40" t="s">
        <v>1951</v>
      </c>
      <c r="E1241" s="40">
        <v>5</v>
      </c>
      <c r="F1241" s="43" t="s">
        <v>45</v>
      </c>
      <c r="G1241" s="43" t="s">
        <v>182</v>
      </c>
    </row>
    <row r="1242" spans="1:7" x14ac:dyDescent="0.25">
      <c r="A1242" s="40">
        <v>1237</v>
      </c>
      <c r="B1242" s="40" t="s">
        <v>1458</v>
      </c>
      <c r="C1242" s="40" t="s">
        <v>168</v>
      </c>
      <c r="D1242" s="40" t="s">
        <v>198</v>
      </c>
      <c r="E1242" s="40">
        <v>4</v>
      </c>
      <c r="F1242" s="43" t="s">
        <v>51</v>
      </c>
    </row>
    <row r="1243" spans="1:7" x14ac:dyDescent="0.25">
      <c r="A1243" s="40">
        <v>1238</v>
      </c>
      <c r="B1243" s="40" t="s">
        <v>1459</v>
      </c>
      <c r="C1243" s="40" t="s">
        <v>167</v>
      </c>
      <c r="D1243" s="40" t="s">
        <v>1951</v>
      </c>
      <c r="E1243" s="40">
        <v>3</v>
      </c>
      <c r="F1243" s="43" t="s">
        <v>45</v>
      </c>
      <c r="G1243" s="43" t="s">
        <v>182</v>
      </c>
    </row>
    <row r="1244" spans="1:7" x14ac:dyDescent="0.25">
      <c r="A1244" s="40">
        <v>1239</v>
      </c>
      <c r="B1244" s="40" t="s">
        <v>1460</v>
      </c>
      <c r="C1244" s="40" t="s">
        <v>168</v>
      </c>
      <c r="D1244" s="40" t="s">
        <v>175</v>
      </c>
      <c r="E1244" s="40">
        <v>4</v>
      </c>
      <c r="F1244" s="43" t="s">
        <v>45</v>
      </c>
      <c r="G1244" s="43" t="s">
        <v>175</v>
      </c>
    </row>
    <row r="1245" spans="1:7" x14ac:dyDescent="0.25">
      <c r="A1245" s="40">
        <v>1240</v>
      </c>
      <c r="B1245" s="40" t="s">
        <v>1461</v>
      </c>
      <c r="C1245" s="40" t="s">
        <v>168</v>
      </c>
      <c r="D1245" s="40" t="s">
        <v>174</v>
      </c>
      <c r="E1245" s="40">
        <v>9</v>
      </c>
      <c r="F1245" s="43" t="s">
        <v>45</v>
      </c>
      <c r="G1245" s="43" t="s">
        <v>174</v>
      </c>
    </row>
    <row r="1246" spans="1:7" x14ac:dyDescent="0.25">
      <c r="A1246" s="40">
        <v>1241</v>
      </c>
      <c r="B1246" s="40" t="s">
        <v>1462</v>
      </c>
      <c r="C1246" s="40" t="s">
        <v>168</v>
      </c>
      <c r="D1246" s="40" t="s">
        <v>1939</v>
      </c>
      <c r="E1246" s="40">
        <v>5</v>
      </c>
      <c r="F1246" s="43" t="s">
        <v>45</v>
      </c>
      <c r="G1246" s="43" t="s">
        <v>172</v>
      </c>
    </row>
    <row r="1247" spans="1:7" x14ac:dyDescent="0.25">
      <c r="A1247" s="40">
        <v>1242</v>
      </c>
      <c r="B1247" s="40" t="s">
        <v>1463</v>
      </c>
      <c r="C1247" s="40" t="s">
        <v>168</v>
      </c>
      <c r="D1247" s="40" t="s">
        <v>198</v>
      </c>
      <c r="E1247" s="40">
        <v>20</v>
      </c>
      <c r="F1247" s="43" t="s">
        <v>45</v>
      </c>
      <c r="G1247" s="43" t="s">
        <v>187</v>
      </c>
    </row>
    <row r="1248" spans="1:7" x14ac:dyDescent="0.25">
      <c r="A1248" s="40">
        <v>1243</v>
      </c>
      <c r="B1248" s="40" t="s">
        <v>1464</v>
      </c>
      <c r="C1248" s="40" t="s">
        <v>167</v>
      </c>
      <c r="D1248" s="40" t="s">
        <v>195</v>
      </c>
      <c r="E1248" s="40">
        <v>5</v>
      </c>
      <c r="F1248" s="43" t="s">
        <v>45</v>
      </c>
      <c r="G1248" s="43" t="s">
        <v>2006</v>
      </c>
    </row>
    <row r="1249" spans="1:7" x14ac:dyDescent="0.25">
      <c r="A1249" s="40">
        <v>1244</v>
      </c>
      <c r="B1249" s="40" t="s">
        <v>1465</v>
      </c>
      <c r="C1249" s="40" t="s">
        <v>168</v>
      </c>
      <c r="D1249" s="40" t="s">
        <v>174</v>
      </c>
      <c r="E1249" s="40">
        <v>20</v>
      </c>
      <c r="F1249" s="43" t="s">
        <v>45</v>
      </c>
      <c r="G1249" s="43" t="s">
        <v>185</v>
      </c>
    </row>
    <row r="1250" spans="1:7" x14ac:dyDescent="0.25">
      <c r="A1250" s="40">
        <v>1245</v>
      </c>
      <c r="B1250" s="40" t="s">
        <v>1466</v>
      </c>
      <c r="C1250" s="40" t="s">
        <v>168</v>
      </c>
      <c r="D1250" s="40" t="s">
        <v>1949</v>
      </c>
      <c r="E1250" s="40">
        <v>4</v>
      </c>
      <c r="F1250" s="43" t="s">
        <v>45</v>
      </c>
      <c r="G1250" s="43" t="s">
        <v>191</v>
      </c>
    </row>
    <row r="1251" spans="1:7" x14ac:dyDescent="0.25">
      <c r="A1251" s="40">
        <v>1246</v>
      </c>
      <c r="B1251" s="40" t="s">
        <v>1467</v>
      </c>
      <c r="C1251" s="40" t="s">
        <v>168</v>
      </c>
      <c r="D1251" s="40" t="s">
        <v>175</v>
      </c>
      <c r="E1251" s="40">
        <v>8</v>
      </c>
      <c r="F1251" s="43" t="s">
        <v>45</v>
      </c>
      <c r="G1251" s="43" t="s">
        <v>1984</v>
      </c>
    </row>
    <row r="1252" spans="1:7" x14ac:dyDescent="0.25">
      <c r="A1252" s="40">
        <v>1247</v>
      </c>
      <c r="B1252" s="40" t="s">
        <v>1468</v>
      </c>
      <c r="C1252" s="40" t="s">
        <v>167</v>
      </c>
      <c r="D1252" s="40" t="s">
        <v>1962</v>
      </c>
      <c r="E1252" s="40">
        <v>1</v>
      </c>
      <c r="F1252" s="43" t="s">
        <v>45</v>
      </c>
      <c r="G1252" s="43" t="s">
        <v>179</v>
      </c>
    </row>
    <row r="1253" spans="1:7" x14ac:dyDescent="0.25">
      <c r="A1253" s="40">
        <v>1248</v>
      </c>
      <c r="B1253" s="40" t="s">
        <v>1469</v>
      </c>
      <c r="C1253" s="40" t="s">
        <v>167</v>
      </c>
      <c r="D1253" s="40" t="s">
        <v>1950</v>
      </c>
      <c r="E1253" s="40">
        <v>10</v>
      </c>
      <c r="F1253" s="43" t="s">
        <v>45</v>
      </c>
      <c r="G1253" s="43" t="s">
        <v>183</v>
      </c>
    </row>
    <row r="1254" spans="1:7" x14ac:dyDescent="0.25">
      <c r="A1254" s="40">
        <v>1249</v>
      </c>
      <c r="B1254" s="40" t="s">
        <v>1470</v>
      </c>
      <c r="C1254" s="40" t="s">
        <v>168</v>
      </c>
      <c r="D1254" s="40" t="s">
        <v>178</v>
      </c>
      <c r="E1254" s="40">
        <v>23</v>
      </c>
      <c r="F1254" s="43" t="s">
        <v>45</v>
      </c>
      <c r="G1254" s="43" t="s">
        <v>178</v>
      </c>
    </row>
    <row r="1255" spans="1:7" x14ac:dyDescent="0.25">
      <c r="A1255" s="40">
        <v>1250</v>
      </c>
      <c r="B1255" s="40" t="s">
        <v>1471</v>
      </c>
      <c r="C1255" s="40" t="s">
        <v>168</v>
      </c>
      <c r="D1255" s="40" t="s">
        <v>178</v>
      </c>
      <c r="E1255" s="40">
        <v>4</v>
      </c>
      <c r="F1255" s="43" t="s">
        <v>51</v>
      </c>
    </row>
    <row r="1256" spans="1:7" x14ac:dyDescent="0.25">
      <c r="A1256" s="40">
        <v>1251</v>
      </c>
      <c r="B1256" s="40" t="s">
        <v>1472</v>
      </c>
      <c r="C1256" s="40" t="s">
        <v>167</v>
      </c>
      <c r="D1256" s="40" t="s">
        <v>181</v>
      </c>
      <c r="E1256" s="40">
        <v>8</v>
      </c>
      <c r="F1256" s="43" t="s">
        <v>45</v>
      </c>
      <c r="G1256" s="43" t="s">
        <v>181</v>
      </c>
    </row>
    <row r="1257" spans="1:7" x14ac:dyDescent="0.25">
      <c r="A1257" s="40">
        <v>1252</v>
      </c>
      <c r="B1257" s="40" t="s">
        <v>1473</v>
      </c>
      <c r="C1257" s="40" t="s">
        <v>167</v>
      </c>
      <c r="D1257" s="40" t="s">
        <v>193</v>
      </c>
      <c r="E1257" s="40">
        <v>5</v>
      </c>
      <c r="F1257" s="43" t="s">
        <v>51</v>
      </c>
    </row>
    <row r="1258" spans="1:7" x14ac:dyDescent="0.25">
      <c r="A1258" s="40">
        <v>1253</v>
      </c>
      <c r="B1258" s="40" t="s">
        <v>1474</v>
      </c>
      <c r="C1258" s="40" t="s">
        <v>167</v>
      </c>
      <c r="D1258" s="40" t="s">
        <v>192</v>
      </c>
      <c r="E1258" s="40">
        <v>5</v>
      </c>
      <c r="F1258" s="43" t="s">
        <v>45</v>
      </c>
      <c r="G1258" s="43" t="s">
        <v>192</v>
      </c>
    </row>
    <row r="1259" spans="1:7" x14ac:dyDescent="0.25">
      <c r="A1259" s="40">
        <v>1254</v>
      </c>
      <c r="B1259" s="40" t="s">
        <v>1475</v>
      </c>
      <c r="C1259" s="40" t="s">
        <v>167</v>
      </c>
      <c r="D1259" s="40" t="s">
        <v>193</v>
      </c>
      <c r="E1259" s="40">
        <v>9</v>
      </c>
      <c r="F1259" s="43" t="s">
        <v>45</v>
      </c>
      <c r="G1259" s="43" t="s">
        <v>1985</v>
      </c>
    </row>
    <row r="1260" spans="1:7" x14ac:dyDescent="0.25">
      <c r="A1260" s="40">
        <v>1255</v>
      </c>
      <c r="B1260" s="40" t="s">
        <v>1476</v>
      </c>
      <c r="C1260" s="40" t="s">
        <v>167</v>
      </c>
      <c r="D1260" s="40" t="s">
        <v>1934</v>
      </c>
      <c r="E1260" s="40">
        <v>6</v>
      </c>
      <c r="F1260" s="43" t="s">
        <v>45</v>
      </c>
      <c r="G1260" s="43" t="s">
        <v>182</v>
      </c>
    </row>
    <row r="1261" spans="1:7" x14ac:dyDescent="0.25">
      <c r="A1261" s="40">
        <v>1256</v>
      </c>
      <c r="B1261" s="40" t="s">
        <v>1477</v>
      </c>
      <c r="C1261" s="40" t="s">
        <v>168</v>
      </c>
      <c r="D1261" s="40" t="s">
        <v>178</v>
      </c>
      <c r="E1261" s="40">
        <v>10</v>
      </c>
      <c r="F1261" s="43" t="s">
        <v>45</v>
      </c>
      <c r="G1261" s="43" t="s">
        <v>178</v>
      </c>
    </row>
    <row r="1262" spans="1:7" x14ac:dyDescent="0.25">
      <c r="A1262" s="40">
        <v>1257</v>
      </c>
      <c r="B1262" s="40" t="s">
        <v>1478</v>
      </c>
      <c r="C1262" s="40" t="s">
        <v>168</v>
      </c>
      <c r="D1262" s="40" t="s">
        <v>193</v>
      </c>
      <c r="E1262" s="40">
        <v>3</v>
      </c>
      <c r="F1262" s="43" t="s">
        <v>45</v>
      </c>
      <c r="G1262" s="43" t="s">
        <v>169</v>
      </c>
    </row>
    <row r="1263" spans="1:7" x14ac:dyDescent="0.25">
      <c r="A1263" s="40">
        <v>1258</v>
      </c>
      <c r="B1263" s="40" t="s">
        <v>1479</v>
      </c>
      <c r="C1263" s="40" t="s">
        <v>168</v>
      </c>
      <c r="D1263" s="40" t="s">
        <v>178</v>
      </c>
      <c r="E1263" s="40">
        <v>2</v>
      </c>
      <c r="F1263" s="43" t="s">
        <v>45</v>
      </c>
      <c r="G1263" s="43" t="s">
        <v>178</v>
      </c>
    </row>
    <row r="1264" spans="1:7" x14ac:dyDescent="0.25">
      <c r="A1264" s="40">
        <v>1259</v>
      </c>
      <c r="B1264" s="40" t="s">
        <v>1480</v>
      </c>
      <c r="C1264" s="40" t="s">
        <v>167</v>
      </c>
      <c r="D1264" s="40" t="s">
        <v>1938</v>
      </c>
      <c r="E1264" s="40">
        <v>3</v>
      </c>
      <c r="F1264" s="43" t="s">
        <v>45</v>
      </c>
      <c r="G1264" s="43" t="s">
        <v>191</v>
      </c>
    </row>
    <row r="1265" spans="1:7" x14ac:dyDescent="0.25">
      <c r="A1265" s="40">
        <v>1260</v>
      </c>
      <c r="B1265" s="40" t="s">
        <v>1481</v>
      </c>
      <c r="C1265" s="40" t="s">
        <v>167</v>
      </c>
      <c r="D1265" s="40" t="s">
        <v>193</v>
      </c>
      <c r="E1265" s="40">
        <v>5</v>
      </c>
      <c r="F1265" s="43" t="s">
        <v>45</v>
      </c>
      <c r="G1265" s="43" t="s">
        <v>1988</v>
      </c>
    </row>
    <row r="1266" spans="1:7" x14ac:dyDescent="0.25">
      <c r="A1266" s="40">
        <v>1261</v>
      </c>
      <c r="B1266" s="40" t="s">
        <v>1482</v>
      </c>
      <c r="C1266" s="40" t="s">
        <v>168</v>
      </c>
      <c r="D1266" s="40" t="s">
        <v>178</v>
      </c>
      <c r="E1266" s="40">
        <v>9</v>
      </c>
      <c r="F1266" s="43" t="s">
        <v>45</v>
      </c>
      <c r="G1266" s="43" t="s">
        <v>178</v>
      </c>
    </row>
    <row r="1267" spans="1:7" x14ac:dyDescent="0.25">
      <c r="A1267" s="40">
        <v>1262</v>
      </c>
      <c r="B1267" s="40" t="s">
        <v>1483</v>
      </c>
      <c r="C1267" s="40" t="s">
        <v>168</v>
      </c>
      <c r="D1267" s="40" t="s">
        <v>180</v>
      </c>
      <c r="E1267" s="40">
        <v>3</v>
      </c>
      <c r="F1267" s="43" t="s">
        <v>45</v>
      </c>
      <c r="G1267" s="43" t="s">
        <v>180</v>
      </c>
    </row>
    <row r="1268" spans="1:7" x14ac:dyDescent="0.25">
      <c r="A1268" s="40">
        <v>1263</v>
      </c>
      <c r="B1268" s="40" t="s">
        <v>1484</v>
      </c>
      <c r="C1268" s="40" t="s">
        <v>167</v>
      </c>
      <c r="D1268" s="40" t="s">
        <v>198</v>
      </c>
      <c r="E1268" s="40">
        <v>5</v>
      </c>
      <c r="F1268" s="43" t="s">
        <v>45</v>
      </c>
      <c r="G1268" s="43" t="s">
        <v>188</v>
      </c>
    </row>
    <row r="1269" spans="1:7" x14ac:dyDescent="0.25">
      <c r="A1269" s="40">
        <v>1264</v>
      </c>
      <c r="B1269" s="40" t="s">
        <v>1485</v>
      </c>
      <c r="C1269" s="40" t="s">
        <v>168</v>
      </c>
      <c r="D1269" s="40" t="s">
        <v>180</v>
      </c>
      <c r="E1269" s="40">
        <v>4</v>
      </c>
      <c r="F1269" s="43" t="s">
        <v>45</v>
      </c>
      <c r="G1269" s="43" t="s">
        <v>180</v>
      </c>
    </row>
    <row r="1270" spans="1:7" x14ac:dyDescent="0.25">
      <c r="A1270" s="40">
        <v>1265</v>
      </c>
      <c r="B1270" s="40" t="s">
        <v>1486</v>
      </c>
      <c r="C1270" s="40" t="s">
        <v>168</v>
      </c>
      <c r="D1270" s="40" t="s">
        <v>193</v>
      </c>
      <c r="E1270" s="40">
        <v>5</v>
      </c>
      <c r="F1270" s="43" t="s">
        <v>45</v>
      </c>
      <c r="G1270" s="43" t="s">
        <v>1985</v>
      </c>
    </row>
    <row r="1271" spans="1:7" x14ac:dyDescent="0.25">
      <c r="A1271" s="40">
        <v>1266</v>
      </c>
      <c r="B1271" s="40" t="s">
        <v>1487</v>
      </c>
      <c r="C1271" s="40" t="s">
        <v>168</v>
      </c>
      <c r="D1271" s="40" t="s">
        <v>193</v>
      </c>
      <c r="E1271" s="40">
        <v>9</v>
      </c>
      <c r="F1271" s="43" t="s">
        <v>45</v>
      </c>
      <c r="G1271" s="43" t="s">
        <v>1985</v>
      </c>
    </row>
    <row r="1272" spans="1:7" x14ac:dyDescent="0.25">
      <c r="A1272" s="40">
        <v>1267</v>
      </c>
      <c r="B1272" s="40" t="s">
        <v>1488</v>
      </c>
      <c r="C1272" s="40" t="s">
        <v>167</v>
      </c>
      <c r="D1272" s="40" t="s">
        <v>1938</v>
      </c>
      <c r="E1272" s="40">
        <v>9</v>
      </c>
      <c r="F1272" s="43" t="s">
        <v>45</v>
      </c>
      <c r="G1272" s="43" t="s">
        <v>190</v>
      </c>
    </row>
    <row r="1273" spans="1:7" x14ac:dyDescent="0.25">
      <c r="A1273" s="40">
        <v>1268</v>
      </c>
      <c r="B1273" s="40" t="s">
        <v>1489</v>
      </c>
      <c r="C1273" s="40" t="s">
        <v>168</v>
      </c>
      <c r="D1273" s="40" t="s">
        <v>193</v>
      </c>
      <c r="E1273" s="40">
        <v>5</v>
      </c>
      <c r="F1273" s="43" t="s">
        <v>51</v>
      </c>
    </row>
    <row r="1274" spans="1:7" x14ac:dyDescent="0.25">
      <c r="A1274" s="40">
        <v>1269</v>
      </c>
      <c r="B1274" s="40" t="s">
        <v>1490</v>
      </c>
      <c r="C1274" s="40" t="s">
        <v>168</v>
      </c>
      <c r="D1274" s="40" t="s">
        <v>193</v>
      </c>
      <c r="E1274" s="40">
        <v>10</v>
      </c>
      <c r="F1274" s="43" t="s">
        <v>45</v>
      </c>
      <c r="G1274" s="43" t="s">
        <v>1986</v>
      </c>
    </row>
    <row r="1275" spans="1:7" x14ac:dyDescent="0.25">
      <c r="A1275" s="40">
        <v>1270</v>
      </c>
      <c r="B1275" s="40" t="s">
        <v>1491</v>
      </c>
      <c r="C1275" s="40" t="s">
        <v>168</v>
      </c>
      <c r="D1275" s="40" t="s">
        <v>193</v>
      </c>
      <c r="E1275" s="40">
        <v>8</v>
      </c>
      <c r="F1275" s="43" t="s">
        <v>45</v>
      </c>
      <c r="G1275" s="43" t="s">
        <v>1986</v>
      </c>
    </row>
    <row r="1276" spans="1:7" x14ac:dyDescent="0.25">
      <c r="A1276" s="40">
        <v>1271</v>
      </c>
      <c r="B1276" s="40" t="s">
        <v>1492</v>
      </c>
      <c r="C1276" s="40" t="s">
        <v>168</v>
      </c>
      <c r="D1276" s="40" t="s">
        <v>1938</v>
      </c>
      <c r="E1276" s="40">
        <v>4</v>
      </c>
      <c r="F1276" s="43" t="s">
        <v>45</v>
      </c>
      <c r="G1276" s="43" t="s">
        <v>191</v>
      </c>
    </row>
    <row r="1277" spans="1:7" x14ac:dyDescent="0.25">
      <c r="A1277" s="40">
        <v>1272</v>
      </c>
      <c r="B1277" s="40" t="s">
        <v>1493</v>
      </c>
      <c r="C1277" s="40" t="s">
        <v>168</v>
      </c>
      <c r="D1277" s="40" t="s">
        <v>193</v>
      </c>
      <c r="E1277" s="40">
        <v>5</v>
      </c>
      <c r="F1277" s="43" t="s">
        <v>45</v>
      </c>
      <c r="G1277" s="43" t="s">
        <v>1985</v>
      </c>
    </row>
    <row r="1278" spans="1:7" x14ac:dyDescent="0.25">
      <c r="A1278" s="40">
        <v>1273</v>
      </c>
      <c r="B1278" s="40" t="s">
        <v>1494</v>
      </c>
      <c r="C1278" s="40" t="s">
        <v>167</v>
      </c>
      <c r="D1278" s="40" t="s">
        <v>178</v>
      </c>
      <c r="E1278" s="40">
        <v>8</v>
      </c>
      <c r="F1278" s="43" t="s">
        <v>45</v>
      </c>
      <c r="G1278" s="43" t="s">
        <v>178</v>
      </c>
    </row>
    <row r="1279" spans="1:7" x14ac:dyDescent="0.25">
      <c r="A1279" s="40">
        <v>1274</v>
      </c>
      <c r="B1279" s="40" t="s">
        <v>1495</v>
      </c>
      <c r="C1279" s="40" t="s">
        <v>167</v>
      </c>
      <c r="D1279" s="40" t="s">
        <v>192</v>
      </c>
      <c r="E1279" s="40">
        <v>4</v>
      </c>
      <c r="F1279" s="43" t="s">
        <v>45</v>
      </c>
      <c r="G1279" s="43" t="s">
        <v>192</v>
      </c>
    </row>
    <row r="1280" spans="1:7" x14ac:dyDescent="0.25">
      <c r="A1280" s="40">
        <v>1275</v>
      </c>
      <c r="B1280" s="40" t="s">
        <v>1496</v>
      </c>
      <c r="C1280" s="40" t="s">
        <v>168</v>
      </c>
      <c r="D1280" s="40" t="s">
        <v>1961</v>
      </c>
      <c r="E1280" s="40">
        <v>5</v>
      </c>
      <c r="F1280" s="43" t="s">
        <v>45</v>
      </c>
      <c r="G1280" s="43" t="s">
        <v>175</v>
      </c>
    </row>
    <row r="1281" spans="1:7" x14ac:dyDescent="0.25">
      <c r="A1281" s="40">
        <v>1276</v>
      </c>
      <c r="B1281" s="40" t="s">
        <v>1497</v>
      </c>
      <c r="C1281" s="40" t="s">
        <v>167</v>
      </c>
      <c r="D1281" s="40" t="s">
        <v>1934</v>
      </c>
      <c r="E1281" s="40">
        <v>7</v>
      </c>
      <c r="F1281" s="43" t="s">
        <v>45</v>
      </c>
      <c r="G1281" s="43" t="s">
        <v>182</v>
      </c>
    </row>
    <row r="1282" spans="1:7" x14ac:dyDescent="0.25">
      <c r="A1282" s="40">
        <v>1277</v>
      </c>
      <c r="B1282" s="40" t="s">
        <v>1498</v>
      </c>
      <c r="C1282" s="40" t="s">
        <v>167</v>
      </c>
      <c r="D1282" s="40" t="s">
        <v>178</v>
      </c>
      <c r="E1282" s="40">
        <v>5</v>
      </c>
      <c r="F1282" s="43" t="s">
        <v>45</v>
      </c>
      <c r="G1282" s="43" t="s">
        <v>178</v>
      </c>
    </row>
    <row r="1283" spans="1:7" x14ac:dyDescent="0.25">
      <c r="A1283" s="40">
        <v>1278</v>
      </c>
      <c r="B1283" s="40" t="s">
        <v>1499</v>
      </c>
      <c r="C1283" s="40" t="s">
        <v>167</v>
      </c>
      <c r="D1283" s="40" t="s">
        <v>181</v>
      </c>
      <c r="E1283" s="40">
        <v>7</v>
      </c>
      <c r="F1283" s="43" t="s">
        <v>45</v>
      </c>
      <c r="G1283" s="43" t="s">
        <v>181</v>
      </c>
    </row>
    <row r="1284" spans="1:7" x14ac:dyDescent="0.25">
      <c r="A1284" s="40">
        <v>1279</v>
      </c>
      <c r="B1284" s="40" t="s">
        <v>1500</v>
      </c>
      <c r="C1284" s="40" t="s">
        <v>167</v>
      </c>
      <c r="D1284" s="40" t="s">
        <v>180</v>
      </c>
      <c r="E1284" s="40">
        <v>8</v>
      </c>
      <c r="F1284" s="43" t="s">
        <v>45</v>
      </c>
      <c r="G1284" s="43" t="s">
        <v>180</v>
      </c>
    </row>
    <row r="1285" spans="1:7" x14ac:dyDescent="0.25">
      <c r="A1285" s="40">
        <v>1280</v>
      </c>
      <c r="B1285" s="40" t="s">
        <v>1501</v>
      </c>
      <c r="C1285" s="40" t="s">
        <v>168</v>
      </c>
      <c r="D1285" s="40" t="s">
        <v>178</v>
      </c>
      <c r="E1285" s="40">
        <v>6</v>
      </c>
      <c r="F1285" s="43" t="s">
        <v>45</v>
      </c>
      <c r="G1285" s="43" t="s">
        <v>178</v>
      </c>
    </row>
    <row r="1286" spans="1:7" x14ac:dyDescent="0.25">
      <c r="A1286" s="40">
        <v>1281</v>
      </c>
      <c r="B1286" s="40" t="s">
        <v>1502</v>
      </c>
      <c r="C1286" s="40" t="s">
        <v>167</v>
      </c>
      <c r="D1286" s="40" t="s">
        <v>192</v>
      </c>
      <c r="E1286" s="40">
        <v>2</v>
      </c>
      <c r="F1286" s="43" t="s">
        <v>45</v>
      </c>
      <c r="G1286" s="43" t="s">
        <v>192</v>
      </c>
    </row>
    <row r="1287" spans="1:7" x14ac:dyDescent="0.25">
      <c r="A1287" s="40">
        <v>1282</v>
      </c>
      <c r="B1287" s="40" t="s">
        <v>1503</v>
      </c>
      <c r="C1287" s="40" t="s">
        <v>167</v>
      </c>
      <c r="D1287" s="40" t="s">
        <v>181</v>
      </c>
      <c r="E1287" s="40">
        <v>11</v>
      </c>
      <c r="F1287" s="43" t="s">
        <v>45</v>
      </c>
      <c r="G1287" s="43" t="s">
        <v>181</v>
      </c>
    </row>
    <row r="1288" spans="1:7" x14ac:dyDescent="0.25">
      <c r="A1288" s="40">
        <v>1283</v>
      </c>
      <c r="B1288" s="40" t="s">
        <v>1504</v>
      </c>
      <c r="C1288" s="40" t="s">
        <v>168</v>
      </c>
      <c r="D1288" s="40" t="s">
        <v>1938</v>
      </c>
      <c r="E1288" s="40">
        <v>3</v>
      </c>
      <c r="F1288" s="43" t="s">
        <v>45</v>
      </c>
      <c r="G1288" s="43" t="s">
        <v>190</v>
      </c>
    </row>
    <row r="1289" spans="1:7" x14ac:dyDescent="0.25">
      <c r="A1289" s="40">
        <v>1284</v>
      </c>
      <c r="B1289" s="40" t="s">
        <v>1505</v>
      </c>
      <c r="C1289" s="40" t="s">
        <v>167</v>
      </c>
      <c r="D1289" s="40" t="s">
        <v>1933</v>
      </c>
      <c r="E1289" s="40">
        <v>10</v>
      </c>
      <c r="F1289" s="43" t="s">
        <v>45</v>
      </c>
      <c r="G1289" s="43" t="s">
        <v>190</v>
      </c>
    </row>
    <row r="1290" spans="1:7" x14ac:dyDescent="0.25">
      <c r="A1290" s="40">
        <v>1285</v>
      </c>
      <c r="B1290" s="40" t="s">
        <v>1506</v>
      </c>
      <c r="C1290" s="40" t="s">
        <v>168</v>
      </c>
      <c r="D1290" s="40" t="s">
        <v>1954</v>
      </c>
      <c r="E1290" s="40">
        <v>5</v>
      </c>
      <c r="F1290" s="43" t="s">
        <v>45</v>
      </c>
      <c r="G1290" s="43" t="s">
        <v>2006</v>
      </c>
    </row>
    <row r="1291" spans="1:7" x14ac:dyDescent="0.25">
      <c r="A1291" s="40">
        <v>1286</v>
      </c>
      <c r="B1291" s="40" t="s">
        <v>1507</v>
      </c>
      <c r="C1291" s="40" t="s">
        <v>168</v>
      </c>
      <c r="D1291" s="40" t="s">
        <v>192</v>
      </c>
      <c r="E1291" s="40">
        <v>3</v>
      </c>
      <c r="F1291" s="43" t="s">
        <v>45</v>
      </c>
      <c r="G1291" s="43" t="s">
        <v>192</v>
      </c>
    </row>
    <row r="1292" spans="1:7" x14ac:dyDescent="0.25">
      <c r="A1292" s="40">
        <v>1287</v>
      </c>
      <c r="B1292" s="40" t="s">
        <v>1508</v>
      </c>
      <c r="C1292" s="40" t="s">
        <v>167</v>
      </c>
      <c r="D1292" s="40" t="s">
        <v>181</v>
      </c>
      <c r="E1292" s="40">
        <v>10</v>
      </c>
      <c r="F1292" s="43" t="s">
        <v>45</v>
      </c>
      <c r="G1292" s="43" t="s">
        <v>181</v>
      </c>
    </row>
    <row r="1293" spans="1:7" x14ac:dyDescent="0.25">
      <c r="A1293" s="40">
        <v>1288</v>
      </c>
      <c r="B1293" s="40" t="s">
        <v>1509</v>
      </c>
      <c r="C1293" s="40" t="s">
        <v>167</v>
      </c>
      <c r="D1293" s="40" t="s">
        <v>172</v>
      </c>
      <c r="E1293" s="40">
        <v>8</v>
      </c>
      <c r="F1293" s="43" t="s">
        <v>45</v>
      </c>
      <c r="G1293" s="43" t="s">
        <v>172</v>
      </c>
    </row>
    <row r="1294" spans="1:7" x14ac:dyDescent="0.25">
      <c r="A1294" s="40">
        <v>1289</v>
      </c>
      <c r="B1294" s="40" t="s">
        <v>1510</v>
      </c>
      <c r="C1294" s="40" t="s">
        <v>167</v>
      </c>
      <c r="D1294" s="40" t="s">
        <v>178</v>
      </c>
      <c r="E1294" s="40">
        <v>15</v>
      </c>
      <c r="F1294" s="43" t="s">
        <v>45</v>
      </c>
      <c r="G1294" s="43" t="s">
        <v>178</v>
      </c>
    </row>
    <row r="1295" spans="1:7" x14ac:dyDescent="0.25">
      <c r="A1295" s="40">
        <v>1290</v>
      </c>
      <c r="B1295" s="40" t="s">
        <v>1511</v>
      </c>
      <c r="C1295" s="40" t="s">
        <v>168</v>
      </c>
      <c r="D1295" s="40" t="s">
        <v>1959</v>
      </c>
      <c r="E1295" s="40">
        <v>6</v>
      </c>
      <c r="F1295" s="43" t="s">
        <v>45</v>
      </c>
      <c r="G1295" s="43" t="s">
        <v>190</v>
      </c>
    </row>
    <row r="1296" spans="1:7" x14ac:dyDescent="0.25">
      <c r="A1296" s="40">
        <v>1291</v>
      </c>
      <c r="B1296" s="40" t="s">
        <v>1512</v>
      </c>
      <c r="C1296" s="40" t="s">
        <v>168</v>
      </c>
      <c r="D1296" s="40" t="s">
        <v>195</v>
      </c>
      <c r="E1296" s="40">
        <v>1</v>
      </c>
      <c r="F1296" s="43" t="s">
        <v>45</v>
      </c>
      <c r="G1296" s="43" t="s">
        <v>2006</v>
      </c>
    </row>
    <row r="1297" spans="1:7" x14ac:dyDescent="0.25">
      <c r="A1297" s="40">
        <v>1292</v>
      </c>
      <c r="B1297" s="40" t="s">
        <v>1513</v>
      </c>
      <c r="C1297" s="40" t="s">
        <v>167</v>
      </c>
      <c r="D1297" s="40" t="s">
        <v>178</v>
      </c>
      <c r="E1297" s="40">
        <v>2</v>
      </c>
      <c r="F1297" s="43" t="s">
        <v>45</v>
      </c>
      <c r="G1297" s="43" t="s">
        <v>178</v>
      </c>
    </row>
    <row r="1298" spans="1:7" x14ac:dyDescent="0.25">
      <c r="A1298" s="40">
        <v>1293</v>
      </c>
      <c r="B1298" s="40" t="s">
        <v>1514</v>
      </c>
      <c r="C1298" s="40" t="s">
        <v>168</v>
      </c>
      <c r="D1298" s="40" t="s">
        <v>192</v>
      </c>
      <c r="E1298" s="40">
        <v>3</v>
      </c>
      <c r="F1298" s="43" t="s">
        <v>45</v>
      </c>
      <c r="G1298" s="43" t="s">
        <v>192</v>
      </c>
    </row>
    <row r="1299" spans="1:7" x14ac:dyDescent="0.25">
      <c r="A1299" s="40">
        <v>1294</v>
      </c>
      <c r="B1299" s="40" t="s">
        <v>1515</v>
      </c>
      <c r="C1299" s="40" t="s">
        <v>167</v>
      </c>
      <c r="D1299" s="40" t="s">
        <v>193</v>
      </c>
      <c r="E1299" s="40">
        <v>7</v>
      </c>
      <c r="F1299" s="43" t="s">
        <v>45</v>
      </c>
      <c r="G1299" s="43" t="s">
        <v>1986</v>
      </c>
    </row>
    <row r="1300" spans="1:7" x14ac:dyDescent="0.25">
      <c r="A1300" s="40">
        <v>1295</v>
      </c>
      <c r="B1300" s="40" t="s">
        <v>1516</v>
      </c>
      <c r="C1300" s="40" t="s">
        <v>167</v>
      </c>
      <c r="D1300" s="40" t="s">
        <v>181</v>
      </c>
      <c r="E1300" s="40">
        <v>16</v>
      </c>
      <c r="F1300" s="43" t="s">
        <v>45</v>
      </c>
      <c r="G1300" s="43" t="s">
        <v>181</v>
      </c>
    </row>
    <row r="1301" spans="1:7" x14ac:dyDescent="0.25">
      <c r="A1301" s="40">
        <v>1296</v>
      </c>
      <c r="B1301" s="40" t="s">
        <v>1517</v>
      </c>
      <c r="C1301" s="40" t="s">
        <v>167</v>
      </c>
      <c r="D1301" s="40" t="s">
        <v>193</v>
      </c>
      <c r="E1301" s="40">
        <v>2</v>
      </c>
      <c r="F1301" s="43" t="s">
        <v>45</v>
      </c>
      <c r="G1301" s="43" t="s">
        <v>169</v>
      </c>
    </row>
    <row r="1302" spans="1:7" x14ac:dyDescent="0.25">
      <c r="A1302" s="40">
        <v>1297</v>
      </c>
      <c r="B1302" s="40" t="s">
        <v>1518</v>
      </c>
      <c r="C1302" s="40" t="s">
        <v>167</v>
      </c>
      <c r="D1302" s="40" t="s">
        <v>181</v>
      </c>
      <c r="E1302" s="40">
        <v>7</v>
      </c>
      <c r="F1302" s="43" t="s">
        <v>45</v>
      </c>
      <c r="G1302" s="43" t="s">
        <v>181</v>
      </c>
    </row>
    <row r="1303" spans="1:7" x14ac:dyDescent="0.25">
      <c r="A1303" s="40">
        <v>1298</v>
      </c>
      <c r="B1303" s="40" t="s">
        <v>1519</v>
      </c>
      <c r="C1303" s="40" t="s">
        <v>168</v>
      </c>
      <c r="D1303" s="40" t="s">
        <v>192</v>
      </c>
      <c r="E1303" s="40">
        <v>4</v>
      </c>
      <c r="F1303" s="43" t="s">
        <v>45</v>
      </c>
      <c r="G1303" s="43" t="s">
        <v>192</v>
      </c>
    </row>
    <row r="1304" spans="1:7" x14ac:dyDescent="0.25">
      <c r="A1304" s="40">
        <v>1299</v>
      </c>
      <c r="B1304" s="40" t="s">
        <v>1520</v>
      </c>
      <c r="C1304" s="40" t="s">
        <v>168</v>
      </c>
      <c r="D1304" s="40" t="s">
        <v>192</v>
      </c>
      <c r="E1304" s="40">
        <v>7</v>
      </c>
      <c r="F1304" s="43" t="s">
        <v>45</v>
      </c>
      <c r="G1304" s="43" t="s">
        <v>192</v>
      </c>
    </row>
    <row r="1305" spans="1:7" x14ac:dyDescent="0.25">
      <c r="A1305" s="40">
        <v>1300</v>
      </c>
      <c r="B1305" s="40" t="s">
        <v>1521</v>
      </c>
      <c r="C1305" s="40" t="s">
        <v>167</v>
      </c>
      <c r="D1305" s="40" t="s">
        <v>178</v>
      </c>
      <c r="E1305" s="40">
        <v>4</v>
      </c>
      <c r="F1305" s="43" t="s">
        <v>45</v>
      </c>
      <c r="G1305" s="43" t="s">
        <v>178</v>
      </c>
    </row>
    <row r="1306" spans="1:7" x14ac:dyDescent="0.25">
      <c r="A1306" s="40">
        <v>1301</v>
      </c>
      <c r="B1306" s="40" t="s">
        <v>1522</v>
      </c>
      <c r="C1306" s="40" t="s">
        <v>168</v>
      </c>
      <c r="D1306" s="40" t="s">
        <v>1961</v>
      </c>
      <c r="E1306" s="40">
        <v>4</v>
      </c>
      <c r="F1306" s="43" t="s">
        <v>45</v>
      </c>
      <c r="G1306" s="43" t="s">
        <v>175</v>
      </c>
    </row>
    <row r="1307" spans="1:7" x14ac:dyDescent="0.25">
      <c r="A1307" s="40">
        <v>1302</v>
      </c>
      <c r="B1307" s="40" t="s">
        <v>1523</v>
      </c>
      <c r="C1307" s="40" t="s">
        <v>168</v>
      </c>
      <c r="D1307" s="40" t="s">
        <v>192</v>
      </c>
      <c r="E1307" s="40">
        <v>4</v>
      </c>
      <c r="F1307" s="43" t="s">
        <v>45</v>
      </c>
      <c r="G1307" s="43" t="s">
        <v>192</v>
      </c>
    </row>
    <row r="1308" spans="1:7" x14ac:dyDescent="0.25">
      <c r="A1308" s="40">
        <v>1303</v>
      </c>
      <c r="B1308" s="40" t="s">
        <v>1524</v>
      </c>
      <c r="C1308" s="40" t="s">
        <v>167</v>
      </c>
      <c r="D1308" s="40" t="s">
        <v>1966</v>
      </c>
      <c r="E1308" s="40">
        <v>2</v>
      </c>
      <c r="F1308" s="43" t="s">
        <v>45</v>
      </c>
      <c r="G1308" s="43" t="s">
        <v>177</v>
      </c>
    </row>
    <row r="1309" spans="1:7" x14ac:dyDescent="0.25">
      <c r="A1309" s="40">
        <v>1304</v>
      </c>
      <c r="B1309" s="40" t="s">
        <v>1525</v>
      </c>
      <c r="C1309" s="40" t="s">
        <v>168</v>
      </c>
      <c r="D1309" s="40" t="s">
        <v>193</v>
      </c>
      <c r="E1309" s="40">
        <v>6</v>
      </c>
      <c r="F1309" s="43" t="s">
        <v>45</v>
      </c>
      <c r="G1309" s="43" t="s">
        <v>1985</v>
      </c>
    </row>
    <row r="1310" spans="1:7" x14ac:dyDescent="0.25">
      <c r="A1310" s="40">
        <v>1305</v>
      </c>
      <c r="B1310" s="40" t="s">
        <v>1526</v>
      </c>
      <c r="C1310" s="40" t="s">
        <v>167</v>
      </c>
      <c r="D1310" s="40" t="s">
        <v>1932</v>
      </c>
      <c r="E1310" s="40">
        <v>8</v>
      </c>
      <c r="F1310" s="43" t="s">
        <v>45</v>
      </c>
      <c r="G1310" s="43" t="s">
        <v>1980</v>
      </c>
    </row>
    <row r="1311" spans="1:7" x14ac:dyDescent="0.25">
      <c r="A1311" s="40">
        <v>1306</v>
      </c>
      <c r="B1311" s="40" t="s">
        <v>1527</v>
      </c>
      <c r="C1311" s="40" t="s">
        <v>167</v>
      </c>
      <c r="D1311" s="40" t="s">
        <v>180</v>
      </c>
      <c r="E1311" s="40">
        <v>4</v>
      </c>
      <c r="F1311" s="43" t="s">
        <v>45</v>
      </c>
      <c r="G1311" s="43" t="s">
        <v>180</v>
      </c>
    </row>
    <row r="1312" spans="1:7" x14ac:dyDescent="0.25">
      <c r="A1312" s="40">
        <v>1307</v>
      </c>
      <c r="B1312" s="40" t="s">
        <v>1528</v>
      </c>
      <c r="C1312" s="40" t="s">
        <v>167</v>
      </c>
      <c r="D1312" s="40" t="s">
        <v>1966</v>
      </c>
      <c r="E1312" s="40">
        <v>14</v>
      </c>
      <c r="F1312" s="43" t="s">
        <v>45</v>
      </c>
      <c r="G1312" s="43" t="s">
        <v>177</v>
      </c>
    </row>
    <row r="1313" spans="1:7" x14ac:dyDescent="0.25">
      <c r="A1313" s="40">
        <v>1308</v>
      </c>
      <c r="B1313" s="40" t="s">
        <v>1529</v>
      </c>
      <c r="C1313" s="40" t="s">
        <v>167</v>
      </c>
      <c r="D1313" s="40" t="s">
        <v>195</v>
      </c>
      <c r="E1313" s="40">
        <v>5</v>
      </c>
      <c r="F1313" s="43" t="s">
        <v>45</v>
      </c>
      <c r="G1313" s="43" t="s">
        <v>2006</v>
      </c>
    </row>
    <row r="1314" spans="1:7" x14ac:dyDescent="0.25">
      <c r="A1314" s="40">
        <v>1309</v>
      </c>
      <c r="B1314" s="40" t="s">
        <v>1530</v>
      </c>
      <c r="C1314" s="40" t="s">
        <v>168</v>
      </c>
      <c r="D1314" s="40" t="s">
        <v>1966</v>
      </c>
      <c r="E1314" s="40">
        <v>2</v>
      </c>
      <c r="F1314" s="43" t="s">
        <v>45</v>
      </c>
      <c r="G1314" s="43" t="s">
        <v>177</v>
      </c>
    </row>
    <row r="1315" spans="1:7" x14ac:dyDescent="0.25">
      <c r="A1315" s="40">
        <v>1310</v>
      </c>
      <c r="B1315" s="40" t="s">
        <v>1531</v>
      </c>
      <c r="C1315" s="40" t="s">
        <v>168</v>
      </c>
      <c r="D1315" s="40" t="s">
        <v>1966</v>
      </c>
      <c r="E1315" s="40">
        <v>2</v>
      </c>
      <c r="F1315" s="43" t="s">
        <v>45</v>
      </c>
      <c r="G1315" s="43" t="s">
        <v>177</v>
      </c>
    </row>
    <row r="1316" spans="1:7" x14ac:dyDescent="0.25">
      <c r="A1316" s="40">
        <v>1311</v>
      </c>
      <c r="B1316" s="40" t="s">
        <v>1532</v>
      </c>
      <c r="C1316" s="40" t="s">
        <v>168</v>
      </c>
      <c r="D1316" s="40" t="s">
        <v>180</v>
      </c>
      <c r="E1316" s="40">
        <v>8</v>
      </c>
      <c r="F1316" s="43" t="s">
        <v>45</v>
      </c>
      <c r="G1316" s="43" t="s">
        <v>180</v>
      </c>
    </row>
    <row r="1317" spans="1:7" x14ac:dyDescent="0.25">
      <c r="A1317" s="40">
        <v>1312</v>
      </c>
      <c r="B1317" s="40" t="s">
        <v>1533</v>
      </c>
      <c r="C1317" s="40" t="s">
        <v>168</v>
      </c>
      <c r="D1317" s="40" t="s">
        <v>178</v>
      </c>
      <c r="E1317" s="40">
        <v>11</v>
      </c>
      <c r="F1317" s="43" t="s">
        <v>45</v>
      </c>
      <c r="G1317" s="43" t="s">
        <v>169</v>
      </c>
    </row>
    <row r="1318" spans="1:7" x14ac:dyDescent="0.25">
      <c r="A1318" s="40">
        <v>1313</v>
      </c>
      <c r="B1318" s="40" t="s">
        <v>1534</v>
      </c>
      <c r="C1318" s="40" t="s">
        <v>168</v>
      </c>
      <c r="D1318" s="40" t="s">
        <v>1958</v>
      </c>
      <c r="E1318" s="40">
        <v>11</v>
      </c>
      <c r="F1318" s="43" t="s">
        <v>45</v>
      </c>
      <c r="G1318" s="43" t="s">
        <v>190</v>
      </c>
    </row>
    <row r="1319" spans="1:7" x14ac:dyDescent="0.25">
      <c r="A1319" s="40">
        <v>1314</v>
      </c>
      <c r="B1319" s="40" t="s">
        <v>1535</v>
      </c>
      <c r="C1319" s="40" t="s">
        <v>168</v>
      </c>
      <c r="D1319" s="40" t="s">
        <v>1958</v>
      </c>
      <c r="E1319" s="40">
        <v>8</v>
      </c>
      <c r="F1319" s="43" t="s">
        <v>45</v>
      </c>
      <c r="G1319" s="43" t="s">
        <v>190</v>
      </c>
    </row>
    <row r="1320" spans="1:7" x14ac:dyDescent="0.25">
      <c r="A1320" s="40">
        <v>1315</v>
      </c>
      <c r="B1320" s="40" t="s">
        <v>1536</v>
      </c>
      <c r="C1320" s="40" t="s">
        <v>167</v>
      </c>
      <c r="D1320" s="40" t="s">
        <v>1974</v>
      </c>
      <c r="E1320" s="40">
        <v>12</v>
      </c>
      <c r="F1320" s="43" t="s">
        <v>45</v>
      </c>
      <c r="G1320" s="43" t="s">
        <v>2006</v>
      </c>
    </row>
    <row r="1321" spans="1:7" x14ac:dyDescent="0.25">
      <c r="A1321" s="40">
        <v>1316</v>
      </c>
      <c r="B1321" s="40" t="s">
        <v>1537</v>
      </c>
      <c r="C1321" s="40" t="s">
        <v>167</v>
      </c>
      <c r="D1321" s="40" t="s">
        <v>181</v>
      </c>
      <c r="E1321" s="40">
        <v>6</v>
      </c>
      <c r="F1321" s="43" t="s">
        <v>45</v>
      </c>
      <c r="G1321" s="43" t="s">
        <v>181</v>
      </c>
    </row>
    <row r="1322" spans="1:7" x14ac:dyDescent="0.25">
      <c r="A1322" s="40">
        <v>1317</v>
      </c>
      <c r="B1322" s="40" t="s">
        <v>1538</v>
      </c>
      <c r="C1322" s="40" t="s">
        <v>168</v>
      </c>
      <c r="D1322" s="40" t="s">
        <v>1932</v>
      </c>
      <c r="E1322" s="40">
        <v>8</v>
      </c>
      <c r="F1322" s="43" t="s">
        <v>45</v>
      </c>
      <c r="G1322" s="43" t="s">
        <v>1980</v>
      </c>
    </row>
    <row r="1323" spans="1:7" x14ac:dyDescent="0.25">
      <c r="A1323" s="40">
        <v>1318</v>
      </c>
      <c r="B1323" s="40" t="s">
        <v>1539</v>
      </c>
      <c r="C1323" s="40" t="s">
        <v>167</v>
      </c>
      <c r="D1323" s="40" t="s">
        <v>181</v>
      </c>
      <c r="E1323" s="40">
        <v>5</v>
      </c>
      <c r="F1323" s="43" t="s">
        <v>45</v>
      </c>
      <c r="G1323" s="43" t="s">
        <v>181</v>
      </c>
    </row>
    <row r="1324" spans="1:7" x14ac:dyDescent="0.25">
      <c r="A1324" s="40">
        <v>1319</v>
      </c>
      <c r="B1324" s="40" t="s">
        <v>1540</v>
      </c>
      <c r="C1324" s="40" t="s">
        <v>167</v>
      </c>
      <c r="D1324" s="40" t="s">
        <v>181</v>
      </c>
      <c r="E1324" s="40">
        <v>6</v>
      </c>
      <c r="F1324" s="43" t="s">
        <v>45</v>
      </c>
      <c r="G1324" s="43" t="s">
        <v>179</v>
      </c>
    </row>
    <row r="1325" spans="1:7" x14ac:dyDescent="0.25">
      <c r="A1325" s="40">
        <v>1320</v>
      </c>
      <c r="B1325" s="40" t="s">
        <v>1541</v>
      </c>
      <c r="C1325" s="40" t="s">
        <v>167</v>
      </c>
      <c r="D1325" s="40" t="s">
        <v>176</v>
      </c>
      <c r="E1325" s="40">
        <v>4</v>
      </c>
      <c r="F1325" s="43" t="s">
        <v>45</v>
      </c>
      <c r="G1325" s="43" t="s">
        <v>176</v>
      </c>
    </row>
    <row r="1326" spans="1:7" x14ac:dyDescent="0.25">
      <c r="A1326" s="40">
        <v>1321</v>
      </c>
      <c r="B1326" s="40" t="s">
        <v>1542</v>
      </c>
      <c r="C1326" s="40" t="s">
        <v>167</v>
      </c>
      <c r="D1326" s="40" t="s">
        <v>176</v>
      </c>
      <c r="E1326" s="40">
        <v>6</v>
      </c>
      <c r="F1326" s="43" t="s">
        <v>45</v>
      </c>
      <c r="G1326" s="43" t="s">
        <v>176</v>
      </c>
    </row>
    <row r="1327" spans="1:7" x14ac:dyDescent="0.25">
      <c r="A1327" s="40">
        <v>1322</v>
      </c>
      <c r="B1327" s="40" t="s">
        <v>1543</v>
      </c>
      <c r="C1327" s="40" t="s">
        <v>168</v>
      </c>
      <c r="D1327" s="40" t="s">
        <v>1952</v>
      </c>
      <c r="E1327" s="40">
        <v>6</v>
      </c>
      <c r="F1327" s="43" t="s">
        <v>45</v>
      </c>
      <c r="G1327" s="43" t="s">
        <v>184</v>
      </c>
    </row>
    <row r="1328" spans="1:7" x14ac:dyDescent="0.25">
      <c r="A1328" s="40">
        <v>1323</v>
      </c>
      <c r="B1328" s="40" t="s">
        <v>1544</v>
      </c>
      <c r="C1328" s="40" t="s">
        <v>168</v>
      </c>
      <c r="D1328" s="40" t="s">
        <v>178</v>
      </c>
      <c r="E1328" s="40">
        <v>7</v>
      </c>
      <c r="F1328" s="43" t="s">
        <v>45</v>
      </c>
      <c r="G1328" s="43" t="s">
        <v>178</v>
      </c>
    </row>
    <row r="1329" spans="1:7" x14ac:dyDescent="0.25">
      <c r="A1329" s="40">
        <v>1324</v>
      </c>
      <c r="B1329" s="40" t="s">
        <v>1545</v>
      </c>
      <c r="C1329" s="40" t="s">
        <v>168</v>
      </c>
      <c r="D1329" s="40" t="s">
        <v>193</v>
      </c>
      <c r="E1329" s="40">
        <v>6</v>
      </c>
      <c r="F1329" s="43" t="s">
        <v>45</v>
      </c>
      <c r="G1329" s="43" t="s">
        <v>1985</v>
      </c>
    </row>
    <row r="1330" spans="1:7" x14ac:dyDescent="0.25">
      <c r="A1330" s="40">
        <v>1325</v>
      </c>
      <c r="B1330" s="40" t="s">
        <v>1546</v>
      </c>
      <c r="C1330" s="40" t="s">
        <v>167</v>
      </c>
      <c r="D1330" s="40" t="s">
        <v>180</v>
      </c>
      <c r="E1330" s="40">
        <v>2</v>
      </c>
      <c r="F1330" s="43" t="s">
        <v>45</v>
      </c>
      <c r="G1330" s="43" t="s">
        <v>180</v>
      </c>
    </row>
    <row r="1331" spans="1:7" x14ac:dyDescent="0.25">
      <c r="A1331" s="40">
        <v>1326</v>
      </c>
      <c r="B1331" s="40" t="s">
        <v>1547</v>
      </c>
      <c r="C1331" s="40" t="s">
        <v>168</v>
      </c>
      <c r="D1331" s="40" t="s">
        <v>1941</v>
      </c>
      <c r="E1331" s="40">
        <v>2</v>
      </c>
      <c r="F1331" s="43" t="s">
        <v>45</v>
      </c>
      <c r="G1331" s="43" t="s">
        <v>1984</v>
      </c>
    </row>
    <row r="1332" spans="1:7" x14ac:dyDescent="0.25">
      <c r="A1332" s="40">
        <v>1327</v>
      </c>
      <c r="B1332" s="40" t="s">
        <v>1548</v>
      </c>
      <c r="C1332" s="40" t="s">
        <v>168</v>
      </c>
      <c r="D1332" s="40" t="s">
        <v>1954</v>
      </c>
      <c r="E1332" s="40">
        <v>4</v>
      </c>
      <c r="F1332" s="43" t="s">
        <v>45</v>
      </c>
      <c r="G1332" s="43" t="s">
        <v>2006</v>
      </c>
    </row>
    <row r="1333" spans="1:7" x14ac:dyDescent="0.25">
      <c r="A1333" s="40">
        <v>1328</v>
      </c>
      <c r="B1333" s="40" t="s">
        <v>1549</v>
      </c>
      <c r="C1333" s="40" t="s">
        <v>167</v>
      </c>
      <c r="D1333" s="40" t="s">
        <v>1939</v>
      </c>
      <c r="E1333" s="40">
        <v>1</v>
      </c>
      <c r="F1333" s="43" t="s">
        <v>45</v>
      </c>
      <c r="G1333" s="43" t="s">
        <v>172</v>
      </c>
    </row>
    <row r="1334" spans="1:7" x14ac:dyDescent="0.25">
      <c r="A1334" s="40">
        <v>1329</v>
      </c>
      <c r="B1334" s="40" t="s">
        <v>1550</v>
      </c>
      <c r="C1334" s="40" t="s">
        <v>167</v>
      </c>
      <c r="D1334" s="40" t="s">
        <v>181</v>
      </c>
      <c r="E1334" s="40">
        <v>5</v>
      </c>
      <c r="F1334" s="43" t="s">
        <v>45</v>
      </c>
      <c r="G1334" s="43" t="s">
        <v>179</v>
      </c>
    </row>
    <row r="1335" spans="1:7" x14ac:dyDescent="0.25">
      <c r="A1335" s="40">
        <v>1330</v>
      </c>
      <c r="B1335" s="40" t="s">
        <v>1551</v>
      </c>
      <c r="C1335" s="40" t="s">
        <v>167</v>
      </c>
      <c r="D1335" s="40" t="s">
        <v>186</v>
      </c>
      <c r="E1335" s="40">
        <v>2</v>
      </c>
      <c r="F1335" s="43" t="s">
        <v>45</v>
      </c>
      <c r="G1335" s="43" t="s">
        <v>186</v>
      </c>
    </row>
    <row r="1336" spans="1:7" x14ac:dyDescent="0.25">
      <c r="A1336" s="40">
        <v>1331</v>
      </c>
      <c r="B1336" s="40" t="s">
        <v>1552</v>
      </c>
      <c r="C1336" s="40" t="s">
        <v>168</v>
      </c>
      <c r="D1336" s="40" t="s">
        <v>186</v>
      </c>
      <c r="E1336" s="40">
        <v>5</v>
      </c>
      <c r="F1336" s="43" t="s">
        <v>45</v>
      </c>
      <c r="G1336" s="43" t="s">
        <v>186</v>
      </c>
    </row>
    <row r="1337" spans="1:7" x14ac:dyDescent="0.25">
      <c r="A1337" s="40">
        <v>1332</v>
      </c>
      <c r="B1337" s="40" t="s">
        <v>1553</v>
      </c>
      <c r="C1337" s="40" t="s">
        <v>168</v>
      </c>
      <c r="D1337" s="40" t="s">
        <v>1965</v>
      </c>
      <c r="E1337" s="40">
        <v>5</v>
      </c>
      <c r="F1337" s="43" t="s">
        <v>45</v>
      </c>
      <c r="G1337" s="43" t="s">
        <v>172</v>
      </c>
    </row>
    <row r="1338" spans="1:7" x14ac:dyDescent="0.25">
      <c r="A1338" s="40">
        <v>1333</v>
      </c>
      <c r="B1338" s="40" t="s">
        <v>1554</v>
      </c>
      <c r="C1338" s="40" t="s">
        <v>168</v>
      </c>
      <c r="D1338" s="40" t="s">
        <v>193</v>
      </c>
      <c r="E1338" s="40">
        <v>1</v>
      </c>
      <c r="F1338" s="43" t="s">
        <v>45</v>
      </c>
      <c r="G1338" s="43" t="s">
        <v>169</v>
      </c>
    </row>
    <row r="1339" spans="1:7" x14ac:dyDescent="0.25">
      <c r="A1339" s="40">
        <v>1334</v>
      </c>
      <c r="B1339" s="40" t="s">
        <v>1555</v>
      </c>
      <c r="C1339" s="40" t="s">
        <v>168</v>
      </c>
      <c r="D1339" s="40" t="s">
        <v>180</v>
      </c>
      <c r="E1339" s="40">
        <v>6</v>
      </c>
      <c r="F1339" s="43" t="s">
        <v>45</v>
      </c>
      <c r="G1339" s="43" t="s">
        <v>180</v>
      </c>
    </row>
    <row r="1340" spans="1:7" x14ac:dyDescent="0.25">
      <c r="A1340" s="40">
        <v>1335</v>
      </c>
      <c r="B1340" s="40" t="s">
        <v>1556</v>
      </c>
      <c r="C1340" s="40" t="s">
        <v>167</v>
      </c>
      <c r="D1340" s="40" t="s">
        <v>180</v>
      </c>
      <c r="E1340" s="40">
        <v>5</v>
      </c>
      <c r="F1340" s="43" t="s">
        <v>45</v>
      </c>
      <c r="G1340" s="43" t="s">
        <v>180</v>
      </c>
    </row>
    <row r="1341" spans="1:7" x14ac:dyDescent="0.25">
      <c r="A1341" s="40">
        <v>1336</v>
      </c>
      <c r="B1341" s="40" t="s">
        <v>1557</v>
      </c>
      <c r="C1341" s="40" t="s">
        <v>167</v>
      </c>
      <c r="D1341" s="40" t="s">
        <v>1977</v>
      </c>
      <c r="E1341" s="40">
        <v>6</v>
      </c>
      <c r="F1341" s="43" t="s">
        <v>45</v>
      </c>
      <c r="G1341" s="43" t="s">
        <v>186</v>
      </c>
    </row>
    <row r="1342" spans="1:7" x14ac:dyDescent="0.25">
      <c r="A1342" s="40">
        <v>1337</v>
      </c>
      <c r="B1342" s="40" t="s">
        <v>1558</v>
      </c>
      <c r="C1342" s="40" t="s">
        <v>168</v>
      </c>
      <c r="D1342" s="40" t="s">
        <v>186</v>
      </c>
      <c r="E1342" s="40">
        <v>2</v>
      </c>
      <c r="F1342" s="43" t="s">
        <v>45</v>
      </c>
      <c r="G1342" s="43" t="s">
        <v>186</v>
      </c>
    </row>
    <row r="1343" spans="1:7" x14ac:dyDescent="0.25">
      <c r="A1343" s="40">
        <v>1338</v>
      </c>
      <c r="B1343" s="40" t="s">
        <v>1559</v>
      </c>
      <c r="C1343" s="40" t="s">
        <v>167</v>
      </c>
      <c r="D1343" s="40" t="s">
        <v>175</v>
      </c>
      <c r="E1343" s="40">
        <v>2</v>
      </c>
      <c r="F1343" s="43" t="s">
        <v>45</v>
      </c>
      <c r="G1343" s="43" t="s">
        <v>175</v>
      </c>
    </row>
    <row r="1344" spans="1:7" x14ac:dyDescent="0.25">
      <c r="A1344" s="40">
        <v>1339</v>
      </c>
      <c r="B1344" s="40" t="s">
        <v>1560</v>
      </c>
      <c r="C1344" s="40" t="s">
        <v>167</v>
      </c>
      <c r="D1344" s="40" t="s">
        <v>1944</v>
      </c>
      <c r="E1344" s="40">
        <v>8</v>
      </c>
      <c r="F1344" s="43" t="s">
        <v>45</v>
      </c>
      <c r="G1344" s="43" t="s">
        <v>183</v>
      </c>
    </row>
    <row r="1345" spans="1:7" x14ac:dyDescent="0.25">
      <c r="A1345" s="40">
        <v>1340</v>
      </c>
      <c r="B1345" s="40" t="s">
        <v>1561</v>
      </c>
      <c r="C1345" s="40" t="s">
        <v>167</v>
      </c>
      <c r="D1345" s="40" t="s">
        <v>1961</v>
      </c>
      <c r="E1345" s="40">
        <v>5</v>
      </c>
      <c r="F1345" s="43" t="s">
        <v>45</v>
      </c>
      <c r="G1345" s="43" t="s">
        <v>175</v>
      </c>
    </row>
    <row r="1346" spans="1:7" x14ac:dyDescent="0.25">
      <c r="A1346" s="40">
        <v>1341</v>
      </c>
      <c r="B1346" s="40" t="s">
        <v>1562</v>
      </c>
      <c r="C1346" s="40" t="s">
        <v>168</v>
      </c>
      <c r="D1346" s="40" t="s">
        <v>198</v>
      </c>
      <c r="E1346" s="40">
        <v>2</v>
      </c>
      <c r="F1346" s="43" t="s">
        <v>45</v>
      </c>
      <c r="G1346" s="43" t="s">
        <v>188</v>
      </c>
    </row>
    <row r="1347" spans="1:7" x14ac:dyDescent="0.25">
      <c r="A1347" s="40">
        <v>1342</v>
      </c>
      <c r="B1347" s="40" t="s">
        <v>1563</v>
      </c>
      <c r="C1347" s="40" t="s">
        <v>167</v>
      </c>
      <c r="D1347" s="40" t="s">
        <v>198</v>
      </c>
      <c r="E1347" s="40">
        <v>1</v>
      </c>
      <c r="F1347" s="43" t="s">
        <v>45</v>
      </c>
      <c r="G1347" s="43" t="s">
        <v>188</v>
      </c>
    </row>
    <row r="1348" spans="1:7" x14ac:dyDescent="0.25">
      <c r="A1348" s="40">
        <v>1343</v>
      </c>
      <c r="B1348" s="40" t="s">
        <v>1564</v>
      </c>
      <c r="C1348" s="40" t="s">
        <v>167</v>
      </c>
      <c r="D1348" s="40" t="s">
        <v>181</v>
      </c>
      <c r="E1348" s="40">
        <v>6</v>
      </c>
      <c r="F1348" s="43" t="s">
        <v>45</v>
      </c>
      <c r="G1348" s="43" t="s">
        <v>179</v>
      </c>
    </row>
    <row r="1349" spans="1:7" x14ac:dyDescent="0.25">
      <c r="A1349" s="40">
        <v>1344</v>
      </c>
      <c r="B1349" s="40" t="s">
        <v>1565</v>
      </c>
      <c r="C1349" s="40" t="s">
        <v>167</v>
      </c>
      <c r="D1349" s="40" t="s">
        <v>1946</v>
      </c>
      <c r="E1349" s="40">
        <v>4</v>
      </c>
      <c r="F1349" s="43" t="s">
        <v>45</v>
      </c>
      <c r="G1349" s="43" t="s">
        <v>179</v>
      </c>
    </row>
    <row r="1350" spans="1:7" x14ac:dyDescent="0.25">
      <c r="A1350" s="40">
        <v>1345</v>
      </c>
      <c r="B1350" s="40" t="s">
        <v>1566</v>
      </c>
      <c r="C1350" s="40" t="s">
        <v>168</v>
      </c>
      <c r="D1350" s="40" t="s">
        <v>1962</v>
      </c>
      <c r="E1350" s="40">
        <v>10</v>
      </c>
      <c r="F1350" s="43" t="s">
        <v>45</v>
      </c>
      <c r="G1350" s="43" t="s">
        <v>179</v>
      </c>
    </row>
    <row r="1351" spans="1:7" x14ac:dyDescent="0.25">
      <c r="A1351" s="40">
        <v>1346</v>
      </c>
      <c r="B1351" s="40" t="s">
        <v>1567</v>
      </c>
      <c r="C1351" s="40" t="s">
        <v>167</v>
      </c>
      <c r="D1351" s="40" t="s">
        <v>2007</v>
      </c>
      <c r="E1351" s="40">
        <v>6</v>
      </c>
      <c r="F1351" s="43" t="s">
        <v>45</v>
      </c>
      <c r="G1351" s="43" t="s">
        <v>179</v>
      </c>
    </row>
    <row r="1352" spans="1:7" x14ac:dyDescent="0.25">
      <c r="A1352" s="40">
        <v>1347</v>
      </c>
      <c r="B1352" s="40" t="s">
        <v>1568</v>
      </c>
      <c r="C1352" s="40" t="s">
        <v>167</v>
      </c>
      <c r="D1352" s="40" t="s">
        <v>1944</v>
      </c>
      <c r="E1352" s="40">
        <v>8</v>
      </c>
      <c r="F1352" s="43" t="s">
        <v>45</v>
      </c>
      <c r="G1352" s="43" t="s">
        <v>183</v>
      </c>
    </row>
    <row r="1353" spans="1:7" x14ac:dyDescent="0.25">
      <c r="A1353" s="40">
        <v>1348</v>
      </c>
      <c r="B1353" s="40" t="s">
        <v>1569</v>
      </c>
      <c r="C1353" s="40" t="s">
        <v>167</v>
      </c>
      <c r="D1353" s="40" t="s">
        <v>180</v>
      </c>
      <c r="E1353" s="40">
        <v>7</v>
      </c>
      <c r="F1353" s="43" t="s">
        <v>45</v>
      </c>
      <c r="G1353" s="43" t="s">
        <v>180</v>
      </c>
    </row>
    <row r="1354" spans="1:7" x14ac:dyDescent="0.25">
      <c r="A1354" s="40">
        <v>1349</v>
      </c>
      <c r="B1354" s="40" t="s">
        <v>1570</v>
      </c>
      <c r="C1354" s="40" t="s">
        <v>167</v>
      </c>
      <c r="D1354" s="40" t="s">
        <v>180</v>
      </c>
      <c r="E1354" s="40">
        <v>5</v>
      </c>
      <c r="F1354" s="43" t="s">
        <v>45</v>
      </c>
      <c r="G1354" s="43" t="s">
        <v>180</v>
      </c>
    </row>
    <row r="1355" spans="1:7" x14ac:dyDescent="0.25">
      <c r="A1355" s="40">
        <v>1350</v>
      </c>
      <c r="B1355" s="40" t="s">
        <v>1571</v>
      </c>
      <c r="C1355" s="40" t="s">
        <v>168</v>
      </c>
      <c r="D1355" s="40" t="s">
        <v>180</v>
      </c>
      <c r="E1355" s="40">
        <v>3</v>
      </c>
      <c r="F1355" s="43" t="s">
        <v>45</v>
      </c>
      <c r="G1355" s="43" t="s">
        <v>180</v>
      </c>
    </row>
    <row r="1356" spans="1:7" x14ac:dyDescent="0.25">
      <c r="A1356" s="40">
        <v>1351</v>
      </c>
      <c r="B1356" s="40" t="s">
        <v>1572</v>
      </c>
      <c r="C1356" s="40" t="s">
        <v>167</v>
      </c>
      <c r="D1356" s="40" t="s">
        <v>181</v>
      </c>
      <c r="E1356" s="40">
        <v>10</v>
      </c>
      <c r="F1356" s="43" t="s">
        <v>45</v>
      </c>
      <c r="G1356" s="43" t="s">
        <v>181</v>
      </c>
    </row>
    <row r="1357" spans="1:7" x14ac:dyDescent="0.25">
      <c r="A1357" s="40">
        <v>1352</v>
      </c>
      <c r="B1357" s="40" t="s">
        <v>1573</v>
      </c>
      <c r="C1357" s="40" t="s">
        <v>167</v>
      </c>
      <c r="D1357" s="40" t="s">
        <v>1944</v>
      </c>
      <c r="E1357" s="40">
        <v>15</v>
      </c>
      <c r="F1357" s="43" t="s">
        <v>45</v>
      </c>
      <c r="G1357" s="43" t="s">
        <v>183</v>
      </c>
    </row>
    <row r="1358" spans="1:7" x14ac:dyDescent="0.25">
      <c r="A1358" s="40">
        <v>1353</v>
      </c>
      <c r="B1358" s="40" t="s">
        <v>1574</v>
      </c>
      <c r="C1358" s="40" t="s">
        <v>167</v>
      </c>
      <c r="D1358" s="40" t="s">
        <v>1971</v>
      </c>
      <c r="E1358" s="40">
        <v>7</v>
      </c>
      <c r="F1358" s="43" t="s">
        <v>45</v>
      </c>
      <c r="G1358" s="43" t="s">
        <v>2006</v>
      </c>
    </row>
    <row r="1359" spans="1:7" x14ac:dyDescent="0.25">
      <c r="A1359" s="40">
        <v>1354</v>
      </c>
      <c r="B1359" s="40" t="s">
        <v>1575</v>
      </c>
      <c r="C1359" s="40" t="s">
        <v>167</v>
      </c>
      <c r="D1359" s="40" t="s">
        <v>1960</v>
      </c>
      <c r="E1359" s="40">
        <v>4</v>
      </c>
      <c r="F1359" s="43" t="s">
        <v>45</v>
      </c>
      <c r="G1359" s="43" t="s">
        <v>183</v>
      </c>
    </row>
    <row r="1360" spans="1:7" x14ac:dyDescent="0.25">
      <c r="A1360" s="40">
        <v>1355</v>
      </c>
      <c r="B1360" s="40" t="s">
        <v>1576</v>
      </c>
      <c r="C1360" s="40" t="s">
        <v>167</v>
      </c>
      <c r="D1360" s="40" t="s">
        <v>1963</v>
      </c>
      <c r="E1360" s="40">
        <v>3</v>
      </c>
      <c r="F1360" s="43" t="s">
        <v>45</v>
      </c>
      <c r="G1360" s="43" t="s">
        <v>191</v>
      </c>
    </row>
    <row r="1361" spans="1:7" x14ac:dyDescent="0.25">
      <c r="A1361" s="40">
        <v>1356</v>
      </c>
      <c r="B1361" s="40" t="s">
        <v>1577</v>
      </c>
      <c r="C1361" s="40" t="s">
        <v>168</v>
      </c>
      <c r="D1361" s="40" t="s">
        <v>1964</v>
      </c>
      <c r="E1361" s="40">
        <v>3</v>
      </c>
      <c r="F1361" s="43" t="s">
        <v>45</v>
      </c>
      <c r="G1361" s="43" t="s">
        <v>2006</v>
      </c>
    </row>
    <row r="1362" spans="1:7" x14ac:dyDescent="0.25">
      <c r="A1362" s="40">
        <v>1357</v>
      </c>
      <c r="B1362" s="40" t="s">
        <v>1578</v>
      </c>
      <c r="C1362" s="40" t="s">
        <v>167</v>
      </c>
      <c r="D1362" s="40" t="s">
        <v>1955</v>
      </c>
      <c r="E1362" s="40">
        <v>9</v>
      </c>
      <c r="F1362" s="43" t="s">
        <v>1978</v>
      </c>
    </row>
    <row r="1363" spans="1:7" x14ac:dyDescent="0.25">
      <c r="A1363" s="40">
        <v>1358</v>
      </c>
      <c r="B1363" s="40" t="s">
        <v>1579</v>
      </c>
      <c r="C1363" s="40" t="s">
        <v>167</v>
      </c>
      <c r="D1363" s="40" t="s">
        <v>1949</v>
      </c>
      <c r="E1363" s="40">
        <v>8</v>
      </c>
      <c r="F1363" s="43" t="s">
        <v>45</v>
      </c>
      <c r="G1363" s="43" t="s">
        <v>191</v>
      </c>
    </row>
    <row r="1364" spans="1:7" x14ac:dyDescent="0.25">
      <c r="A1364" s="40">
        <v>1359</v>
      </c>
      <c r="B1364" s="40" t="s">
        <v>1580</v>
      </c>
      <c r="C1364" s="40" t="s">
        <v>167</v>
      </c>
      <c r="D1364" s="40" t="s">
        <v>1963</v>
      </c>
      <c r="E1364" s="40">
        <v>3</v>
      </c>
      <c r="F1364" s="43" t="s">
        <v>45</v>
      </c>
      <c r="G1364" s="43" t="s">
        <v>191</v>
      </c>
    </row>
    <row r="1365" spans="1:7" x14ac:dyDescent="0.25">
      <c r="A1365" s="40">
        <v>1360</v>
      </c>
      <c r="B1365" s="40" t="s">
        <v>1581</v>
      </c>
      <c r="C1365" s="40" t="s">
        <v>167</v>
      </c>
      <c r="D1365" s="40" t="s">
        <v>1949</v>
      </c>
      <c r="E1365" s="40">
        <v>4</v>
      </c>
      <c r="F1365" s="43" t="s">
        <v>45</v>
      </c>
      <c r="G1365" s="43" t="s">
        <v>191</v>
      </c>
    </row>
    <row r="1366" spans="1:7" x14ac:dyDescent="0.25">
      <c r="A1366" s="40">
        <v>1361</v>
      </c>
      <c r="B1366" s="40" t="s">
        <v>1582</v>
      </c>
      <c r="C1366" s="40" t="s">
        <v>167</v>
      </c>
      <c r="D1366" s="40" t="s">
        <v>1962</v>
      </c>
      <c r="E1366" s="40">
        <v>6</v>
      </c>
      <c r="F1366" s="43" t="s">
        <v>45</v>
      </c>
      <c r="G1366" s="43" t="s">
        <v>179</v>
      </c>
    </row>
    <row r="1367" spans="1:7" x14ac:dyDescent="0.25">
      <c r="A1367" s="40">
        <v>1362</v>
      </c>
      <c r="B1367" s="40" t="s">
        <v>1583</v>
      </c>
      <c r="C1367" s="40" t="s">
        <v>168</v>
      </c>
      <c r="D1367" s="40" t="s">
        <v>1966</v>
      </c>
      <c r="E1367" s="40">
        <v>2</v>
      </c>
      <c r="F1367" s="43" t="s">
        <v>45</v>
      </c>
      <c r="G1367" s="43" t="s">
        <v>177</v>
      </c>
    </row>
    <row r="1368" spans="1:7" x14ac:dyDescent="0.25">
      <c r="A1368" s="40">
        <v>1363</v>
      </c>
      <c r="B1368" s="40" t="s">
        <v>1584</v>
      </c>
      <c r="C1368" s="40" t="s">
        <v>168</v>
      </c>
      <c r="D1368" s="40" t="s">
        <v>172</v>
      </c>
      <c r="E1368" s="40">
        <v>7</v>
      </c>
      <c r="F1368" s="43" t="s">
        <v>45</v>
      </c>
      <c r="G1368" s="43" t="s">
        <v>172</v>
      </c>
    </row>
    <row r="1369" spans="1:7" x14ac:dyDescent="0.25">
      <c r="A1369" s="40">
        <v>1364</v>
      </c>
      <c r="B1369" s="40" t="s">
        <v>1585</v>
      </c>
      <c r="C1369" s="40" t="s">
        <v>168</v>
      </c>
      <c r="D1369" s="40" t="s">
        <v>1942</v>
      </c>
      <c r="E1369" s="40">
        <v>7</v>
      </c>
      <c r="F1369" s="43" t="s">
        <v>45</v>
      </c>
      <c r="G1369" s="43" t="s">
        <v>184</v>
      </c>
    </row>
    <row r="1370" spans="1:7" x14ac:dyDescent="0.25">
      <c r="A1370" s="40">
        <v>1365</v>
      </c>
      <c r="B1370" s="40" t="s">
        <v>1586</v>
      </c>
      <c r="C1370" s="40" t="s">
        <v>168</v>
      </c>
      <c r="D1370" s="40" t="s">
        <v>1952</v>
      </c>
      <c r="E1370" s="40">
        <v>4</v>
      </c>
      <c r="F1370" s="43" t="s">
        <v>45</v>
      </c>
      <c r="G1370" s="43" t="s">
        <v>184</v>
      </c>
    </row>
    <row r="1371" spans="1:7" x14ac:dyDescent="0.25">
      <c r="A1371" s="40">
        <v>1366</v>
      </c>
      <c r="B1371" s="40" t="s">
        <v>1587</v>
      </c>
      <c r="C1371" s="40" t="s">
        <v>168</v>
      </c>
      <c r="D1371" s="40" t="s">
        <v>1942</v>
      </c>
      <c r="E1371" s="40">
        <v>4</v>
      </c>
      <c r="F1371" s="43" t="s">
        <v>45</v>
      </c>
      <c r="G1371" s="43" t="s">
        <v>184</v>
      </c>
    </row>
    <row r="1372" spans="1:7" x14ac:dyDescent="0.25">
      <c r="A1372" s="40">
        <v>1367</v>
      </c>
      <c r="B1372" s="40" t="s">
        <v>1588</v>
      </c>
      <c r="C1372" s="40" t="s">
        <v>167</v>
      </c>
      <c r="D1372" s="40" t="s">
        <v>1940</v>
      </c>
      <c r="E1372" s="40">
        <v>5</v>
      </c>
      <c r="F1372" s="43" t="s">
        <v>45</v>
      </c>
      <c r="G1372" s="43" t="s">
        <v>1984</v>
      </c>
    </row>
    <row r="1373" spans="1:7" x14ac:dyDescent="0.25">
      <c r="A1373" s="40">
        <v>1368</v>
      </c>
      <c r="B1373" s="40" t="s">
        <v>1589</v>
      </c>
      <c r="C1373" s="40" t="s">
        <v>168</v>
      </c>
      <c r="D1373" s="40" t="s">
        <v>1972</v>
      </c>
      <c r="E1373" s="40">
        <v>8</v>
      </c>
      <c r="F1373" s="43" t="s">
        <v>45</v>
      </c>
      <c r="G1373" s="43" t="s">
        <v>2006</v>
      </c>
    </row>
    <row r="1374" spans="1:7" x14ac:dyDescent="0.25">
      <c r="A1374" s="40">
        <v>1369</v>
      </c>
      <c r="B1374" s="40" t="s">
        <v>1590</v>
      </c>
      <c r="C1374" s="40" t="s">
        <v>167</v>
      </c>
      <c r="D1374" s="40" t="s">
        <v>1954</v>
      </c>
      <c r="E1374" s="40">
        <v>6</v>
      </c>
      <c r="F1374" s="43" t="s">
        <v>45</v>
      </c>
      <c r="G1374" s="43" t="s">
        <v>2006</v>
      </c>
    </row>
    <row r="1375" spans="1:7" x14ac:dyDescent="0.25">
      <c r="A1375" s="40">
        <v>1370</v>
      </c>
      <c r="B1375" s="40" t="s">
        <v>1591</v>
      </c>
      <c r="C1375" s="40" t="s">
        <v>167</v>
      </c>
      <c r="D1375" s="40" t="s">
        <v>1962</v>
      </c>
      <c r="E1375" s="40">
        <v>6</v>
      </c>
      <c r="F1375" s="43" t="s">
        <v>45</v>
      </c>
      <c r="G1375" s="43" t="s">
        <v>179</v>
      </c>
    </row>
    <row r="1376" spans="1:7" x14ac:dyDescent="0.25">
      <c r="A1376" s="40">
        <v>1371</v>
      </c>
      <c r="B1376" s="40" t="s">
        <v>1592</v>
      </c>
      <c r="C1376" s="40" t="s">
        <v>168</v>
      </c>
      <c r="D1376" s="40" t="s">
        <v>1944</v>
      </c>
      <c r="E1376" s="40">
        <v>4</v>
      </c>
      <c r="F1376" s="43" t="s">
        <v>45</v>
      </c>
      <c r="G1376" s="43" t="s">
        <v>183</v>
      </c>
    </row>
    <row r="1377" spans="1:7" x14ac:dyDescent="0.25">
      <c r="A1377" s="40">
        <v>1372</v>
      </c>
      <c r="B1377" s="40" t="s">
        <v>1593</v>
      </c>
      <c r="C1377" s="40" t="s">
        <v>168</v>
      </c>
      <c r="D1377" s="40" t="s">
        <v>175</v>
      </c>
      <c r="E1377" s="40">
        <v>2</v>
      </c>
      <c r="F1377" s="43" t="s">
        <v>45</v>
      </c>
      <c r="G1377" s="43" t="s">
        <v>175</v>
      </c>
    </row>
    <row r="1378" spans="1:7" x14ac:dyDescent="0.25">
      <c r="A1378" s="40">
        <v>1373</v>
      </c>
      <c r="B1378" s="40" t="s">
        <v>1594</v>
      </c>
      <c r="C1378" s="40" t="s">
        <v>168</v>
      </c>
      <c r="D1378" s="40" t="s">
        <v>198</v>
      </c>
      <c r="E1378" s="40">
        <v>9</v>
      </c>
      <c r="F1378" s="43" t="s">
        <v>45</v>
      </c>
      <c r="G1378" s="43" t="s">
        <v>188</v>
      </c>
    </row>
    <row r="1379" spans="1:7" x14ac:dyDescent="0.25">
      <c r="A1379" s="40">
        <v>1374</v>
      </c>
      <c r="B1379" s="40" t="s">
        <v>1595</v>
      </c>
      <c r="C1379" s="40" t="s">
        <v>167</v>
      </c>
      <c r="D1379" s="40" t="s">
        <v>195</v>
      </c>
      <c r="E1379" s="40">
        <v>3</v>
      </c>
      <c r="F1379" s="43" t="s">
        <v>45</v>
      </c>
      <c r="G1379" s="43" t="s">
        <v>2006</v>
      </c>
    </row>
    <row r="1380" spans="1:7" x14ac:dyDescent="0.25">
      <c r="A1380" s="40">
        <v>1375</v>
      </c>
      <c r="B1380" s="40" t="s">
        <v>1596</v>
      </c>
      <c r="C1380" s="40" t="s">
        <v>167</v>
      </c>
      <c r="D1380" s="40" t="s">
        <v>180</v>
      </c>
      <c r="E1380" s="40">
        <v>3</v>
      </c>
      <c r="F1380" s="43" t="s">
        <v>45</v>
      </c>
      <c r="G1380" s="43" t="s">
        <v>180</v>
      </c>
    </row>
    <row r="1381" spans="1:7" x14ac:dyDescent="0.25">
      <c r="A1381" s="40">
        <v>1376</v>
      </c>
      <c r="B1381" s="40" t="s">
        <v>1597</v>
      </c>
      <c r="C1381" s="40" t="s">
        <v>168</v>
      </c>
      <c r="D1381" s="40" t="s">
        <v>198</v>
      </c>
      <c r="E1381" s="40">
        <v>4</v>
      </c>
      <c r="F1381" s="43" t="s">
        <v>45</v>
      </c>
      <c r="G1381" s="43" t="s">
        <v>188</v>
      </c>
    </row>
    <row r="1382" spans="1:7" x14ac:dyDescent="0.25">
      <c r="A1382" s="40">
        <v>1377</v>
      </c>
      <c r="B1382" s="40" t="s">
        <v>1598</v>
      </c>
      <c r="C1382" s="40" t="s">
        <v>167</v>
      </c>
      <c r="D1382" s="40" t="s">
        <v>172</v>
      </c>
      <c r="E1382" s="40">
        <v>2</v>
      </c>
      <c r="F1382" s="43" t="s">
        <v>45</v>
      </c>
      <c r="G1382" s="43" t="s">
        <v>172</v>
      </c>
    </row>
    <row r="1383" spans="1:7" x14ac:dyDescent="0.25">
      <c r="A1383" s="40">
        <v>1378</v>
      </c>
      <c r="B1383" s="40" t="s">
        <v>1599</v>
      </c>
      <c r="C1383" s="40" t="s">
        <v>168</v>
      </c>
      <c r="D1383" s="40" t="s">
        <v>1946</v>
      </c>
      <c r="E1383" s="40">
        <v>3</v>
      </c>
      <c r="F1383" s="43" t="s">
        <v>45</v>
      </c>
      <c r="G1383" s="43" t="s">
        <v>179</v>
      </c>
    </row>
    <row r="1384" spans="1:7" x14ac:dyDescent="0.25">
      <c r="A1384" s="40">
        <v>1379</v>
      </c>
      <c r="B1384" s="40" t="s">
        <v>1600</v>
      </c>
      <c r="C1384" s="40" t="s">
        <v>167</v>
      </c>
      <c r="D1384" s="40" t="s">
        <v>193</v>
      </c>
      <c r="E1384" s="40">
        <v>6</v>
      </c>
      <c r="F1384" s="43" t="s">
        <v>45</v>
      </c>
      <c r="G1384" s="43" t="s">
        <v>1986</v>
      </c>
    </row>
    <row r="1385" spans="1:7" x14ac:dyDescent="0.25">
      <c r="A1385" s="40">
        <v>1380</v>
      </c>
      <c r="B1385" s="40" t="s">
        <v>1601</v>
      </c>
      <c r="C1385" s="40" t="s">
        <v>167</v>
      </c>
      <c r="D1385" s="40" t="s">
        <v>198</v>
      </c>
      <c r="E1385" s="40">
        <v>5</v>
      </c>
      <c r="F1385" s="43" t="s">
        <v>45</v>
      </c>
      <c r="G1385" s="43" t="s">
        <v>187</v>
      </c>
    </row>
    <row r="1386" spans="1:7" x14ac:dyDescent="0.25">
      <c r="A1386" s="40">
        <v>1381</v>
      </c>
      <c r="B1386" s="40" t="s">
        <v>1602</v>
      </c>
      <c r="C1386" s="40" t="s">
        <v>167</v>
      </c>
      <c r="D1386" s="40" t="s">
        <v>186</v>
      </c>
      <c r="E1386" s="40">
        <v>5</v>
      </c>
      <c r="F1386" s="43" t="s">
        <v>45</v>
      </c>
      <c r="G1386" s="43" t="s">
        <v>191</v>
      </c>
    </row>
    <row r="1387" spans="1:7" x14ac:dyDescent="0.25">
      <c r="A1387" s="40">
        <v>1382</v>
      </c>
      <c r="B1387" s="40" t="s">
        <v>1603</v>
      </c>
      <c r="C1387" s="40" t="s">
        <v>168</v>
      </c>
      <c r="D1387" s="40" t="s">
        <v>193</v>
      </c>
      <c r="E1387" s="40">
        <v>7</v>
      </c>
      <c r="F1387" s="43" t="s">
        <v>45</v>
      </c>
      <c r="G1387" s="43" t="s">
        <v>1985</v>
      </c>
    </row>
    <row r="1388" spans="1:7" x14ac:dyDescent="0.25">
      <c r="A1388" s="40">
        <v>1383</v>
      </c>
      <c r="B1388" s="40" t="s">
        <v>1604</v>
      </c>
      <c r="C1388" s="40" t="s">
        <v>168</v>
      </c>
      <c r="D1388" s="40" t="s">
        <v>1960</v>
      </c>
      <c r="E1388" s="40">
        <v>3</v>
      </c>
      <c r="F1388" s="43" t="s">
        <v>45</v>
      </c>
      <c r="G1388" s="43" t="s">
        <v>183</v>
      </c>
    </row>
    <row r="1389" spans="1:7" x14ac:dyDescent="0.25">
      <c r="A1389" s="40">
        <v>1384</v>
      </c>
      <c r="B1389" s="40" t="s">
        <v>1605</v>
      </c>
      <c r="C1389" s="40" t="s">
        <v>168</v>
      </c>
      <c r="D1389" s="40" t="s">
        <v>198</v>
      </c>
      <c r="E1389" s="40">
        <v>4</v>
      </c>
      <c r="F1389" s="43" t="s">
        <v>45</v>
      </c>
      <c r="G1389" s="43" t="s">
        <v>188</v>
      </c>
    </row>
    <row r="1390" spans="1:7" x14ac:dyDescent="0.25">
      <c r="A1390" s="40">
        <v>1385</v>
      </c>
      <c r="B1390" s="40" t="s">
        <v>1606</v>
      </c>
      <c r="C1390" s="40" t="s">
        <v>168</v>
      </c>
      <c r="D1390" s="40" t="s">
        <v>193</v>
      </c>
      <c r="E1390" s="40">
        <v>7</v>
      </c>
      <c r="F1390" s="43" t="s">
        <v>45</v>
      </c>
      <c r="G1390" s="43" t="s">
        <v>1985</v>
      </c>
    </row>
    <row r="1391" spans="1:7" x14ac:dyDescent="0.25">
      <c r="A1391" s="40">
        <v>1386</v>
      </c>
      <c r="B1391" s="40" t="s">
        <v>1607</v>
      </c>
      <c r="C1391" s="40" t="s">
        <v>167</v>
      </c>
      <c r="D1391" s="40" t="s">
        <v>180</v>
      </c>
      <c r="E1391" s="40">
        <v>9</v>
      </c>
      <c r="F1391" s="43" t="s">
        <v>45</v>
      </c>
      <c r="G1391" s="43" t="s">
        <v>180</v>
      </c>
    </row>
    <row r="1392" spans="1:7" x14ac:dyDescent="0.25">
      <c r="A1392" s="40">
        <v>1387</v>
      </c>
      <c r="B1392" s="40" t="s">
        <v>1608</v>
      </c>
      <c r="C1392" s="40" t="s">
        <v>168</v>
      </c>
      <c r="D1392" s="40" t="s">
        <v>180</v>
      </c>
      <c r="E1392" s="40">
        <v>12</v>
      </c>
      <c r="F1392" s="43" t="s">
        <v>45</v>
      </c>
      <c r="G1392" s="43" t="s">
        <v>180</v>
      </c>
    </row>
    <row r="1393" spans="1:7" x14ac:dyDescent="0.25">
      <c r="A1393" s="40">
        <v>1388</v>
      </c>
      <c r="B1393" s="40" t="s">
        <v>1609</v>
      </c>
      <c r="C1393" s="40" t="s">
        <v>168</v>
      </c>
      <c r="D1393" s="40" t="s">
        <v>193</v>
      </c>
      <c r="E1393" s="40">
        <v>4</v>
      </c>
      <c r="F1393" s="43" t="s">
        <v>45</v>
      </c>
      <c r="G1393" s="43" t="s">
        <v>169</v>
      </c>
    </row>
    <row r="1394" spans="1:7" x14ac:dyDescent="0.25">
      <c r="A1394" s="40">
        <v>1389</v>
      </c>
      <c r="B1394" s="40" t="s">
        <v>1610</v>
      </c>
      <c r="C1394" s="40" t="s">
        <v>168</v>
      </c>
      <c r="D1394" s="40" t="s">
        <v>193</v>
      </c>
      <c r="E1394" s="40">
        <v>5</v>
      </c>
      <c r="F1394" s="43" t="s">
        <v>45</v>
      </c>
      <c r="G1394" s="43" t="s">
        <v>1985</v>
      </c>
    </row>
    <row r="1395" spans="1:7" x14ac:dyDescent="0.25">
      <c r="A1395" s="40">
        <v>1390</v>
      </c>
      <c r="B1395" s="40" t="s">
        <v>1611</v>
      </c>
      <c r="C1395" s="40" t="s">
        <v>167</v>
      </c>
      <c r="D1395" s="40" t="s">
        <v>1937</v>
      </c>
      <c r="E1395" s="40">
        <v>5</v>
      </c>
      <c r="F1395" s="43" t="s">
        <v>45</v>
      </c>
      <c r="G1395" s="43" t="s">
        <v>174</v>
      </c>
    </row>
    <row r="1396" spans="1:7" x14ac:dyDescent="0.25">
      <c r="A1396" s="40">
        <v>1391</v>
      </c>
      <c r="B1396" s="40" t="s">
        <v>1612</v>
      </c>
      <c r="C1396" s="40" t="s">
        <v>168</v>
      </c>
      <c r="D1396" s="40" t="s">
        <v>180</v>
      </c>
      <c r="E1396" s="40">
        <v>7</v>
      </c>
      <c r="F1396" s="43" t="s">
        <v>45</v>
      </c>
      <c r="G1396" s="43" t="s">
        <v>180</v>
      </c>
    </row>
    <row r="1397" spans="1:7" x14ac:dyDescent="0.25">
      <c r="A1397" s="40">
        <v>1392</v>
      </c>
      <c r="B1397" s="40" t="s">
        <v>1613</v>
      </c>
      <c r="C1397" s="40" t="s">
        <v>168</v>
      </c>
      <c r="D1397" s="40" t="s">
        <v>172</v>
      </c>
      <c r="E1397" s="40">
        <v>9</v>
      </c>
      <c r="F1397" s="43" t="s">
        <v>45</v>
      </c>
      <c r="G1397" s="43" t="s">
        <v>172</v>
      </c>
    </row>
    <row r="1398" spans="1:7" x14ac:dyDescent="0.25">
      <c r="A1398" s="40">
        <v>1393</v>
      </c>
      <c r="B1398" s="40" t="s">
        <v>1614</v>
      </c>
      <c r="C1398" s="40" t="s">
        <v>168</v>
      </c>
      <c r="D1398" s="40" t="s">
        <v>180</v>
      </c>
      <c r="E1398" s="40">
        <v>8</v>
      </c>
      <c r="F1398" s="43" t="s">
        <v>45</v>
      </c>
      <c r="G1398" s="43" t="s">
        <v>180</v>
      </c>
    </row>
    <row r="1399" spans="1:7" x14ac:dyDescent="0.25">
      <c r="A1399" s="40">
        <v>1394</v>
      </c>
      <c r="B1399" s="40" t="s">
        <v>1615</v>
      </c>
      <c r="C1399" s="40" t="s">
        <v>167</v>
      </c>
      <c r="D1399" s="40" t="s">
        <v>1949</v>
      </c>
      <c r="E1399" s="40">
        <v>6</v>
      </c>
      <c r="F1399" s="43" t="s">
        <v>45</v>
      </c>
      <c r="G1399" s="43" t="s">
        <v>191</v>
      </c>
    </row>
    <row r="1400" spans="1:7" x14ac:dyDescent="0.25">
      <c r="A1400" s="40">
        <v>1395</v>
      </c>
      <c r="B1400" s="40" t="s">
        <v>1616</v>
      </c>
      <c r="C1400" s="40" t="s">
        <v>168</v>
      </c>
      <c r="D1400" s="40" t="s">
        <v>193</v>
      </c>
      <c r="E1400" s="40">
        <v>1</v>
      </c>
      <c r="F1400" s="43" t="s">
        <v>51</v>
      </c>
    </row>
    <row r="1401" spans="1:7" x14ac:dyDescent="0.25">
      <c r="A1401" s="40">
        <v>1396</v>
      </c>
      <c r="B1401" s="40" t="s">
        <v>1617</v>
      </c>
      <c r="C1401" s="40" t="s">
        <v>167</v>
      </c>
      <c r="D1401" s="40" t="s">
        <v>1934</v>
      </c>
      <c r="E1401" s="40">
        <v>10</v>
      </c>
      <c r="F1401" s="43" t="s">
        <v>45</v>
      </c>
      <c r="G1401" s="43" t="s">
        <v>182</v>
      </c>
    </row>
    <row r="1402" spans="1:7" x14ac:dyDescent="0.25">
      <c r="A1402" s="40">
        <v>1397</v>
      </c>
      <c r="B1402" s="40" t="s">
        <v>1618</v>
      </c>
      <c r="C1402" s="40" t="s">
        <v>167</v>
      </c>
      <c r="D1402" s="40" t="s">
        <v>185</v>
      </c>
      <c r="E1402" s="40">
        <v>7</v>
      </c>
      <c r="F1402" s="43" t="s">
        <v>45</v>
      </c>
      <c r="G1402" s="43" t="s">
        <v>185</v>
      </c>
    </row>
    <row r="1403" spans="1:7" x14ac:dyDescent="0.25">
      <c r="A1403" s="40">
        <v>1398</v>
      </c>
      <c r="B1403" s="40" t="s">
        <v>1619</v>
      </c>
      <c r="C1403" s="40" t="s">
        <v>168</v>
      </c>
      <c r="D1403" s="40" t="s">
        <v>1942</v>
      </c>
      <c r="E1403" s="40">
        <v>3</v>
      </c>
      <c r="F1403" s="43" t="s">
        <v>45</v>
      </c>
      <c r="G1403" s="43" t="s">
        <v>184</v>
      </c>
    </row>
    <row r="1404" spans="1:7" x14ac:dyDescent="0.25">
      <c r="A1404" s="40">
        <v>1399</v>
      </c>
      <c r="B1404" s="40" t="s">
        <v>1620</v>
      </c>
      <c r="C1404" s="40" t="s">
        <v>168</v>
      </c>
      <c r="D1404" s="40" t="s">
        <v>180</v>
      </c>
      <c r="E1404" s="40">
        <v>6</v>
      </c>
      <c r="F1404" s="43" t="s">
        <v>45</v>
      </c>
      <c r="G1404" s="43" t="s">
        <v>180</v>
      </c>
    </row>
    <row r="1405" spans="1:7" x14ac:dyDescent="0.25">
      <c r="A1405" s="40">
        <v>1400</v>
      </c>
      <c r="B1405" s="40" t="s">
        <v>1621</v>
      </c>
      <c r="C1405" s="40" t="s">
        <v>167</v>
      </c>
      <c r="D1405" s="40" t="s">
        <v>198</v>
      </c>
      <c r="E1405" s="40">
        <v>13</v>
      </c>
      <c r="F1405" s="43" t="s">
        <v>45</v>
      </c>
      <c r="G1405" s="43" t="s">
        <v>187</v>
      </c>
    </row>
    <row r="1406" spans="1:7" x14ac:dyDescent="0.25">
      <c r="A1406" s="40">
        <v>1401</v>
      </c>
      <c r="B1406" s="40" t="s">
        <v>1622</v>
      </c>
      <c r="C1406" s="40" t="s">
        <v>168</v>
      </c>
      <c r="D1406" s="40" t="s">
        <v>193</v>
      </c>
      <c r="E1406" s="40">
        <v>4</v>
      </c>
      <c r="F1406" s="43" t="s">
        <v>45</v>
      </c>
      <c r="G1406" s="43" t="s">
        <v>169</v>
      </c>
    </row>
    <row r="1407" spans="1:7" x14ac:dyDescent="0.25">
      <c r="A1407" s="40">
        <v>1402</v>
      </c>
      <c r="B1407" s="40" t="s">
        <v>1623</v>
      </c>
      <c r="C1407" s="40" t="s">
        <v>168</v>
      </c>
      <c r="D1407" s="40" t="s">
        <v>1959</v>
      </c>
      <c r="E1407" s="40">
        <v>6</v>
      </c>
      <c r="F1407" s="43" t="s">
        <v>45</v>
      </c>
      <c r="G1407" s="43" t="s">
        <v>190</v>
      </c>
    </row>
    <row r="1408" spans="1:7" x14ac:dyDescent="0.25">
      <c r="A1408" s="40">
        <v>1403</v>
      </c>
      <c r="B1408" s="40" t="s">
        <v>1624</v>
      </c>
      <c r="C1408" s="40" t="s">
        <v>167</v>
      </c>
      <c r="D1408" s="40" t="s">
        <v>174</v>
      </c>
      <c r="E1408" s="40">
        <v>8</v>
      </c>
      <c r="F1408" s="43" t="s">
        <v>45</v>
      </c>
      <c r="G1408" s="43" t="s">
        <v>185</v>
      </c>
    </row>
    <row r="1409" spans="1:7" x14ac:dyDescent="0.25">
      <c r="A1409" s="40">
        <v>1404</v>
      </c>
      <c r="B1409" s="40" t="s">
        <v>1625</v>
      </c>
      <c r="C1409" s="40" t="s">
        <v>167</v>
      </c>
      <c r="D1409" s="40" t="s">
        <v>174</v>
      </c>
      <c r="E1409" s="40">
        <v>9</v>
      </c>
      <c r="F1409" s="43" t="s">
        <v>45</v>
      </c>
      <c r="G1409" s="43" t="s">
        <v>174</v>
      </c>
    </row>
    <row r="1410" spans="1:7" x14ac:dyDescent="0.25">
      <c r="A1410" s="40">
        <v>1405</v>
      </c>
      <c r="B1410" s="40" t="s">
        <v>1626</v>
      </c>
      <c r="C1410" s="40" t="s">
        <v>168</v>
      </c>
      <c r="D1410" s="40" t="s">
        <v>193</v>
      </c>
      <c r="E1410" s="40">
        <v>2</v>
      </c>
      <c r="F1410" s="43" t="s">
        <v>45</v>
      </c>
      <c r="G1410" s="43" t="s">
        <v>169</v>
      </c>
    </row>
    <row r="1411" spans="1:7" x14ac:dyDescent="0.25">
      <c r="A1411" s="40">
        <v>1406</v>
      </c>
      <c r="B1411" s="40" t="s">
        <v>1627</v>
      </c>
      <c r="C1411" s="40" t="s">
        <v>167</v>
      </c>
      <c r="D1411" s="40" t="s">
        <v>193</v>
      </c>
      <c r="E1411" s="40">
        <v>2</v>
      </c>
      <c r="F1411" s="43" t="s">
        <v>45</v>
      </c>
      <c r="G1411" s="43" t="s">
        <v>169</v>
      </c>
    </row>
    <row r="1412" spans="1:7" x14ac:dyDescent="0.25">
      <c r="A1412" s="40">
        <v>1407</v>
      </c>
      <c r="B1412" s="40" t="s">
        <v>1628</v>
      </c>
      <c r="C1412" s="40" t="s">
        <v>168</v>
      </c>
      <c r="D1412" s="40" t="s">
        <v>198</v>
      </c>
      <c r="E1412" s="40">
        <v>6</v>
      </c>
      <c r="F1412" s="43" t="s">
        <v>45</v>
      </c>
      <c r="G1412" s="43" t="s">
        <v>188</v>
      </c>
    </row>
    <row r="1413" spans="1:7" x14ac:dyDescent="0.25">
      <c r="A1413" s="40">
        <v>1408</v>
      </c>
      <c r="B1413" s="40" t="s">
        <v>1629</v>
      </c>
      <c r="C1413" s="40" t="s">
        <v>167</v>
      </c>
      <c r="D1413" s="40" t="s">
        <v>1938</v>
      </c>
      <c r="E1413" s="40">
        <v>6</v>
      </c>
      <c r="F1413" s="43" t="s">
        <v>45</v>
      </c>
      <c r="G1413" s="43" t="s">
        <v>191</v>
      </c>
    </row>
    <row r="1414" spans="1:7" x14ac:dyDescent="0.25">
      <c r="A1414" s="40">
        <v>1409</v>
      </c>
      <c r="B1414" s="40" t="s">
        <v>1630</v>
      </c>
      <c r="C1414" s="40" t="s">
        <v>167</v>
      </c>
      <c r="D1414" s="40" t="s">
        <v>193</v>
      </c>
      <c r="E1414" s="40">
        <v>3</v>
      </c>
      <c r="F1414" s="43" t="s">
        <v>45</v>
      </c>
      <c r="G1414" s="43" t="s">
        <v>169</v>
      </c>
    </row>
    <row r="1415" spans="1:7" x14ac:dyDescent="0.25">
      <c r="A1415" s="40">
        <v>1410</v>
      </c>
      <c r="B1415" s="40" t="s">
        <v>1631</v>
      </c>
      <c r="C1415" s="40" t="s">
        <v>168</v>
      </c>
      <c r="D1415" s="40" t="s">
        <v>193</v>
      </c>
      <c r="E1415" s="40">
        <v>4</v>
      </c>
      <c r="F1415" s="43" t="s">
        <v>45</v>
      </c>
      <c r="G1415" s="43" t="s">
        <v>1982</v>
      </c>
    </row>
    <row r="1416" spans="1:7" x14ac:dyDescent="0.25">
      <c r="A1416" s="40">
        <v>1411</v>
      </c>
      <c r="B1416" s="40" t="s">
        <v>1632</v>
      </c>
      <c r="C1416" s="40" t="s">
        <v>167</v>
      </c>
      <c r="D1416" s="40" t="s">
        <v>180</v>
      </c>
      <c r="E1416" s="40">
        <v>4</v>
      </c>
      <c r="F1416" s="43" t="s">
        <v>45</v>
      </c>
      <c r="G1416" s="43" t="s">
        <v>180</v>
      </c>
    </row>
    <row r="1417" spans="1:7" x14ac:dyDescent="0.25">
      <c r="A1417" s="40">
        <v>1412</v>
      </c>
      <c r="B1417" s="40" t="s">
        <v>1633</v>
      </c>
      <c r="C1417" s="40" t="s">
        <v>168</v>
      </c>
      <c r="D1417" s="40" t="s">
        <v>198</v>
      </c>
      <c r="E1417" s="40">
        <v>1</v>
      </c>
      <c r="F1417" s="43" t="s">
        <v>51</v>
      </c>
    </row>
    <row r="1418" spans="1:7" x14ac:dyDescent="0.25">
      <c r="A1418" s="40">
        <v>1413</v>
      </c>
      <c r="B1418" s="40" t="s">
        <v>1634</v>
      </c>
      <c r="C1418" s="40" t="s">
        <v>167</v>
      </c>
      <c r="D1418" s="40" t="s">
        <v>1962</v>
      </c>
      <c r="E1418" s="40">
        <v>8</v>
      </c>
      <c r="F1418" s="43" t="s">
        <v>45</v>
      </c>
      <c r="G1418" s="43" t="s">
        <v>179</v>
      </c>
    </row>
    <row r="1419" spans="1:7" x14ac:dyDescent="0.25">
      <c r="A1419" s="40">
        <v>1414</v>
      </c>
      <c r="B1419" s="40" t="s">
        <v>1635</v>
      </c>
      <c r="C1419" s="40" t="s">
        <v>167</v>
      </c>
      <c r="D1419" s="40" t="s">
        <v>186</v>
      </c>
      <c r="E1419" s="40">
        <v>8</v>
      </c>
      <c r="F1419" s="43" t="s">
        <v>45</v>
      </c>
      <c r="G1419" s="43" t="s">
        <v>186</v>
      </c>
    </row>
    <row r="1420" spans="1:7" x14ac:dyDescent="0.25">
      <c r="A1420" s="40">
        <v>1415</v>
      </c>
      <c r="B1420" s="40" t="s">
        <v>1636</v>
      </c>
      <c r="C1420" s="40" t="s">
        <v>167</v>
      </c>
      <c r="D1420" s="40" t="s">
        <v>1966</v>
      </c>
      <c r="E1420" s="40">
        <v>5</v>
      </c>
      <c r="F1420" s="43" t="s">
        <v>45</v>
      </c>
      <c r="G1420" s="43" t="s">
        <v>177</v>
      </c>
    </row>
    <row r="1421" spans="1:7" x14ac:dyDescent="0.25">
      <c r="A1421" s="40">
        <v>1416</v>
      </c>
      <c r="B1421" s="40" t="s">
        <v>1637</v>
      </c>
      <c r="C1421" s="40" t="s">
        <v>168</v>
      </c>
      <c r="D1421" s="40" t="s">
        <v>172</v>
      </c>
      <c r="E1421" s="40">
        <v>6</v>
      </c>
      <c r="F1421" s="43" t="s">
        <v>45</v>
      </c>
      <c r="G1421" s="43" t="s">
        <v>172</v>
      </c>
    </row>
    <row r="1422" spans="1:7" x14ac:dyDescent="0.25">
      <c r="A1422" s="40">
        <v>1417</v>
      </c>
      <c r="B1422" s="40" t="s">
        <v>1638</v>
      </c>
      <c r="C1422" s="40" t="s">
        <v>168</v>
      </c>
      <c r="D1422" s="40" t="s">
        <v>193</v>
      </c>
      <c r="E1422" s="40">
        <v>2</v>
      </c>
      <c r="F1422" s="43" t="s">
        <v>51</v>
      </c>
    </row>
    <row r="1423" spans="1:7" x14ac:dyDescent="0.25">
      <c r="A1423" s="40">
        <v>1418</v>
      </c>
      <c r="B1423" s="40" t="s">
        <v>1639</v>
      </c>
      <c r="C1423" s="40" t="s">
        <v>168</v>
      </c>
      <c r="D1423" s="40" t="s">
        <v>1946</v>
      </c>
      <c r="E1423" s="40">
        <v>6</v>
      </c>
      <c r="F1423" s="43" t="s">
        <v>45</v>
      </c>
      <c r="G1423" s="43" t="s">
        <v>179</v>
      </c>
    </row>
    <row r="1424" spans="1:7" x14ac:dyDescent="0.25">
      <c r="A1424" s="40">
        <v>1419</v>
      </c>
      <c r="B1424" s="40" t="s">
        <v>1640</v>
      </c>
      <c r="C1424" s="40" t="s">
        <v>167</v>
      </c>
      <c r="D1424" s="40" t="s">
        <v>181</v>
      </c>
      <c r="E1424" s="40">
        <v>3</v>
      </c>
      <c r="F1424" s="43" t="s">
        <v>45</v>
      </c>
      <c r="G1424" s="43" t="s">
        <v>179</v>
      </c>
    </row>
    <row r="1425" spans="1:7" x14ac:dyDescent="0.25">
      <c r="A1425" s="40">
        <v>1420</v>
      </c>
      <c r="B1425" s="40" t="s">
        <v>1641</v>
      </c>
      <c r="C1425" s="40" t="s">
        <v>168</v>
      </c>
      <c r="D1425" s="40" t="s">
        <v>198</v>
      </c>
      <c r="E1425" s="40">
        <v>5</v>
      </c>
      <c r="F1425" s="43" t="s">
        <v>45</v>
      </c>
      <c r="G1425" s="43" t="s">
        <v>187</v>
      </c>
    </row>
    <row r="1426" spans="1:7" x14ac:dyDescent="0.25">
      <c r="A1426" s="40">
        <v>1421</v>
      </c>
      <c r="B1426" s="40" t="s">
        <v>1642</v>
      </c>
      <c r="C1426" s="40" t="s">
        <v>168</v>
      </c>
      <c r="D1426" s="40" t="s">
        <v>2007</v>
      </c>
      <c r="E1426" s="40">
        <v>4</v>
      </c>
      <c r="F1426" s="43" t="s">
        <v>45</v>
      </c>
      <c r="G1426" s="43" t="s">
        <v>179</v>
      </c>
    </row>
    <row r="1427" spans="1:7" x14ac:dyDescent="0.25">
      <c r="A1427" s="40">
        <v>1422</v>
      </c>
      <c r="B1427" s="40" t="s">
        <v>1643</v>
      </c>
      <c r="C1427" s="40" t="s">
        <v>167</v>
      </c>
      <c r="D1427" s="40" t="s">
        <v>181</v>
      </c>
      <c r="E1427" s="40">
        <v>12</v>
      </c>
      <c r="F1427" s="43" t="s">
        <v>45</v>
      </c>
      <c r="G1427" s="43" t="s">
        <v>181</v>
      </c>
    </row>
    <row r="1428" spans="1:7" x14ac:dyDescent="0.25">
      <c r="A1428" s="40">
        <v>1423</v>
      </c>
      <c r="B1428" s="40" t="s">
        <v>1644</v>
      </c>
      <c r="C1428" s="40" t="s">
        <v>167</v>
      </c>
      <c r="D1428" s="40" t="s">
        <v>1965</v>
      </c>
      <c r="E1428" s="40">
        <v>11</v>
      </c>
      <c r="F1428" s="43" t="s">
        <v>45</v>
      </c>
      <c r="G1428" s="43" t="s">
        <v>172</v>
      </c>
    </row>
    <row r="1429" spans="1:7" x14ac:dyDescent="0.25">
      <c r="A1429" s="40">
        <v>1424</v>
      </c>
      <c r="B1429" s="40" t="s">
        <v>1645</v>
      </c>
      <c r="C1429" s="40" t="s">
        <v>168</v>
      </c>
      <c r="D1429" s="40" t="s">
        <v>193</v>
      </c>
      <c r="E1429" s="40">
        <v>8</v>
      </c>
      <c r="F1429" s="43" t="s">
        <v>45</v>
      </c>
      <c r="G1429" s="43" t="s">
        <v>169</v>
      </c>
    </row>
    <row r="1430" spans="1:7" x14ac:dyDescent="0.25">
      <c r="A1430" s="40">
        <v>1425</v>
      </c>
      <c r="B1430" s="40" t="s">
        <v>1646</v>
      </c>
      <c r="C1430" s="40" t="s">
        <v>168</v>
      </c>
      <c r="D1430" s="40" t="s">
        <v>172</v>
      </c>
      <c r="E1430" s="40">
        <v>5</v>
      </c>
      <c r="F1430" s="43" t="s">
        <v>45</v>
      </c>
      <c r="G1430" s="43" t="s">
        <v>172</v>
      </c>
    </row>
    <row r="1431" spans="1:7" x14ac:dyDescent="0.25">
      <c r="A1431" s="40">
        <v>1426</v>
      </c>
      <c r="B1431" s="40" t="s">
        <v>1647</v>
      </c>
      <c r="C1431" s="40" t="s">
        <v>167</v>
      </c>
      <c r="D1431" s="40" t="s">
        <v>1938</v>
      </c>
      <c r="E1431" s="40">
        <v>4</v>
      </c>
      <c r="F1431" s="43" t="s">
        <v>45</v>
      </c>
      <c r="G1431" s="43" t="s">
        <v>190</v>
      </c>
    </row>
    <row r="1432" spans="1:7" x14ac:dyDescent="0.25">
      <c r="A1432" s="40">
        <v>1427</v>
      </c>
      <c r="B1432" s="40" t="s">
        <v>1648</v>
      </c>
      <c r="C1432" s="40" t="s">
        <v>168</v>
      </c>
      <c r="D1432" s="40" t="s">
        <v>1935</v>
      </c>
      <c r="E1432" s="40">
        <v>4</v>
      </c>
      <c r="F1432" s="43" t="s">
        <v>45</v>
      </c>
      <c r="G1432" s="43" t="s">
        <v>174</v>
      </c>
    </row>
    <row r="1433" spans="1:7" x14ac:dyDescent="0.25">
      <c r="A1433" s="40">
        <v>1428</v>
      </c>
      <c r="B1433" s="40" t="s">
        <v>1649</v>
      </c>
      <c r="C1433" s="40" t="s">
        <v>167</v>
      </c>
      <c r="D1433" s="40" t="s">
        <v>198</v>
      </c>
      <c r="E1433" s="40">
        <v>4</v>
      </c>
      <c r="F1433" s="43" t="s">
        <v>45</v>
      </c>
      <c r="G1433" s="43" t="s">
        <v>188</v>
      </c>
    </row>
    <row r="1434" spans="1:7" x14ac:dyDescent="0.25">
      <c r="A1434" s="40">
        <v>1429</v>
      </c>
      <c r="B1434" s="40" t="s">
        <v>1650</v>
      </c>
      <c r="C1434" s="40" t="s">
        <v>168</v>
      </c>
      <c r="D1434" s="40" t="s">
        <v>181</v>
      </c>
      <c r="E1434" s="40">
        <v>1</v>
      </c>
      <c r="F1434" s="43" t="s">
        <v>51</v>
      </c>
    </row>
    <row r="1435" spans="1:7" x14ac:dyDescent="0.25">
      <c r="A1435" s="40">
        <v>1430</v>
      </c>
      <c r="B1435" s="40" t="s">
        <v>1651</v>
      </c>
      <c r="C1435" s="40" t="s">
        <v>168</v>
      </c>
      <c r="D1435" s="40" t="s">
        <v>174</v>
      </c>
      <c r="E1435" s="40">
        <v>5</v>
      </c>
      <c r="F1435" s="43" t="s">
        <v>45</v>
      </c>
      <c r="G1435" s="43" t="s">
        <v>174</v>
      </c>
    </row>
    <row r="1436" spans="1:7" x14ac:dyDescent="0.25">
      <c r="A1436" s="40">
        <v>1431</v>
      </c>
      <c r="B1436" s="40" t="s">
        <v>1652</v>
      </c>
      <c r="C1436" s="40" t="s">
        <v>168</v>
      </c>
      <c r="D1436" s="40" t="s">
        <v>176</v>
      </c>
      <c r="E1436" s="40">
        <v>7</v>
      </c>
      <c r="F1436" s="43" t="s">
        <v>45</v>
      </c>
      <c r="G1436" s="43" t="s">
        <v>176</v>
      </c>
    </row>
    <row r="1437" spans="1:7" x14ac:dyDescent="0.25">
      <c r="A1437" s="40">
        <v>1432</v>
      </c>
      <c r="B1437" s="40" t="s">
        <v>1653</v>
      </c>
      <c r="C1437" s="40" t="s">
        <v>167</v>
      </c>
      <c r="D1437" s="40" t="s">
        <v>1939</v>
      </c>
      <c r="E1437" s="40">
        <v>11</v>
      </c>
      <c r="F1437" s="43" t="s">
        <v>45</v>
      </c>
      <c r="G1437" s="43" t="s">
        <v>172</v>
      </c>
    </row>
    <row r="1438" spans="1:7" x14ac:dyDescent="0.25">
      <c r="A1438" s="40">
        <v>1433</v>
      </c>
      <c r="B1438" s="40" t="s">
        <v>1654</v>
      </c>
      <c r="C1438" s="40" t="s">
        <v>167</v>
      </c>
      <c r="D1438" s="40" t="s">
        <v>193</v>
      </c>
      <c r="E1438" s="40">
        <v>6</v>
      </c>
      <c r="F1438" s="43" t="s">
        <v>51</v>
      </c>
    </row>
    <row r="1439" spans="1:7" x14ac:dyDescent="0.25">
      <c r="A1439" s="40">
        <v>1434</v>
      </c>
      <c r="B1439" s="40" t="s">
        <v>1655</v>
      </c>
      <c r="C1439" s="40" t="s">
        <v>167</v>
      </c>
      <c r="D1439" s="40" t="s">
        <v>198</v>
      </c>
      <c r="E1439" s="40">
        <v>3</v>
      </c>
      <c r="F1439" s="43" t="s">
        <v>45</v>
      </c>
      <c r="G1439" s="43" t="s">
        <v>188</v>
      </c>
    </row>
    <row r="1440" spans="1:7" x14ac:dyDescent="0.25">
      <c r="A1440" s="40">
        <v>1435</v>
      </c>
      <c r="B1440" s="40" t="s">
        <v>1656</v>
      </c>
      <c r="C1440" s="40" t="s">
        <v>168</v>
      </c>
      <c r="D1440" s="40" t="s">
        <v>1962</v>
      </c>
      <c r="E1440" s="40">
        <v>3</v>
      </c>
      <c r="F1440" s="43" t="s">
        <v>45</v>
      </c>
      <c r="G1440" s="43" t="s">
        <v>179</v>
      </c>
    </row>
    <row r="1441" spans="1:7" x14ac:dyDescent="0.25">
      <c r="A1441" s="40">
        <v>1436</v>
      </c>
      <c r="B1441" s="40" t="s">
        <v>1657</v>
      </c>
      <c r="C1441" s="40" t="s">
        <v>167</v>
      </c>
      <c r="D1441" s="40" t="s">
        <v>193</v>
      </c>
      <c r="E1441" s="40">
        <v>3</v>
      </c>
      <c r="F1441" s="43" t="s">
        <v>45</v>
      </c>
      <c r="G1441" s="43" t="s">
        <v>169</v>
      </c>
    </row>
    <row r="1442" spans="1:7" x14ac:dyDescent="0.25">
      <c r="A1442" s="40">
        <v>1437</v>
      </c>
      <c r="B1442" s="40" t="s">
        <v>1658</v>
      </c>
      <c r="C1442" s="40" t="s">
        <v>168</v>
      </c>
      <c r="D1442" s="40" t="s">
        <v>198</v>
      </c>
      <c r="E1442" s="40">
        <v>1</v>
      </c>
      <c r="F1442" s="43" t="s">
        <v>45</v>
      </c>
      <c r="G1442" s="43" t="s">
        <v>188</v>
      </c>
    </row>
    <row r="1443" spans="1:7" x14ac:dyDescent="0.25">
      <c r="A1443" s="40">
        <v>1438</v>
      </c>
      <c r="B1443" s="40" t="s">
        <v>1659</v>
      </c>
      <c r="C1443" s="40" t="s">
        <v>167</v>
      </c>
      <c r="D1443" s="40" t="s">
        <v>174</v>
      </c>
      <c r="E1443" s="40">
        <v>5</v>
      </c>
      <c r="F1443" s="43" t="s">
        <v>45</v>
      </c>
      <c r="G1443" s="43" t="s">
        <v>174</v>
      </c>
    </row>
    <row r="1444" spans="1:7" x14ac:dyDescent="0.25">
      <c r="A1444" s="40">
        <v>1439</v>
      </c>
      <c r="B1444" s="40" t="s">
        <v>1660</v>
      </c>
      <c r="C1444" s="40" t="s">
        <v>168</v>
      </c>
      <c r="D1444" s="40" t="s">
        <v>193</v>
      </c>
      <c r="E1444" s="40">
        <v>2</v>
      </c>
      <c r="F1444" s="43" t="s">
        <v>51</v>
      </c>
    </row>
    <row r="1445" spans="1:7" x14ac:dyDescent="0.25">
      <c r="A1445" s="40">
        <v>1440</v>
      </c>
      <c r="B1445" s="40" t="s">
        <v>1661</v>
      </c>
      <c r="C1445" s="40" t="s">
        <v>168</v>
      </c>
      <c r="D1445" s="40" t="s">
        <v>1952</v>
      </c>
      <c r="E1445" s="40">
        <v>5</v>
      </c>
      <c r="F1445" s="43" t="s">
        <v>45</v>
      </c>
      <c r="G1445" s="43" t="s">
        <v>184</v>
      </c>
    </row>
    <row r="1446" spans="1:7" x14ac:dyDescent="0.25">
      <c r="A1446" s="40">
        <v>1441</v>
      </c>
      <c r="B1446" s="40" t="s">
        <v>1662</v>
      </c>
      <c r="C1446" s="40" t="s">
        <v>168</v>
      </c>
      <c r="D1446" s="40" t="s">
        <v>186</v>
      </c>
      <c r="E1446" s="40">
        <v>9</v>
      </c>
      <c r="F1446" s="43" t="s">
        <v>45</v>
      </c>
      <c r="G1446" s="43" t="s">
        <v>186</v>
      </c>
    </row>
    <row r="1447" spans="1:7" x14ac:dyDescent="0.25">
      <c r="A1447" s="40">
        <v>1442</v>
      </c>
      <c r="B1447" s="40" t="s">
        <v>1663</v>
      </c>
      <c r="C1447" s="40" t="s">
        <v>167</v>
      </c>
      <c r="D1447" s="40" t="s">
        <v>1951</v>
      </c>
      <c r="E1447" s="40">
        <v>6</v>
      </c>
      <c r="F1447" s="43" t="s">
        <v>45</v>
      </c>
      <c r="G1447" s="43" t="s">
        <v>182</v>
      </c>
    </row>
    <row r="1448" spans="1:7" x14ac:dyDescent="0.25">
      <c r="A1448" s="40">
        <v>1443</v>
      </c>
      <c r="B1448" s="40" t="s">
        <v>1664</v>
      </c>
      <c r="C1448" s="40" t="s">
        <v>168</v>
      </c>
      <c r="D1448" s="40" t="s">
        <v>1966</v>
      </c>
      <c r="E1448" s="40">
        <v>6</v>
      </c>
      <c r="F1448" s="43" t="s">
        <v>45</v>
      </c>
      <c r="G1448" s="43" t="s">
        <v>177</v>
      </c>
    </row>
    <row r="1449" spans="1:7" x14ac:dyDescent="0.25">
      <c r="A1449" s="40">
        <v>1444</v>
      </c>
      <c r="B1449" s="40" t="s">
        <v>1665</v>
      </c>
      <c r="C1449" s="40" t="s">
        <v>167</v>
      </c>
      <c r="D1449" s="40" t="s">
        <v>1944</v>
      </c>
      <c r="E1449" s="40">
        <v>7</v>
      </c>
      <c r="F1449" s="43" t="s">
        <v>45</v>
      </c>
      <c r="G1449" s="43" t="s">
        <v>183</v>
      </c>
    </row>
    <row r="1450" spans="1:7" x14ac:dyDescent="0.25">
      <c r="A1450" s="40">
        <v>1445</v>
      </c>
      <c r="B1450" s="40" t="s">
        <v>1666</v>
      </c>
      <c r="C1450" s="40" t="s">
        <v>168</v>
      </c>
      <c r="D1450" s="40" t="s">
        <v>1966</v>
      </c>
      <c r="E1450" s="40">
        <v>9</v>
      </c>
      <c r="F1450" s="43" t="s">
        <v>45</v>
      </c>
      <c r="G1450" s="43" t="s">
        <v>177</v>
      </c>
    </row>
    <row r="1451" spans="1:7" x14ac:dyDescent="0.25">
      <c r="A1451" s="40">
        <v>1446</v>
      </c>
      <c r="B1451" s="40" t="s">
        <v>1667</v>
      </c>
      <c r="C1451" s="40" t="s">
        <v>168</v>
      </c>
      <c r="D1451" s="40" t="s">
        <v>1966</v>
      </c>
      <c r="E1451" s="40">
        <v>6</v>
      </c>
      <c r="F1451" s="43" t="s">
        <v>45</v>
      </c>
      <c r="G1451" s="43" t="s">
        <v>177</v>
      </c>
    </row>
    <row r="1452" spans="1:7" x14ac:dyDescent="0.25">
      <c r="A1452" s="40">
        <v>1447</v>
      </c>
      <c r="B1452" s="40" t="s">
        <v>1668</v>
      </c>
      <c r="C1452" s="40" t="s">
        <v>167</v>
      </c>
      <c r="D1452" s="40" t="s">
        <v>1933</v>
      </c>
      <c r="E1452" s="40">
        <v>7</v>
      </c>
      <c r="F1452" s="43" t="s">
        <v>45</v>
      </c>
      <c r="G1452" s="43" t="s">
        <v>190</v>
      </c>
    </row>
    <row r="1453" spans="1:7" x14ac:dyDescent="0.25">
      <c r="A1453" s="40">
        <v>1448</v>
      </c>
      <c r="B1453" s="40" t="s">
        <v>1669</v>
      </c>
      <c r="C1453" s="40" t="s">
        <v>167</v>
      </c>
      <c r="D1453" s="40" t="s">
        <v>1954</v>
      </c>
      <c r="E1453" s="40">
        <v>5</v>
      </c>
      <c r="F1453" s="43" t="s">
        <v>45</v>
      </c>
      <c r="G1453" s="43" t="s">
        <v>2006</v>
      </c>
    </row>
    <row r="1454" spans="1:7" x14ac:dyDescent="0.25">
      <c r="A1454" s="40">
        <v>1449</v>
      </c>
      <c r="B1454" s="40" t="s">
        <v>1670</v>
      </c>
      <c r="C1454" s="40" t="s">
        <v>167</v>
      </c>
      <c r="D1454" s="40" t="s">
        <v>1960</v>
      </c>
      <c r="E1454" s="40">
        <v>7</v>
      </c>
      <c r="F1454" s="43" t="s">
        <v>45</v>
      </c>
      <c r="G1454" s="43" t="s">
        <v>183</v>
      </c>
    </row>
    <row r="1455" spans="1:7" x14ac:dyDescent="0.25">
      <c r="A1455" s="40">
        <v>1450</v>
      </c>
      <c r="B1455" s="40" t="s">
        <v>1671</v>
      </c>
      <c r="C1455" s="40" t="s">
        <v>167</v>
      </c>
      <c r="D1455" s="40" t="s">
        <v>1958</v>
      </c>
      <c r="E1455" s="40">
        <v>9</v>
      </c>
      <c r="F1455" s="43" t="s">
        <v>45</v>
      </c>
      <c r="G1455" s="43" t="s">
        <v>1984</v>
      </c>
    </row>
    <row r="1456" spans="1:7" x14ac:dyDescent="0.25">
      <c r="A1456" s="40">
        <v>1451</v>
      </c>
      <c r="B1456" s="40" t="s">
        <v>1672</v>
      </c>
      <c r="C1456" s="40" t="s">
        <v>167</v>
      </c>
      <c r="D1456" s="40" t="s">
        <v>1958</v>
      </c>
      <c r="E1456" s="40">
        <v>5</v>
      </c>
      <c r="F1456" s="43" t="s">
        <v>45</v>
      </c>
      <c r="G1456" s="43" t="s">
        <v>190</v>
      </c>
    </row>
    <row r="1457" spans="1:7" x14ac:dyDescent="0.25">
      <c r="A1457" s="40">
        <v>1452</v>
      </c>
      <c r="B1457" s="40" t="s">
        <v>1673</v>
      </c>
      <c r="C1457" s="40" t="s">
        <v>167</v>
      </c>
      <c r="D1457" s="40" t="s">
        <v>1958</v>
      </c>
      <c r="E1457" s="40">
        <v>2</v>
      </c>
      <c r="F1457" s="43" t="s">
        <v>45</v>
      </c>
      <c r="G1457" s="43" t="s">
        <v>1984</v>
      </c>
    </row>
    <row r="1458" spans="1:7" x14ac:dyDescent="0.25">
      <c r="A1458" s="40">
        <v>1453</v>
      </c>
      <c r="B1458" s="40" t="s">
        <v>1674</v>
      </c>
      <c r="C1458" s="40" t="s">
        <v>167</v>
      </c>
      <c r="D1458" s="40" t="s">
        <v>1958</v>
      </c>
      <c r="E1458" s="40">
        <v>3</v>
      </c>
      <c r="F1458" s="43" t="s">
        <v>45</v>
      </c>
      <c r="G1458" s="43" t="s">
        <v>1984</v>
      </c>
    </row>
    <row r="1459" spans="1:7" x14ac:dyDescent="0.25">
      <c r="A1459" s="40">
        <v>1454</v>
      </c>
      <c r="B1459" s="40" t="s">
        <v>1675</v>
      </c>
      <c r="C1459" s="40" t="s">
        <v>168</v>
      </c>
      <c r="D1459" s="40" t="s">
        <v>1944</v>
      </c>
      <c r="E1459" s="40">
        <v>11</v>
      </c>
      <c r="F1459" s="43" t="s">
        <v>45</v>
      </c>
      <c r="G1459" s="43" t="s">
        <v>183</v>
      </c>
    </row>
    <row r="1460" spans="1:7" x14ac:dyDescent="0.25">
      <c r="A1460" s="40">
        <v>1455</v>
      </c>
      <c r="B1460" s="40" t="s">
        <v>1676</v>
      </c>
      <c r="C1460" s="40" t="s">
        <v>168</v>
      </c>
      <c r="D1460" s="40" t="s">
        <v>1948</v>
      </c>
      <c r="E1460" s="40">
        <v>9</v>
      </c>
      <c r="F1460" s="43" t="s">
        <v>45</v>
      </c>
      <c r="G1460" s="43" t="s">
        <v>190</v>
      </c>
    </row>
    <row r="1461" spans="1:7" x14ac:dyDescent="0.25">
      <c r="A1461" s="40">
        <v>1456</v>
      </c>
      <c r="B1461" s="40" t="s">
        <v>1677</v>
      </c>
      <c r="C1461" s="40" t="s">
        <v>168</v>
      </c>
      <c r="D1461" s="40" t="s">
        <v>1943</v>
      </c>
      <c r="E1461" s="40">
        <v>4</v>
      </c>
      <c r="F1461" s="43" t="s">
        <v>45</v>
      </c>
      <c r="G1461" s="43" t="s">
        <v>183</v>
      </c>
    </row>
    <row r="1462" spans="1:7" x14ac:dyDescent="0.25">
      <c r="A1462" s="40">
        <v>1457</v>
      </c>
      <c r="B1462" s="40" t="s">
        <v>1678</v>
      </c>
      <c r="C1462" s="40" t="s">
        <v>168</v>
      </c>
      <c r="D1462" s="40" t="s">
        <v>192</v>
      </c>
      <c r="E1462" s="40">
        <v>5</v>
      </c>
      <c r="F1462" s="43" t="s">
        <v>45</v>
      </c>
      <c r="G1462" s="43" t="s">
        <v>192</v>
      </c>
    </row>
    <row r="1463" spans="1:7" x14ac:dyDescent="0.25">
      <c r="A1463" s="40">
        <v>1458</v>
      </c>
      <c r="B1463" s="40" t="s">
        <v>1679</v>
      </c>
      <c r="C1463" s="40" t="s">
        <v>168</v>
      </c>
      <c r="D1463" s="40" t="s">
        <v>198</v>
      </c>
      <c r="E1463" s="40">
        <v>9</v>
      </c>
      <c r="F1463" s="43" t="s">
        <v>51</v>
      </c>
    </row>
    <row r="1464" spans="1:7" x14ac:dyDescent="0.25">
      <c r="A1464" s="40">
        <v>1459</v>
      </c>
      <c r="B1464" s="40" t="s">
        <v>1680</v>
      </c>
      <c r="C1464" s="40" t="s">
        <v>168</v>
      </c>
      <c r="D1464" s="40" t="s">
        <v>198</v>
      </c>
      <c r="E1464" s="40">
        <v>1</v>
      </c>
      <c r="F1464" s="43" t="s">
        <v>45</v>
      </c>
      <c r="G1464" s="43" t="s">
        <v>188</v>
      </c>
    </row>
    <row r="1465" spans="1:7" x14ac:dyDescent="0.25">
      <c r="A1465" s="40">
        <v>1460</v>
      </c>
      <c r="B1465" s="40" t="s">
        <v>1681</v>
      </c>
      <c r="C1465" s="40" t="s">
        <v>167</v>
      </c>
      <c r="D1465" s="40" t="s">
        <v>1955</v>
      </c>
      <c r="E1465" s="40">
        <v>4</v>
      </c>
      <c r="F1465" s="43" t="s">
        <v>1978</v>
      </c>
    </row>
    <row r="1466" spans="1:7" x14ac:dyDescent="0.25">
      <c r="A1466" s="40">
        <v>1461</v>
      </c>
      <c r="B1466" s="40" t="s">
        <v>1682</v>
      </c>
      <c r="C1466" s="40" t="s">
        <v>168</v>
      </c>
      <c r="D1466" s="40" t="s">
        <v>181</v>
      </c>
      <c r="E1466" s="40">
        <v>7</v>
      </c>
      <c r="F1466" s="43" t="s">
        <v>45</v>
      </c>
      <c r="G1466" s="43" t="s">
        <v>181</v>
      </c>
    </row>
    <row r="1467" spans="1:7" x14ac:dyDescent="0.25">
      <c r="A1467" s="40">
        <v>1462</v>
      </c>
      <c r="B1467" s="40" t="s">
        <v>1683</v>
      </c>
      <c r="C1467" s="40" t="s">
        <v>168</v>
      </c>
      <c r="D1467" s="40" t="s">
        <v>198</v>
      </c>
      <c r="E1467" s="40">
        <v>6</v>
      </c>
      <c r="F1467" s="43" t="s">
        <v>51</v>
      </c>
    </row>
    <row r="1468" spans="1:7" x14ac:dyDescent="0.25">
      <c r="A1468" s="40">
        <v>1463</v>
      </c>
      <c r="B1468" s="40" t="s">
        <v>1684</v>
      </c>
      <c r="C1468" s="40" t="s">
        <v>167</v>
      </c>
      <c r="D1468" s="40" t="s">
        <v>195</v>
      </c>
      <c r="E1468" s="40">
        <v>2</v>
      </c>
      <c r="F1468" s="43" t="s">
        <v>45</v>
      </c>
      <c r="G1468" s="43" t="s">
        <v>1984</v>
      </c>
    </row>
    <row r="1469" spans="1:7" x14ac:dyDescent="0.25">
      <c r="A1469" s="40">
        <v>1464</v>
      </c>
      <c r="B1469" s="40" t="s">
        <v>1685</v>
      </c>
      <c r="C1469" s="40" t="s">
        <v>168</v>
      </c>
      <c r="D1469" s="40" t="s">
        <v>178</v>
      </c>
      <c r="E1469" s="40">
        <v>2</v>
      </c>
      <c r="F1469" s="43" t="s">
        <v>45</v>
      </c>
      <c r="G1469" s="43" t="s">
        <v>192</v>
      </c>
    </row>
    <row r="1470" spans="1:7" x14ac:dyDescent="0.25">
      <c r="A1470" s="40">
        <v>1465</v>
      </c>
      <c r="B1470" s="40" t="s">
        <v>1686</v>
      </c>
      <c r="C1470" s="40" t="s">
        <v>168</v>
      </c>
      <c r="D1470" s="40" t="s">
        <v>193</v>
      </c>
      <c r="E1470" s="40">
        <v>8</v>
      </c>
      <c r="F1470" s="43" t="s">
        <v>45</v>
      </c>
      <c r="G1470" s="43" t="s">
        <v>169</v>
      </c>
    </row>
    <row r="1471" spans="1:7" x14ac:dyDescent="0.25">
      <c r="A1471" s="40">
        <v>1466</v>
      </c>
      <c r="B1471" s="40" t="s">
        <v>1687</v>
      </c>
      <c r="C1471" s="40" t="s">
        <v>168</v>
      </c>
      <c r="D1471" s="40" t="s">
        <v>1952</v>
      </c>
      <c r="E1471" s="40">
        <v>4</v>
      </c>
      <c r="F1471" s="43" t="s">
        <v>45</v>
      </c>
      <c r="G1471" s="43" t="s">
        <v>184</v>
      </c>
    </row>
    <row r="1472" spans="1:7" x14ac:dyDescent="0.25">
      <c r="A1472" s="40">
        <v>1467</v>
      </c>
      <c r="B1472" s="40" t="s">
        <v>1688</v>
      </c>
      <c r="C1472" s="40" t="s">
        <v>168</v>
      </c>
      <c r="D1472" s="40" t="s">
        <v>1952</v>
      </c>
      <c r="E1472" s="40">
        <v>3</v>
      </c>
      <c r="F1472" s="43" t="s">
        <v>45</v>
      </c>
      <c r="G1472" s="43" t="s">
        <v>184</v>
      </c>
    </row>
    <row r="1473" spans="1:7" x14ac:dyDescent="0.25">
      <c r="A1473" s="40">
        <v>1468</v>
      </c>
      <c r="B1473" s="40" t="s">
        <v>1689</v>
      </c>
      <c r="C1473" s="40" t="s">
        <v>167</v>
      </c>
      <c r="D1473" s="40" t="s">
        <v>1963</v>
      </c>
      <c r="E1473" s="40">
        <v>3</v>
      </c>
      <c r="F1473" s="43" t="s">
        <v>45</v>
      </c>
      <c r="G1473" s="43" t="s">
        <v>191</v>
      </c>
    </row>
    <row r="1474" spans="1:7" x14ac:dyDescent="0.25">
      <c r="A1474" s="40">
        <v>1469</v>
      </c>
      <c r="B1474" s="40" t="s">
        <v>1690</v>
      </c>
      <c r="C1474" s="40" t="s">
        <v>167</v>
      </c>
      <c r="D1474" s="40" t="s">
        <v>198</v>
      </c>
      <c r="E1474" s="40">
        <v>5</v>
      </c>
      <c r="F1474" s="43" t="s">
        <v>45</v>
      </c>
      <c r="G1474" s="43" t="s">
        <v>188</v>
      </c>
    </row>
    <row r="1475" spans="1:7" x14ac:dyDescent="0.25">
      <c r="A1475" s="40">
        <v>1470</v>
      </c>
      <c r="B1475" s="40" t="s">
        <v>1691</v>
      </c>
      <c r="C1475" s="40" t="s">
        <v>168</v>
      </c>
      <c r="D1475" s="40" t="s">
        <v>180</v>
      </c>
      <c r="E1475" s="40">
        <v>2</v>
      </c>
      <c r="F1475" s="43" t="s">
        <v>45</v>
      </c>
      <c r="G1475" s="43" t="s">
        <v>180</v>
      </c>
    </row>
    <row r="1476" spans="1:7" x14ac:dyDescent="0.25">
      <c r="A1476" s="40">
        <v>1471</v>
      </c>
      <c r="B1476" s="40" t="s">
        <v>1692</v>
      </c>
      <c r="C1476" s="40" t="s">
        <v>167</v>
      </c>
      <c r="D1476" s="40" t="s">
        <v>1940</v>
      </c>
      <c r="E1476" s="40">
        <v>8</v>
      </c>
      <c r="F1476" s="43" t="s">
        <v>45</v>
      </c>
      <c r="G1476" s="43" t="s">
        <v>1984</v>
      </c>
    </row>
    <row r="1477" spans="1:7" x14ac:dyDescent="0.25">
      <c r="A1477" s="40">
        <v>1472</v>
      </c>
      <c r="B1477" s="40" t="s">
        <v>1693</v>
      </c>
      <c r="C1477" s="40" t="s">
        <v>167</v>
      </c>
      <c r="D1477" s="40" t="s">
        <v>1944</v>
      </c>
      <c r="E1477" s="40">
        <v>6</v>
      </c>
      <c r="F1477" s="43" t="s">
        <v>45</v>
      </c>
      <c r="G1477" s="43" t="s">
        <v>183</v>
      </c>
    </row>
    <row r="1478" spans="1:7" x14ac:dyDescent="0.25">
      <c r="A1478" s="40">
        <v>1473</v>
      </c>
      <c r="B1478" s="40" t="s">
        <v>1694</v>
      </c>
      <c r="C1478" s="40" t="s">
        <v>168</v>
      </c>
      <c r="D1478" s="40" t="s">
        <v>180</v>
      </c>
      <c r="E1478" s="40">
        <v>6</v>
      </c>
      <c r="F1478" s="43" t="s">
        <v>45</v>
      </c>
      <c r="G1478" s="43" t="s">
        <v>180</v>
      </c>
    </row>
    <row r="1479" spans="1:7" x14ac:dyDescent="0.25">
      <c r="A1479" s="40">
        <v>1474</v>
      </c>
      <c r="B1479" s="40" t="s">
        <v>1695</v>
      </c>
      <c r="C1479" s="40" t="s">
        <v>167</v>
      </c>
      <c r="D1479" s="40" t="s">
        <v>180</v>
      </c>
      <c r="E1479" s="40">
        <v>8</v>
      </c>
      <c r="F1479" s="43" t="s">
        <v>45</v>
      </c>
      <c r="G1479" s="43" t="s">
        <v>180</v>
      </c>
    </row>
    <row r="1480" spans="1:7" x14ac:dyDescent="0.25">
      <c r="A1480" s="40">
        <v>1475</v>
      </c>
      <c r="B1480" s="40" t="s">
        <v>1696</v>
      </c>
      <c r="C1480" s="40" t="s">
        <v>167</v>
      </c>
      <c r="D1480" s="40" t="s">
        <v>1940</v>
      </c>
      <c r="E1480" s="40">
        <v>7</v>
      </c>
      <c r="F1480" s="43" t="s">
        <v>45</v>
      </c>
      <c r="G1480" s="43" t="s">
        <v>1984</v>
      </c>
    </row>
    <row r="1481" spans="1:7" x14ac:dyDescent="0.25">
      <c r="A1481" s="40">
        <v>1476</v>
      </c>
      <c r="B1481" s="40" t="s">
        <v>1697</v>
      </c>
      <c r="C1481" s="40" t="s">
        <v>167</v>
      </c>
      <c r="D1481" s="40" t="s">
        <v>195</v>
      </c>
      <c r="E1481" s="40">
        <v>7</v>
      </c>
      <c r="F1481" s="43" t="s">
        <v>45</v>
      </c>
      <c r="G1481" s="43" t="s">
        <v>2006</v>
      </c>
    </row>
    <row r="1482" spans="1:7" x14ac:dyDescent="0.25">
      <c r="A1482" s="40">
        <v>1477</v>
      </c>
      <c r="B1482" s="40" t="s">
        <v>1698</v>
      </c>
      <c r="C1482" s="40" t="s">
        <v>168</v>
      </c>
      <c r="D1482" s="40" t="s">
        <v>193</v>
      </c>
      <c r="E1482" s="40">
        <v>2</v>
      </c>
      <c r="F1482" s="43" t="s">
        <v>45</v>
      </c>
      <c r="G1482" s="43" t="s">
        <v>1985</v>
      </c>
    </row>
    <row r="1483" spans="1:7" x14ac:dyDescent="0.25">
      <c r="A1483" s="40">
        <v>1478</v>
      </c>
      <c r="B1483" s="40" t="s">
        <v>1699</v>
      </c>
      <c r="C1483" s="40" t="s">
        <v>167</v>
      </c>
      <c r="D1483" s="40" t="s">
        <v>1932</v>
      </c>
      <c r="E1483" s="40">
        <v>3</v>
      </c>
      <c r="F1483" s="43" t="s">
        <v>45</v>
      </c>
      <c r="G1483" s="43" t="s">
        <v>178</v>
      </c>
    </row>
    <row r="1484" spans="1:7" x14ac:dyDescent="0.25">
      <c r="A1484" s="40">
        <v>1479</v>
      </c>
      <c r="B1484" s="40" t="s">
        <v>1700</v>
      </c>
      <c r="C1484" s="40" t="s">
        <v>167</v>
      </c>
      <c r="D1484" s="40" t="s">
        <v>178</v>
      </c>
      <c r="E1484" s="40">
        <v>6</v>
      </c>
      <c r="F1484" s="43" t="s">
        <v>45</v>
      </c>
      <c r="G1484" s="43" t="s">
        <v>178</v>
      </c>
    </row>
    <row r="1485" spans="1:7" x14ac:dyDescent="0.25">
      <c r="A1485" s="40">
        <v>1480</v>
      </c>
      <c r="B1485" s="40" t="s">
        <v>1701</v>
      </c>
      <c r="C1485" s="40" t="s">
        <v>167</v>
      </c>
      <c r="D1485" s="40" t="s">
        <v>178</v>
      </c>
      <c r="E1485" s="40">
        <v>10</v>
      </c>
      <c r="F1485" s="43" t="s">
        <v>45</v>
      </c>
      <c r="G1485" s="43" t="s">
        <v>178</v>
      </c>
    </row>
    <row r="1486" spans="1:7" x14ac:dyDescent="0.25">
      <c r="A1486" s="40">
        <v>1481</v>
      </c>
      <c r="B1486" s="40" t="s">
        <v>1702</v>
      </c>
      <c r="C1486" s="40" t="s">
        <v>167</v>
      </c>
      <c r="D1486" s="40" t="s">
        <v>1950</v>
      </c>
      <c r="E1486" s="40">
        <v>6</v>
      </c>
      <c r="F1486" s="43" t="s">
        <v>45</v>
      </c>
      <c r="G1486" s="43" t="s">
        <v>183</v>
      </c>
    </row>
    <row r="1487" spans="1:7" x14ac:dyDescent="0.25">
      <c r="A1487" s="40">
        <v>1482</v>
      </c>
      <c r="B1487" s="40" t="s">
        <v>1703</v>
      </c>
      <c r="C1487" s="40" t="s">
        <v>168</v>
      </c>
      <c r="D1487" s="40" t="s">
        <v>1939</v>
      </c>
      <c r="E1487" s="40">
        <v>8</v>
      </c>
      <c r="F1487" s="43" t="s">
        <v>45</v>
      </c>
      <c r="G1487" s="43" t="s">
        <v>172</v>
      </c>
    </row>
    <row r="1488" spans="1:7" x14ac:dyDescent="0.25">
      <c r="A1488" s="40">
        <v>1483</v>
      </c>
      <c r="B1488" s="40" t="s">
        <v>1704</v>
      </c>
      <c r="C1488" s="40" t="s">
        <v>168</v>
      </c>
      <c r="D1488" s="40" t="s">
        <v>1962</v>
      </c>
      <c r="E1488" s="40">
        <v>2</v>
      </c>
      <c r="F1488" s="43" t="s">
        <v>45</v>
      </c>
      <c r="G1488" s="43" t="s">
        <v>179</v>
      </c>
    </row>
    <row r="1489" spans="1:7" x14ac:dyDescent="0.25">
      <c r="A1489" s="40">
        <v>1484</v>
      </c>
      <c r="B1489" s="40" t="s">
        <v>1705</v>
      </c>
      <c r="C1489" s="40" t="s">
        <v>167</v>
      </c>
      <c r="D1489" s="40" t="s">
        <v>172</v>
      </c>
      <c r="E1489" s="40">
        <v>3</v>
      </c>
      <c r="F1489" s="43" t="s">
        <v>45</v>
      </c>
      <c r="G1489" s="43" t="s">
        <v>172</v>
      </c>
    </row>
    <row r="1490" spans="1:7" x14ac:dyDescent="0.25">
      <c r="A1490" s="40">
        <v>1485</v>
      </c>
      <c r="B1490" s="40" t="s">
        <v>1706</v>
      </c>
      <c r="C1490" s="40" t="s">
        <v>168</v>
      </c>
      <c r="D1490" s="40" t="s">
        <v>193</v>
      </c>
      <c r="E1490" s="40">
        <v>5</v>
      </c>
      <c r="F1490" s="43" t="s">
        <v>51</v>
      </c>
    </row>
    <row r="1491" spans="1:7" x14ac:dyDescent="0.25">
      <c r="A1491" s="40">
        <v>1486</v>
      </c>
      <c r="B1491" s="40" t="s">
        <v>1707</v>
      </c>
      <c r="C1491" s="40" t="s">
        <v>168</v>
      </c>
      <c r="D1491" s="40" t="s">
        <v>1955</v>
      </c>
      <c r="E1491" s="40">
        <v>3</v>
      </c>
      <c r="F1491" s="43" t="s">
        <v>1978</v>
      </c>
    </row>
    <row r="1492" spans="1:7" x14ac:dyDescent="0.25">
      <c r="A1492" s="40">
        <v>1487</v>
      </c>
      <c r="B1492" s="40" t="s">
        <v>1708</v>
      </c>
      <c r="C1492" s="40" t="s">
        <v>168</v>
      </c>
      <c r="D1492" s="40" t="s">
        <v>172</v>
      </c>
      <c r="E1492" s="40">
        <v>2</v>
      </c>
      <c r="F1492" s="43" t="s">
        <v>45</v>
      </c>
      <c r="G1492" s="43" t="s">
        <v>172</v>
      </c>
    </row>
    <row r="1493" spans="1:7" x14ac:dyDescent="0.25">
      <c r="A1493" s="40">
        <v>1488</v>
      </c>
      <c r="B1493" s="40" t="s">
        <v>1709</v>
      </c>
      <c r="C1493" s="40" t="s">
        <v>167</v>
      </c>
      <c r="D1493" s="40" t="s">
        <v>178</v>
      </c>
      <c r="E1493" s="40">
        <v>2</v>
      </c>
      <c r="F1493" s="43" t="s">
        <v>45</v>
      </c>
      <c r="G1493" s="43" t="s">
        <v>178</v>
      </c>
    </row>
    <row r="1494" spans="1:7" x14ac:dyDescent="0.25">
      <c r="A1494" s="40">
        <v>1489</v>
      </c>
      <c r="B1494" s="40" t="s">
        <v>1710</v>
      </c>
      <c r="C1494" s="40" t="s">
        <v>168</v>
      </c>
      <c r="D1494" s="40" t="s">
        <v>1951</v>
      </c>
      <c r="E1494" s="40">
        <v>6</v>
      </c>
      <c r="F1494" s="43" t="s">
        <v>45</v>
      </c>
      <c r="G1494" s="43" t="s">
        <v>182</v>
      </c>
    </row>
    <row r="1495" spans="1:7" x14ac:dyDescent="0.25">
      <c r="A1495" s="40">
        <v>1490</v>
      </c>
      <c r="B1495" s="40" t="s">
        <v>1711</v>
      </c>
      <c r="C1495" s="40" t="s">
        <v>168</v>
      </c>
      <c r="D1495" s="40" t="s">
        <v>1951</v>
      </c>
      <c r="E1495" s="40">
        <v>3</v>
      </c>
      <c r="F1495" s="43" t="s">
        <v>45</v>
      </c>
      <c r="G1495" s="43" t="s">
        <v>182</v>
      </c>
    </row>
    <row r="1496" spans="1:7" x14ac:dyDescent="0.25">
      <c r="A1496" s="40">
        <v>1491</v>
      </c>
      <c r="B1496" s="40" t="s">
        <v>1712</v>
      </c>
      <c r="C1496" s="40" t="s">
        <v>168</v>
      </c>
      <c r="D1496" s="40" t="s">
        <v>193</v>
      </c>
      <c r="E1496" s="40">
        <v>3</v>
      </c>
      <c r="F1496" s="43" t="s">
        <v>45</v>
      </c>
      <c r="G1496" s="43" t="s">
        <v>1986</v>
      </c>
    </row>
    <row r="1497" spans="1:7" x14ac:dyDescent="0.25">
      <c r="A1497" s="40">
        <v>1492</v>
      </c>
      <c r="B1497" s="40" t="s">
        <v>1713</v>
      </c>
      <c r="C1497" s="40" t="s">
        <v>167</v>
      </c>
      <c r="D1497" s="40" t="s">
        <v>172</v>
      </c>
      <c r="E1497" s="40">
        <v>8</v>
      </c>
      <c r="F1497" s="43" t="s">
        <v>45</v>
      </c>
      <c r="G1497" s="43" t="s">
        <v>172</v>
      </c>
    </row>
    <row r="1498" spans="1:7" x14ac:dyDescent="0.25">
      <c r="A1498" s="40">
        <v>1493</v>
      </c>
      <c r="B1498" s="40" t="s">
        <v>1714</v>
      </c>
      <c r="C1498" s="40" t="s">
        <v>168</v>
      </c>
      <c r="D1498" s="40" t="s">
        <v>185</v>
      </c>
      <c r="E1498" s="40">
        <v>2</v>
      </c>
      <c r="F1498" s="43" t="s">
        <v>45</v>
      </c>
      <c r="G1498" s="43" t="s">
        <v>185</v>
      </c>
    </row>
    <row r="1499" spans="1:7" x14ac:dyDescent="0.25">
      <c r="A1499" s="40">
        <v>1494</v>
      </c>
      <c r="B1499" s="40" t="s">
        <v>1715</v>
      </c>
      <c r="C1499" s="40" t="s">
        <v>167</v>
      </c>
      <c r="D1499" s="40" t="s">
        <v>1951</v>
      </c>
      <c r="E1499" s="40">
        <v>3</v>
      </c>
      <c r="F1499" s="43" t="s">
        <v>45</v>
      </c>
      <c r="G1499" s="43" t="s">
        <v>182</v>
      </c>
    </row>
    <row r="1500" spans="1:7" x14ac:dyDescent="0.25">
      <c r="A1500" s="40">
        <v>1495</v>
      </c>
      <c r="B1500" s="40" t="s">
        <v>1716</v>
      </c>
      <c r="C1500" s="40" t="s">
        <v>168</v>
      </c>
      <c r="D1500" s="40" t="s">
        <v>2005</v>
      </c>
      <c r="E1500" s="40">
        <v>3</v>
      </c>
      <c r="F1500" s="43" t="s">
        <v>45</v>
      </c>
      <c r="G1500" s="43" t="s">
        <v>1984</v>
      </c>
    </row>
    <row r="1501" spans="1:7" x14ac:dyDescent="0.25">
      <c r="A1501" s="40">
        <v>1496</v>
      </c>
      <c r="B1501" s="40" t="s">
        <v>1717</v>
      </c>
      <c r="C1501" s="40" t="s">
        <v>168</v>
      </c>
      <c r="D1501" s="40" t="s">
        <v>185</v>
      </c>
      <c r="E1501" s="40">
        <v>1</v>
      </c>
      <c r="F1501" s="43" t="s">
        <v>45</v>
      </c>
      <c r="G1501" s="43" t="s">
        <v>185</v>
      </c>
    </row>
    <row r="1502" spans="1:7" x14ac:dyDescent="0.25">
      <c r="A1502" s="40">
        <v>1497</v>
      </c>
      <c r="B1502" s="40" t="s">
        <v>1718</v>
      </c>
      <c r="C1502" s="40" t="s">
        <v>167</v>
      </c>
      <c r="D1502" s="40" t="s">
        <v>174</v>
      </c>
      <c r="E1502" s="40">
        <v>8</v>
      </c>
      <c r="F1502" s="43" t="s">
        <v>45</v>
      </c>
      <c r="G1502" s="43" t="s">
        <v>174</v>
      </c>
    </row>
    <row r="1503" spans="1:7" x14ac:dyDescent="0.25">
      <c r="A1503" s="40">
        <v>1498</v>
      </c>
      <c r="B1503" s="40" t="s">
        <v>1719</v>
      </c>
      <c r="C1503" s="40" t="s">
        <v>168</v>
      </c>
      <c r="D1503" s="40" t="s">
        <v>1935</v>
      </c>
      <c r="E1503" s="40">
        <v>3</v>
      </c>
      <c r="F1503" s="43" t="s">
        <v>45</v>
      </c>
      <c r="G1503" s="43" t="s">
        <v>174</v>
      </c>
    </row>
    <row r="1504" spans="1:7" x14ac:dyDescent="0.25">
      <c r="A1504" s="40">
        <v>1499</v>
      </c>
      <c r="B1504" s="40" t="s">
        <v>1720</v>
      </c>
      <c r="C1504" s="40" t="s">
        <v>168</v>
      </c>
      <c r="D1504" s="40" t="s">
        <v>1935</v>
      </c>
      <c r="E1504" s="40">
        <v>8</v>
      </c>
      <c r="F1504" s="43" t="s">
        <v>45</v>
      </c>
      <c r="G1504" s="43" t="s">
        <v>1934</v>
      </c>
    </row>
    <row r="1505" spans="1:7" x14ac:dyDescent="0.25">
      <c r="A1505" s="40">
        <v>1500</v>
      </c>
      <c r="B1505" s="40" t="s">
        <v>1721</v>
      </c>
      <c r="C1505" s="40" t="s">
        <v>167</v>
      </c>
      <c r="D1505" s="40" t="s">
        <v>185</v>
      </c>
      <c r="E1505" s="40">
        <v>4</v>
      </c>
      <c r="F1505" s="43" t="s">
        <v>45</v>
      </c>
      <c r="G1505" s="43" t="s">
        <v>185</v>
      </c>
    </row>
    <row r="1506" spans="1:7" x14ac:dyDescent="0.25">
      <c r="A1506" s="40">
        <v>1501</v>
      </c>
      <c r="B1506" s="40" t="s">
        <v>1722</v>
      </c>
      <c r="C1506" s="40" t="s">
        <v>167</v>
      </c>
      <c r="D1506" s="40" t="s">
        <v>181</v>
      </c>
      <c r="E1506" s="40">
        <v>9</v>
      </c>
      <c r="F1506" s="43" t="s">
        <v>45</v>
      </c>
      <c r="G1506" s="43" t="s">
        <v>179</v>
      </c>
    </row>
    <row r="1507" spans="1:7" x14ac:dyDescent="0.25">
      <c r="A1507" s="40">
        <v>1502</v>
      </c>
      <c r="B1507" s="40" t="s">
        <v>1723</v>
      </c>
      <c r="C1507" s="40" t="s">
        <v>167</v>
      </c>
      <c r="D1507" s="40" t="s">
        <v>1935</v>
      </c>
      <c r="E1507" s="40">
        <v>5</v>
      </c>
      <c r="F1507" s="43" t="s">
        <v>45</v>
      </c>
      <c r="G1507" s="43" t="s">
        <v>182</v>
      </c>
    </row>
    <row r="1508" spans="1:7" x14ac:dyDescent="0.25">
      <c r="A1508" s="40">
        <v>1503</v>
      </c>
      <c r="B1508" s="40" t="s">
        <v>1724</v>
      </c>
      <c r="C1508" s="40" t="s">
        <v>167</v>
      </c>
      <c r="D1508" s="40" t="s">
        <v>174</v>
      </c>
      <c r="E1508" s="40">
        <v>6</v>
      </c>
      <c r="F1508" s="43" t="s">
        <v>45</v>
      </c>
      <c r="G1508" s="43" t="s">
        <v>182</v>
      </c>
    </row>
    <row r="1509" spans="1:7" x14ac:dyDescent="0.25">
      <c r="A1509" s="40">
        <v>1504</v>
      </c>
      <c r="B1509" s="40" t="s">
        <v>1725</v>
      </c>
      <c r="C1509" s="40" t="s">
        <v>167</v>
      </c>
      <c r="D1509" s="40" t="s">
        <v>2007</v>
      </c>
      <c r="E1509" s="40">
        <v>7</v>
      </c>
      <c r="F1509" s="43" t="s">
        <v>45</v>
      </c>
      <c r="G1509" s="43" t="s">
        <v>179</v>
      </c>
    </row>
    <row r="1510" spans="1:7" x14ac:dyDescent="0.25">
      <c r="A1510" s="40">
        <v>1505</v>
      </c>
      <c r="B1510" s="40" t="s">
        <v>1726</v>
      </c>
      <c r="C1510" s="40" t="s">
        <v>167</v>
      </c>
      <c r="D1510" s="40" t="s">
        <v>1935</v>
      </c>
      <c r="E1510" s="40">
        <v>6</v>
      </c>
      <c r="F1510" s="43" t="s">
        <v>45</v>
      </c>
      <c r="G1510" s="43" t="s">
        <v>182</v>
      </c>
    </row>
    <row r="1511" spans="1:7" x14ac:dyDescent="0.25">
      <c r="A1511" s="40">
        <v>1506</v>
      </c>
      <c r="B1511" s="40" t="s">
        <v>1727</v>
      </c>
      <c r="C1511" s="40" t="s">
        <v>167</v>
      </c>
      <c r="D1511" s="40" t="s">
        <v>185</v>
      </c>
      <c r="E1511" s="40">
        <v>6</v>
      </c>
      <c r="F1511" s="43" t="s">
        <v>45</v>
      </c>
      <c r="G1511" s="43" t="s">
        <v>185</v>
      </c>
    </row>
    <row r="1512" spans="1:7" x14ac:dyDescent="0.25">
      <c r="A1512" s="40">
        <v>1507</v>
      </c>
      <c r="B1512" s="40" t="s">
        <v>1728</v>
      </c>
      <c r="C1512" s="40" t="s">
        <v>167</v>
      </c>
      <c r="D1512" s="40" t="s">
        <v>176</v>
      </c>
      <c r="E1512" s="40">
        <v>5</v>
      </c>
      <c r="F1512" s="43" t="s">
        <v>45</v>
      </c>
      <c r="G1512" s="43" t="s">
        <v>176</v>
      </c>
    </row>
    <row r="1513" spans="1:7" x14ac:dyDescent="0.25">
      <c r="A1513" s="40">
        <v>1508</v>
      </c>
      <c r="B1513" s="40" t="s">
        <v>1729</v>
      </c>
      <c r="C1513" s="40" t="s">
        <v>167</v>
      </c>
      <c r="D1513" s="40" t="s">
        <v>1971</v>
      </c>
      <c r="E1513" s="40">
        <v>4</v>
      </c>
      <c r="F1513" s="43" t="s">
        <v>45</v>
      </c>
      <c r="G1513" s="43" t="s">
        <v>2006</v>
      </c>
    </row>
    <row r="1514" spans="1:7" x14ac:dyDescent="0.25">
      <c r="A1514" s="40">
        <v>1509</v>
      </c>
      <c r="B1514" s="40" t="s">
        <v>1730</v>
      </c>
      <c r="C1514" s="40" t="s">
        <v>167</v>
      </c>
      <c r="D1514" s="40" t="s">
        <v>185</v>
      </c>
      <c r="E1514" s="40">
        <v>8</v>
      </c>
      <c r="F1514" s="43" t="s">
        <v>45</v>
      </c>
      <c r="G1514" s="43" t="s">
        <v>185</v>
      </c>
    </row>
    <row r="1515" spans="1:7" x14ac:dyDescent="0.25">
      <c r="A1515" s="40">
        <v>1510</v>
      </c>
      <c r="B1515" s="40" t="s">
        <v>1731</v>
      </c>
      <c r="C1515" s="40" t="s">
        <v>167</v>
      </c>
      <c r="D1515" s="40" t="s">
        <v>172</v>
      </c>
      <c r="E1515" s="40">
        <v>5</v>
      </c>
      <c r="F1515" s="43" t="s">
        <v>45</v>
      </c>
      <c r="G1515" s="43" t="s">
        <v>172</v>
      </c>
    </row>
    <row r="1516" spans="1:7" x14ac:dyDescent="0.25">
      <c r="A1516" s="40">
        <v>1511</v>
      </c>
      <c r="B1516" s="40" t="s">
        <v>1732</v>
      </c>
      <c r="C1516" s="40" t="s">
        <v>168</v>
      </c>
      <c r="D1516" s="40" t="s">
        <v>185</v>
      </c>
      <c r="E1516" s="40">
        <v>12</v>
      </c>
      <c r="F1516" s="43" t="s">
        <v>45</v>
      </c>
      <c r="G1516" s="43" t="s">
        <v>185</v>
      </c>
    </row>
    <row r="1517" spans="1:7" x14ac:dyDescent="0.25">
      <c r="A1517" s="40">
        <v>1512</v>
      </c>
      <c r="B1517" s="40" t="s">
        <v>1733</v>
      </c>
      <c r="C1517" s="40" t="s">
        <v>168</v>
      </c>
      <c r="D1517" s="40" t="s">
        <v>181</v>
      </c>
      <c r="E1517" s="40">
        <v>3</v>
      </c>
      <c r="F1517" s="43" t="s">
        <v>45</v>
      </c>
      <c r="G1517" s="43" t="s">
        <v>179</v>
      </c>
    </row>
    <row r="1518" spans="1:7" x14ac:dyDescent="0.25">
      <c r="A1518" s="40">
        <v>1513</v>
      </c>
      <c r="B1518" s="40" t="s">
        <v>1734</v>
      </c>
      <c r="C1518" s="40" t="s">
        <v>168</v>
      </c>
      <c r="D1518" s="40" t="s">
        <v>185</v>
      </c>
      <c r="E1518" s="40">
        <v>10</v>
      </c>
      <c r="F1518" s="43" t="s">
        <v>45</v>
      </c>
      <c r="G1518" s="43" t="s">
        <v>185</v>
      </c>
    </row>
    <row r="1519" spans="1:7" x14ac:dyDescent="0.25">
      <c r="A1519" s="40">
        <v>1514</v>
      </c>
      <c r="B1519" s="40" t="s">
        <v>1735</v>
      </c>
      <c r="C1519" s="40" t="s">
        <v>167</v>
      </c>
      <c r="D1519" s="40" t="s">
        <v>1954</v>
      </c>
      <c r="E1519" s="40">
        <v>12</v>
      </c>
      <c r="F1519" s="43" t="s">
        <v>45</v>
      </c>
      <c r="G1519" s="43" t="s">
        <v>2006</v>
      </c>
    </row>
    <row r="1520" spans="1:7" x14ac:dyDescent="0.25">
      <c r="A1520" s="40">
        <v>1515</v>
      </c>
      <c r="B1520" s="40" t="s">
        <v>1736</v>
      </c>
      <c r="C1520" s="40" t="s">
        <v>168</v>
      </c>
      <c r="D1520" s="40" t="s">
        <v>186</v>
      </c>
      <c r="E1520" s="40">
        <v>3</v>
      </c>
      <c r="F1520" s="43" t="s">
        <v>45</v>
      </c>
      <c r="G1520" s="43" t="s">
        <v>186</v>
      </c>
    </row>
    <row r="1521" spans="1:7" x14ac:dyDescent="0.25">
      <c r="A1521" s="40">
        <v>1516</v>
      </c>
      <c r="B1521" s="40" t="s">
        <v>1737</v>
      </c>
      <c r="C1521" s="40" t="s">
        <v>167</v>
      </c>
      <c r="D1521" s="40" t="s">
        <v>198</v>
      </c>
      <c r="E1521" s="40">
        <v>6</v>
      </c>
      <c r="F1521" s="43" t="s">
        <v>51</v>
      </c>
    </row>
    <row r="1522" spans="1:7" x14ac:dyDescent="0.25">
      <c r="A1522" s="40">
        <v>1517</v>
      </c>
      <c r="B1522" s="40" t="s">
        <v>1738</v>
      </c>
      <c r="C1522" s="40" t="s">
        <v>168</v>
      </c>
      <c r="D1522" s="40" t="s">
        <v>186</v>
      </c>
      <c r="E1522" s="40">
        <v>7</v>
      </c>
      <c r="F1522" s="43" t="s">
        <v>45</v>
      </c>
      <c r="G1522" s="43" t="s">
        <v>186</v>
      </c>
    </row>
    <row r="1523" spans="1:7" x14ac:dyDescent="0.25">
      <c r="A1523" s="40">
        <v>1518</v>
      </c>
      <c r="B1523" s="40" t="s">
        <v>1739</v>
      </c>
      <c r="C1523" s="40" t="s">
        <v>168</v>
      </c>
      <c r="D1523" s="40" t="s">
        <v>186</v>
      </c>
      <c r="E1523" s="40">
        <v>5</v>
      </c>
      <c r="F1523" s="43" t="s">
        <v>45</v>
      </c>
      <c r="G1523" s="43" t="s">
        <v>186</v>
      </c>
    </row>
    <row r="1524" spans="1:7" x14ac:dyDescent="0.25">
      <c r="A1524" s="40">
        <v>1519</v>
      </c>
      <c r="B1524" s="40" t="s">
        <v>1740</v>
      </c>
      <c r="C1524" s="40" t="s">
        <v>167</v>
      </c>
      <c r="D1524" s="40" t="s">
        <v>1934</v>
      </c>
      <c r="E1524" s="40">
        <v>2</v>
      </c>
      <c r="F1524" s="43" t="s">
        <v>45</v>
      </c>
      <c r="G1524" s="43" t="s">
        <v>182</v>
      </c>
    </row>
    <row r="1525" spans="1:7" x14ac:dyDescent="0.25">
      <c r="A1525" s="40">
        <v>1520</v>
      </c>
      <c r="B1525" s="40" t="s">
        <v>1741</v>
      </c>
      <c r="C1525" s="40" t="s">
        <v>167</v>
      </c>
      <c r="D1525" s="40" t="s">
        <v>1952</v>
      </c>
      <c r="E1525" s="40">
        <v>4</v>
      </c>
      <c r="F1525" s="43" t="s">
        <v>45</v>
      </c>
      <c r="G1525" s="43" t="s">
        <v>184</v>
      </c>
    </row>
    <row r="1526" spans="1:7" x14ac:dyDescent="0.25">
      <c r="A1526" s="40">
        <v>1521</v>
      </c>
      <c r="B1526" s="40" t="s">
        <v>1742</v>
      </c>
      <c r="C1526" s="40" t="s">
        <v>167</v>
      </c>
      <c r="D1526" s="40" t="s">
        <v>1952</v>
      </c>
      <c r="E1526" s="40">
        <v>1</v>
      </c>
      <c r="F1526" s="43" t="s">
        <v>45</v>
      </c>
      <c r="G1526" s="43" t="s">
        <v>184</v>
      </c>
    </row>
    <row r="1527" spans="1:7" x14ac:dyDescent="0.25">
      <c r="A1527" s="40">
        <v>1522</v>
      </c>
      <c r="B1527" s="40" t="s">
        <v>1743</v>
      </c>
      <c r="C1527" s="40" t="s">
        <v>168</v>
      </c>
      <c r="D1527" s="40" t="s">
        <v>1945</v>
      </c>
      <c r="E1527" s="40">
        <v>8</v>
      </c>
      <c r="F1527" s="43" t="s">
        <v>45</v>
      </c>
      <c r="G1527" s="43" t="s">
        <v>184</v>
      </c>
    </row>
    <row r="1528" spans="1:7" x14ac:dyDescent="0.25">
      <c r="A1528" s="40">
        <v>1523</v>
      </c>
      <c r="B1528" s="40" t="s">
        <v>1744</v>
      </c>
      <c r="C1528" s="40" t="s">
        <v>167</v>
      </c>
      <c r="D1528" s="40" t="s">
        <v>1940</v>
      </c>
      <c r="E1528" s="40">
        <v>4</v>
      </c>
      <c r="F1528" s="43" t="s">
        <v>45</v>
      </c>
      <c r="G1528" s="43" t="s">
        <v>1984</v>
      </c>
    </row>
    <row r="1529" spans="1:7" x14ac:dyDescent="0.25">
      <c r="A1529" s="40">
        <v>1524</v>
      </c>
      <c r="B1529" s="40" t="s">
        <v>1745</v>
      </c>
      <c r="C1529" s="40" t="s">
        <v>167</v>
      </c>
      <c r="D1529" s="40" t="s">
        <v>1945</v>
      </c>
      <c r="E1529" s="40">
        <v>2</v>
      </c>
      <c r="F1529" s="43" t="s">
        <v>45</v>
      </c>
      <c r="G1529" s="43" t="s">
        <v>184</v>
      </c>
    </row>
    <row r="1530" spans="1:7" x14ac:dyDescent="0.25">
      <c r="A1530" s="40">
        <v>1525</v>
      </c>
      <c r="B1530" s="40" t="s">
        <v>1746</v>
      </c>
      <c r="C1530" s="40" t="s">
        <v>168</v>
      </c>
      <c r="D1530" s="40" t="s">
        <v>1942</v>
      </c>
      <c r="E1530" s="40">
        <v>6</v>
      </c>
      <c r="F1530" s="43" t="s">
        <v>45</v>
      </c>
      <c r="G1530" s="43" t="s">
        <v>184</v>
      </c>
    </row>
    <row r="1531" spans="1:7" x14ac:dyDescent="0.25">
      <c r="A1531" s="40">
        <v>1526</v>
      </c>
      <c r="B1531" s="40" t="s">
        <v>1747</v>
      </c>
      <c r="C1531" s="40" t="s">
        <v>168</v>
      </c>
      <c r="D1531" s="40" t="s">
        <v>198</v>
      </c>
      <c r="E1531" s="40">
        <v>2</v>
      </c>
      <c r="F1531" s="43" t="s">
        <v>51</v>
      </c>
    </row>
    <row r="1532" spans="1:7" x14ac:dyDescent="0.25">
      <c r="A1532" s="40">
        <v>1527</v>
      </c>
      <c r="B1532" s="40" t="s">
        <v>1748</v>
      </c>
      <c r="C1532" s="40" t="s">
        <v>168</v>
      </c>
      <c r="D1532" s="40" t="s">
        <v>1971</v>
      </c>
      <c r="E1532" s="40">
        <v>11</v>
      </c>
      <c r="F1532" s="43" t="s">
        <v>45</v>
      </c>
      <c r="G1532" s="43" t="s">
        <v>182</v>
      </c>
    </row>
    <row r="1533" spans="1:7" x14ac:dyDescent="0.25">
      <c r="A1533" s="40">
        <v>1528</v>
      </c>
      <c r="B1533" s="40" t="s">
        <v>1749</v>
      </c>
      <c r="C1533" s="40" t="s">
        <v>168</v>
      </c>
      <c r="D1533" s="40" t="s">
        <v>180</v>
      </c>
      <c r="E1533" s="40">
        <v>6</v>
      </c>
      <c r="F1533" s="43" t="s">
        <v>45</v>
      </c>
      <c r="G1533" s="43" t="s">
        <v>184</v>
      </c>
    </row>
    <row r="1534" spans="1:7" x14ac:dyDescent="0.25">
      <c r="A1534" s="40">
        <v>1529</v>
      </c>
      <c r="B1534" s="40" t="s">
        <v>1750</v>
      </c>
      <c r="C1534" s="40" t="s">
        <v>168</v>
      </c>
      <c r="D1534" s="40" t="s">
        <v>1942</v>
      </c>
      <c r="E1534" s="40">
        <v>4</v>
      </c>
      <c r="F1534" s="43" t="s">
        <v>45</v>
      </c>
      <c r="G1534" s="43" t="s">
        <v>184</v>
      </c>
    </row>
    <row r="1535" spans="1:7" x14ac:dyDescent="0.25">
      <c r="A1535" s="40">
        <v>1530</v>
      </c>
      <c r="B1535" s="40" t="s">
        <v>1751</v>
      </c>
      <c r="C1535" s="40" t="s">
        <v>168</v>
      </c>
      <c r="D1535" s="40" t="s">
        <v>193</v>
      </c>
      <c r="E1535" s="40">
        <v>2</v>
      </c>
      <c r="F1535" s="43" t="s">
        <v>45</v>
      </c>
      <c r="G1535" s="43" t="s">
        <v>169</v>
      </c>
    </row>
    <row r="1536" spans="1:7" x14ac:dyDescent="0.25">
      <c r="A1536" s="40">
        <v>1531</v>
      </c>
      <c r="B1536" s="40" t="s">
        <v>1752</v>
      </c>
      <c r="C1536" s="40" t="s">
        <v>167</v>
      </c>
      <c r="D1536" s="40" t="s">
        <v>180</v>
      </c>
      <c r="E1536" s="40">
        <v>5</v>
      </c>
      <c r="F1536" s="43" t="s">
        <v>45</v>
      </c>
      <c r="G1536" s="43" t="s">
        <v>1981</v>
      </c>
    </row>
    <row r="1537" spans="1:7" x14ac:dyDescent="0.25">
      <c r="A1537" s="40">
        <v>1532</v>
      </c>
      <c r="B1537" s="40" t="s">
        <v>1753</v>
      </c>
      <c r="C1537" s="40" t="s">
        <v>167</v>
      </c>
      <c r="D1537" s="40" t="s">
        <v>1946</v>
      </c>
      <c r="E1537" s="40">
        <v>3</v>
      </c>
      <c r="F1537" s="43" t="s">
        <v>45</v>
      </c>
      <c r="G1537" s="43" t="s">
        <v>179</v>
      </c>
    </row>
    <row r="1538" spans="1:7" x14ac:dyDescent="0.25">
      <c r="A1538" s="40">
        <v>1533</v>
      </c>
      <c r="B1538" s="40" t="s">
        <v>1754</v>
      </c>
      <c r="C1538" s="40" t="s">
        <v>168</v>
      </c>
      <c r="D1538" s="40" t="s">
        <v>193</v>
      </c>
      <c r="E1538" s="40">
        <v>5</v>
      </c>
      <c r="F1538" s="43" t="s">
        <v>45</v>
      </c>
      <c r="G1538" s="43" t="s">
        <v>1986</v>
      </c>
    </row>
    <row r="1539" spans="1:7" x14ac:dyDescent="0.25">
      <c r="A1539" s="40">
        <v>1534</v>
      </c>
      <c r="B1539" s="40" t="s">
        <v>1755</v>
      </c>
      <c r="C1539" s="40" t="s">
        <v>168</v>
      </c>
      <c r="D1539" s="40" t="s">
        <v>1942</v>
      </c>
      <c r="E1539" s="40">
        <v>3</v>
      </c>
      <c r="F1539" s="43" t="s">
        <v>45</v>
      </c>
      <c r="G1539" s="43" t="s">
        <v>184</v>
      </c>
    </row>
    <row r="1540" spans="1:7" x14ac:dyDescent="0.25">
      <c r="A1540" s="40">
        <v>1535</v>
      </c>
      <c r="B1540" s="40" t="s">
        <v>1756</v>
      </c>
      <c r="C1540" s="40" t="s">
        <v>168</v>
      </c>
      <c r="D1540" s="40" t="s">
        <v>1971</v>
      </c>
      <c r="E1540" s="40">
        <v>5</v>
      </c>
      <c r="F1540" s="43" t="s">
        <v>45</v>
      </c>
      <c r="G1540" s="43" t="s">
        <v>182</v>
      </c>
    </row>
    <row r="1541" spans="1:7" x14ac:dyDescent="0.25">
      <c r="A1541" s="40">
        <v>1536</v>
      </c>
      <c r="B1541" s="40" t="s">
        <v>1757</v>
      </c>
      <c r="C1541" s="40" t="s">
        <v>168</v>
      </c>
      <c r="D1541" s="40" t="s">
        <v>1952</v>
      </c>
      <c r="E1541" s="40">
        <v>3</v>
      </c>
      <c r="F1541" s="43" t="s">
        <v>45</v>
      </c>
      <c r="G1541" s="43" t="s">
        <v>184</v>
      </c>
    </row>
    <row r="1542" spans="1:7" x14ac:dyDescent="0.25">
      <c r="A1542" s="40">
        <v>1537</v>
      </c>
      <c r="B1542" s="40" t="s">
        <v>1758</v>
      </c>
      <c r="C1542" s="40" t="s">
        <v>168</v>
      </c>
      <c r="D1542" s="40" t="s">
        <v>198</v>
      </c>
      <c r="E1542" s="40">
        <v>2</v>
      </c>
      <c r="F1542" s="43" t="s">
        <v>45</v>
      </c>
      <c r="G1542" s="43" t="s">
        <v>187</v>
      </c>
    </row>
    <row r="1543" spans="1:7" x14ac:dyDescent="0.25">
      <c r="A1543" s="40">
        <v>1538</v>
      </c>
      <c r="B1543" s="40" t="s">
        <v>1759</v>
      </c>
      <c r="C1543" s="40" t="s">
        <v>167</v>
      </c>
      <c r="D1543" s="40" t="s">
        <v>1951</v>
      </c>
      <c r="E1543" s="40">
        <v>3</v>
      </c>
      <c r="F1543" s="43" t="s">
        <v>45</v>
      </c>
      <c r="G1543" s="43" t="s">
        <v>182</v>
      </c>
    </row>
    <row r="1544" spans="1:7" x14ac:dyDescent="0.25">
      <c r="A1544" s="40">
        <v>1539</v>
      </c>
      <c r="B1544" s="40" t="s">
        <v>1760</v>
      </c>
      <c r="C1544" s="40" t="s">
        <v>167</v>
      </c>
      <c r="D1544" s="40" t="s">
        <v>1952</v>
      </c>
      <c r="E1544" s="40">
        <v>8</v>
      </c>
      <c r="F1544" s="43" t="s">
        <v>45</v>
      </c>
      <c r="G1544" s="43" t="s">
        <v>184</v>
      </c>
    </row>
    <row r="1545" spans="1:7" x14ac:dyDescent="0.25">
      <c r="A1545" s="40">
        <v>1540</v>
      </c>
      <c r="B1545" s="40" t="s">
        <v>1761</v>
      </c>
      <c r="C1545" s="40" t="s">
        <v>168</v>
      </c>
      <c r="D1545" s="40" t="s">
        <v>198</v>
      </c>
      <c r="E1545" s="40">
        <v>8</v>
      </c>
      <c r="F1545" s="43" t="s">
        <v>45</v>
      </c>
      <c r="G1545" s="43" t="s">
        <v>1987</v>
      </c>
    </row>
    <row r="1546" spans="1:7" x14ac:dyDescent="0.25">
      <c r="A1546" s="40">
        <v>1541</v>
      </c>
      <c r="B1546" s="40" t="s">
        <v>1762</v>
      </c>
      <c r="C1546" s="40" t="s">
        <v>167</v>
      </c>
      <c r="D1546" s="40" t="s">
        <v>193</v>
      </c>
      <c r="E1546" s="40">
        <v>12</v>
      </c>
      <c r="F1546" s="43" t="s">
        <v>45</v>
      </c>
      <c r="G1546" s="43" t="s">
        <v>1986</v>
      </c>
    </row>
    <row r="1547" spans="1:7" x14ac:dyDescent="0.25">
      <c r="A1547" s="40">
        <v>1542</v>
      </c>
      <c r="B1547" s="40" t="s">
        <v>1763</v>
      </c>
      <c r="C1547" s="40" t="s">
        <v>168</v>
      </c>
      <c r="D1547" s="40" t="s">
        <v>1942</v>
      </c>
      <c r="E1547" s="40">
        <v>5</v>
      </c>
      <c r="F1547" s="43" t="s">
        <v>45</v>
      </c>
      <c r="G1547" s="43" t="s">
        <v>184</v>
      </c>
    </row>
    <row r="1548" spans="1:7" x14ac:dyDescent="0.25">
      <c r="A1548" s="40">
        <v>1543</v>
      </c>
      <c r="B1548" s="40" t="s">
        <v>1764</v>
      </c>
      <c r="C1548" s="40" t="s">
        <v>168</v>
      </c>
      <c r="D1548" s="40" t="s">
        <v>186</v>
      </c>
      <c r="E1548" s="40">
        <v>7</v>
      </c>
      <c r="F1548" s="43" t="s">
        <v>45</v>
      </c>
      <c r="G1548" s="43" t="s">
        <v>186</v>
      </c>
    </row>
    <row r="1549" spans="1:7" x14ac:dyDescent="0.25">
      <c r="A1549" s="40">
        <v>1544</v>
      </c>
      <c r="B1549" s="40" t="s">
        <v>1765</v>
      </c>
      <c r="C1549" s="40" t="s">
        <v>168</v>
      </c>
      <c r="D1549" s="40" t="s">
        <v>1942</v>
      </c>
      <c r="E1549" s="40">
        <v>6</v>
      </c>
      <c r="F1549" s="43" t="s">
        <v>45</v>
      </c>
      <c r="G1549" s="43" t="s">
        <v>184</v>
      </c>
    </row>
    <row r="1550" spans="1:7" x14ac:dyDescent="0.25">
      <c r="A1550" s="40">
        <v>1545</v>
      </c>
      <c r="B1550" s="40" t="s">
        <v>1766</v>
      </c>
      <c r="C1550" s="40" t="s">
        <v>167</v>
      </c>
      <c r="D1550" s="40" t="s">
        <v>2007</v>
      </c>
      <c r="E1550" s="40">
        <v>5</v>
      </c>
      <c r="F1550" s="43" t="s">
        <v>45</v>
      </c>
      <c r="G1550" s="43" t="s">
        <v>179</v>
      </c>
    </row>
    <row r="1551" spans="1:7" x14ac:dyDescent="0.25">
      <c r="A1551" s="40">
        <v>1546</v>
      </c>
      <c r="B1551" s="40" t="s">
        <v>1767</v>
      </c>
      <c r="C1551" s="40" t="s">
        <v>168</v>
      </c>
      <c r="D1551" s="40" t="s">
        <v>1942</v>
      </c>
      <c r="E1551" s="40">
        <v>4</v>
      </c>
      <c r="F1551" s="43" t="s">
        <v>45</v>
      </c>
      <c r="G1551" s="43" t="s">
        <v>184</v>
      </c>
    </row>
    <row r="1552" spans="1:7" x14ac:dyDescent="0.25">
      <c r="A1552" s="40">
        <v>1547</v>
      </c>
      <c r="B1552" s="40" t="s">
        <v>1768</v>
      </c>
      <c r="C1552" s="40" t="s">
        <v>168</v>
      </c>
      <c r="D1552" s="40" t="s">
        <v>1966</v>
      </c>
      <c r="E1552" s="40">
        <v>10</v>
      </c>
      <c r="F1552" s="43" t="s">
        <v>45</v>
      </c>
      <c r="G1552" s="43" t="s">
        <v>177</v>
      </c>
    </row>
    <row r="1553" spans="1:7" x14ac:dyDescent="0.25">
      <c r="A1553" s="40">
        <v>1548</v>
      </c>
      <c r="B1553" s="40" t="s">
        <v>1769</v>
      </c>
      <c r="C1553" s="40" t="s">
        <v>168</v>
      </c>
      <c r="D1553" s="40" t="s">
        <v>186</v>
      </c>
      <c r="E1553" s="40">
        <v>1</v>
      </c>
      <c r="F1553" s="43" t="s">
        <v>45</v>
      </c>
      <c r="G1553" s="43" t="s">
        <v>186</v>
      </c>
    </row>
    <row r="1554" spans="1:7" x14ac:dyDescent="0.25">
      <c r="A1554" s="40">
        <v>1549</v>
      </c>
      <c r="B1554" s="40" t="s">
        <v>1770</v>
      </c>
      <c r="C1554" s="40" t="s">
        <v>168</v>
      </c>
      <c r="D1554" s="40" t="s">
        <v>1966</v>
      </c>
      <c r="E1554" s="40">
        <v>2</v>
      </c>
      <c r="F1554" s="43" t="s">
        <v>45</v>
      </c>
      <c r="G1554" s="43" t="s">
        <v>177</v>
      </c>
    </row>
    <row r="1555" spans="1:7" x14ac:dyDescent="0.25">
      <c r="A1555" s="40">
        <v>1550</v>
      </c>
      <c r="B1555" s="40" t="s">
        <v>1771</v>
      </c>
      <c r="C1555" s="40" t="s">
        <v>168</v>
      </c>
      <c r="D1555" s="40" t="s">
        <v>198</v>
      </c>
      <c r="E1555" s="40">
        <v>3</v>
      </c>
      <c r="F1555" s="43" t="s">
        <v>45</v>
      </c>
      <c r="G1555" s="43" t="s">
        <v>187</v>
      </c>
    </row>
    <row r="1556" spans="1:7" x14ac:dyDescent="0.25">
      <c r="A1556" s="40">
        <v>1551</v>
      </c>
      <c r="B1556" s="40" t="s">
        <v>1772</v>
      </c>
      <c r="C1556" s="40" t="s">
        <v>168</v>
      </c>
      <c r="D1556" s="40" t="s">
        <v>1945</v>
      </c>
      <c r="E1556" s="40">
        <v>7</v>
      </c>
      <c r="F1556" s="43" t="s">
        <v>45</v>
      </c>
      <c r="G1556" s="43" t="s">
        <v>184</v>
      </c>
    </row>
    <row r="1557" spans="1:7" x14ac:dyDescent="0.25">
      <c r="A1557" s="40">
        <v>1552</v>
      </c>
      <c r="B1557" s="40" t="s">
        <v>1773</v>
      </c>
      <c r="C1557" s="40" t="s">
        <v>167</v>
      </c>
      <c r="D1557" s="40" t="s">
        <v>1942</v>
      </c>
      <c r="E1557" s="40">
        <v>1</v>
      </c>
      <c r="F1557" s="43" t="s">
        <v>45</v>
      </c>
      <c r="G1557" s="43" t="s">
        <v>184</v>
      </c>
    </row>
    <row r="1558" spans="1:7" x14ac:dyDescent="0.25">
      <c r="A1558" s="40">
        <v>1553</v>
      </c>
      <c r="B1558" s="40" t="s">
        <v>1774</v>
      </c>
      <c r="C1558" s="40" t="s">
        <v>168</v>
      </c>
      <c r="D1558" s="40" t="s">
        <v>1945</v>
      </c>
      <c r="E1558" s="40">
        <v>6</v>
      </c>
      <c r="F1558" s="43" t="s">
        <v>45</v>
      </c>
      <c r="G1558" s="43" t="s">
        <v>184</v>
      </c>
    </row>
    <row r="1559" spans="1:7" x14ac:dyDescent="0.25">
      <c r="A1559" s="40">
        <v>1554</v>
      </c>
      <c r="B1559" s="40" t="s">
        <v>1775</v>
      </c>
      <c r="C1559" s="40" t="s">
        <v>168</v>
      </c>
      <c r="D1559" s="40" t="s">
        <v>1942</v>
      </c>
      <c r="E1559" s="40">
        <v>5</v>
      </c>
      <c r="F1559" s="43" t="s">
        <v>45</v>
      </c>
      <c r="G1559" s="43" t="s">
        <v>184</v>
      </c>
    </row>
    <row r="1560" spans="1:7" x14ac:dyDescent="0.25">
      <c r="A1560" s="40">
        <v>1555</v>
      </c>
      <c r="B1560" s="40" t="s">
        <v>1776</v>
      </c>
      <c r="C1560" s="40" t="s">
        <v>167</v>
      </c>
      <c r="D1560" s="40" t="s">
        <v>1952</v>
      </c>
      <c r="E1560" s="40">
        <v>6</v>
      </c>
      <c r="F1560" s="43" t="s">
        <v>45</v>
      </c>
      <c r="G1560" s="43" t="s">
        <v>184</v>
      </c>
    </row>
    <row r="1561" spans="1:7" x14ac:dyDescent="0.25">
      <c r="A1561" s="40">
        <v>1556</v>
      </c>
      <c r="B1561" s="40" t="s">
        <v>1777</v>
      </c>
      <c r="C1561" s="40" t="s">
        <v>168</v>
      </c>
      <c r="D1561" s="40" t="s">
        <v>1942</v>
      </c>
      <c r="E1561" s="40">
        <v>6</v>
      </c>
      <c r="F1561" s="43" t="s">
        <v>45</v>
      </c>
      <c r="G1561" s="43" t="s">
        <v>184</v>
      </c>
    </row>
    <row r="1562" spans="1:7" x14ac:dyDescent="0.25">
      <c r="A1562" s="40">
        <v>1557</v>
      </c>
      <c r="B1562" s="40" t="s">
        <v>1778</v>
      </c>
      <c r="C1562" s="40" t="s">
        <v>167</v>
      </c>
      <c r="D1562" s="40" t="s">
        <v>1942</v>
      </c>
      <c r="E1562" s="40">
        <v>8</v>
      </c>
      <c r="F1562" s="43" t="s">
        <v>45</v>
      </c>
      <c r="G1562" s="43" t="s">
        <v>184</v>
      </c>
    </row>
    <row r="1563" spans="1:7" x14ac:dyDescent="0.25">
      <c r="A1563" s="40">
        <v>1558</v>
      </c>
      <c r="B1563" s="40" t="s">
        <v>1779</v>
      </c>
      <c r="C1563" s="40" t="s">
        <v>168</v>
      </c>
      <c r="D1563" s="40" t="s">
        <v>1952</v>
      </c>
      <c r="E1563" s="40">
        <v>9</v>
      </c>
      <c r="F1563" s="43" t="s">
        <v>45</v>
      </c>
      <c r="G1563" s="43" t="s">
        <v>184</v>
      </c>
    </row>
    <row r="1564" spans="1:7" x14ac:dyDescent="0.25">
      <c r="A1564" s="40">
        <v>1559</v>
      </c>
      <c r="B1564" s="40" t="s">
        <v>1780</v>
      </c>
      <c r="C1564" s="40" t="s">
        <v>168</v>
      </c>
      <c r="D1564" s="40" t="s">
        <v>1942</v>
      </c>
      <c r="E1564" s="40">
        <v>5</v>
      </c>
      <c r="F1564" s="43" t="s">
        <v>45</v>
      </c>
      <c r="G1564" s="43" t="s">
        <v>184</v>
      </c>
    </row>
    <row r="1565" spans="1:7" x14ac:dyDescent="0.25">
      <c r="A1565" s="40">
        <v>1560</v>
      </c>
      <c r="B1565" s="40" t="s">
        <v>1781</v>
      </c>
      <c r="C1565" s="40" t="s">
        <v>167</v>
      </c>
      <c r="D1565" s="40" t="s">
        <v>198</v>
      </c>
      <c r="E1565" s="40">
        <v>6</v>
      </c>
      <c r="F1565" s="43" t="s">
        <v>45</v>
      </c>
      <c r="G1565" s="43" t="s">
        <v>187</v>
      </c>
    </row>
    <row r="1566" spans="1:7" x14ac:dyDescent="0.25">
      <c r="A1566" s="40">
        <v>1561</v>
      </c>
      <c r="B1566" s="40" t="s">
        <v>1782</v>
      </c>
      <c r="C1566" s="40" t="s">
        <v>168</v>
      </c>
      <c r="D1566" s="40" t="s">
        <v>198</v>
      </c>
      <c r="E1566" s="40">
        <v>11</v>
      </c>
      <c r="F1566" s="43" t="s">
        <v>45</v>
      </c>
      <c r="G1566" s="43" t="s">
        <v>187</v>
      </c>
    </row>
    <row r="1567" spans="1:7" x14ac:dyDescent="0.25">
      <c r="A1567" s="40">
        <v>1562</v>
      </c>
      <c r="B1567" s="40" t="s">
        <v>1783</v>
      </c>
      <c r="C1567" s="40" t="s">
        <v>167</v>
      </c>
      <c r="D1567" s="40" t="s">
        <v>1940</v>
      </c>
      <c r="E1567" s="40">
        <v>6</v>
      </c>
      <c r="F1567" s="43" t="s">
        <v>45</v>
      </c>
      <c r="G1567" s="43" t="s">
        <v>1984</v>
      </c>
    </row>
    <row r="1568" spans="1:7" x14ac:dyDescent="0.25">
      <c r="A1568" s="40">
        <v>1563</v>
      </c>
      <c r="B1568" s="40" t="s">
        <v>1784</v>
      </c>
      <c r="C1568" s="40" t="s">
        <v>168</v>
      </c>
      <c r="D1568" s="40" t="s">
        <v>195</v>
      </c>
      <c r="E1568" s="40">
        <v>1</v>
      </c>
      <c r="F1568" s="43" t="s">
        <v>45</v>
      </c>
      <c r="G1568" s="43" t="s">
        <v>2006</v>
      </c>
    </row>
    <row r="1569" spans="1:7" x14ac:dyDescent="0.25">
      <c r="A1569" s="40">
        <v>1564</v>
      </c>
      <c r="B1569" s="40" t="s">
        <v>1785</v>
      </c>
      <c r="C1569" s="40" t="s">
        <v>168</v>
      </c>
      <c r="D1569" s="40" t="s">
        <v>172</v>
      </c>
      <c r="E1569" s="40">
        <v>1</v>
      </c>
      <c r="F1569" s="43" t="s">
        <v>45</v>
      </c>
      <c r="G1569" s="43" t="s">
        <v>172</v>
      </c>
    </row>
    <row r="1570" spans="1:7" x14ac:dyDescent="0.25">
      <c r="A1570" s="40">
        <v>1565</v>
      </c>
      <c r="B1570" s="40" t="s">
        <v>1786</v>
      </c>
      <c r="C1570" s="40" t="s">
        <v>167</v>
      </c>
      <c r="D1570" s="40" t="s">
        <v>1951</v>
      </c>
      <c r="E1570" s="40">
        <v>10</v>
      </c>
      <c r="F1570" s="43" t="s">
        <v>45</v>
      </c>
      <c r="G1570" s="43" t="s">
        <v>182</v>
      </c>
    </row>
    <row r="1571" spans="1:7" x14ac:dyDescent="0.25">
      <c r="A1571" s="40">
        <v>1566</v>
      </c>
      <c r="B1571" s="40" t="s">
        <v>1787</v>
      </c>
      <c r="C1571" s="40" t="s">
        <v>167</v>
      </c>
      <c r="D1571" s="40" t="s">
        <v>193</v>
      </c>
      <c r="E1571" s="40">
        <v>6</v>
      </c>
      <c r="F1571" s="43" t="s">
        <v>45</v>
      </c>
      <c r="G1571" s="43" t="s">
        <v>1985</v>
      </c>
    </row>
    <row r="1572" spans="1:7" x14ac:dyDescent="0.25">
      <c r="A1572" s="40">
        <v>1567</v>
      </c>
      <c r="B1572" s="40" t="s">
        <v>1788</v>
      </c>
      <c r="C1572" s="40" t="s">
        <v>167</v>
      </c>
      <c r="D1572" s="40" t="s">
        <v>1944</v>
      </c>
      <c r="E1572" s="40">
        <v>7</v>
      </c>
      <c r="F1572" s="43" t="s">
        <v>45</v>
      </c>
      <c r="G1572" s="43" t="s">
        <v>183</v>
      </c>
    </row>
    <row r="1573" spans="1:7" x14ac:dyDescent="0.25">
      <c r="A1573" s="40">
        <v>1568</v>
      </c>
      <c r="B1573" s="40" t="s">
        <v>1789</v>
      </c>
      <c r="C1573" s="40" t="s">
        <v>167</v>
      </c>
      <c r="D1573" s="40" t="s">
        <v>1944</v>
      </c>
      <c r="E1573" s="40">
        <v>9</v>
      </c>
      <c r="F1573" s="43" t="s">
        <v>45</v>
      </c>
      <c r="G1573" s="43" t="s">
        <v>183</v>
      </c>
    </row>
    <row r="1574" spans="1:7" x14ac:dyDescent="0.25">
      <c r="A1574" s="40">
        <v>1569</v>
      </c>
      <c r="B1574" s="40" t="s">
        <v>1790</v>
      </c>
      <c r="C1574" s="40" t="s">
        <v>167</v>
      </c>
      <c r="D1574" s="40" t="s">
        <v>198</v>
      </c>
      <c r="E1574" s="40">
        <v>8</v>
      </c>
      <c r="F1574" s="43" t="s">
        <v>45</v>
      </c>
      <c r="G1574" s="43" t="s">
        <v>187</v>
      </c>
    </row>
    <row r="1575" spans="1:7" x14ac:dyDescent="0.25">
      <c r="A1575" s="40">
        <v>1570</v>
      </c>
      <c r="B1575" s="40" t="s">
        <v>1791</v>
      </c>
      <c r="C1575" s="40" t="s">
        <v>167</v>
      </c>
      <c r="D1575" s="40" t="s">
        <v>178</v>
      </c>
      <c r="E1575" s="40">
        <v>4</v>
      </c>
      <c r="F1575" s="43" t="s">
        <v>45</v>
      </c>
      <c r="G1575" s="43" t="s">
        <v>178</v>
      </c>
    </row>
    <row r="1576" spans="1:7" x14ac:dyDescent="0.25">
      <c r="A1576" s="40">
        <v>1571</v>
      </c>
      <c r="B1576" s="40" t="s">
        <v>1792</v>
      </c>
      <c r="C1576" s="40" t="s">
        <v>167</v>
      </c>
      <c r="D1576" s="40" t="s">
        <v>192</v>
      </c>
      <c r="E1576" s="40">
        <v>7</v>
      </c>
      <c r="F1576" s="43" t="s">
        <v>45</v>
      </c>
      <c r="G1576" s="43" t="s">
        <v>192</v>
      </c>
    </row>
    <row r="1577" spans="1:7" x14ac:dyDescent="0.25">
      <c r="A1577" s="40">
        <v>1572</v>
      </c>
      <c r="B1577" s="40" t="s">
        <v>1793</v>
      </c>
      <c r="C1577" s="40" t="s">
        <v>167</v>
      </c>
      <c r="D1577" s="40" t="s">
        <v>195</v>
      </c>
      <c r="E1577" s="40">
        <v>3</v>
      </c>
      <c r="F1577" s="43" t="s">
        <v>45</v>
      </c>
      <c r="G1577" s="43" t="s">
        <v>2006</v>
      </c>
    </row>
    <row r="1578" spans="1:7" x14ac:dyDescent="0.25">
      <c r="A1578" s="40">
        <v>1573</v>
      </c>
      <c r="B1578" s="40" t="s">
        <v>1794</v>
      </c>
      <c r="C1578" s="40" t="s">
        <v>167</v>
      </c>
      <c r="D1578" s="40" t="s">
        <v>1943</v>
      </c>
      <c r="E1578" s="40">
        <v>7</v>
      </c>
      <c r="F1578" s="43" t="s">
        <v>45</v>
      </c>
      <c r="G1578" s="43" t="s">
        <v>183</v>
      </c>
    </row>
    <row r="1579" spans="1:7" x14ac:dyDescent="0.25">
      <c r="A1579" s="40">
        <v>1574</v>
      </c>
      <c r="B1579" s="40" t="s">
        <v>1795</v>
      </c>
      <c r="C1579" s="40" t="s">
        <v>167</v>
      </c>
      <c r="D1579" s="40" t="s">
        <v>1944</v>
      </c>
      <c r="E1579" s="40">
        <v>2</v>
      </c>
      <c r="F1579" s="43" t="s">
        <v>45</v>
      </c>
      <c r="G1579" s="43" t="s">
        <v>183</v>
      </c>
    </row>
    <row r="1580" spans="1:7" x14ac:dyDescent="0.25">
      <c r="A1580" s="40">
        <v>1575</v>
      </c>
      <c r="B1580" s="40" t="s">
        <v>1796</v>
      </c>
      <c r="C1580" s="40" t="s">
        <v>167</v>
      </c>
      <c r="D1580" s="40" t="s">
        <v>193</v>
      </c>
      <c r="E1580" s="40">
        <v>7</v>
      </c>
      <c r="F1580" s="43" t="s">
        <v>51</v>
      </c>
    </row>
    <row r="1581" spans="1:7" x14ac:dyDescent="0.25">
      <c r="A1581" s="40">
        <v>1576</v>
      </c>
      <c r="B1581" s="40" t="s">
        <v>1797</v>
      </c>
      <c r="C1581" s="40" t="s">
        <v>167</v>
      </c>
      <c r="D1581" s="40" t="s">
        <v>2007</v>
      </c>
      <c r="E1581" s="40">
        <v>7</v>
      </c>
      <c r="F1581" s="43" t="s">
        <v>45</v>
      </c>
      <c r="G1581" s="43" t="s">
        <v>179</v>
      </c>
    </row>
    <row r="1582" spans="1:7" x14ac:dyDescent="0.25">
      <c r="A1582" s="40">
        <v>1577</v>
      </c>
      <c r="B1582" s="40" t="s">
        <v>1798</v>
      </c>
      <c r="C1582" s="40" t="s">
        <v>168</v>
      </c>
      <c r="D1582" s="40" t="s">
        <v>181</v>
      </c>
      <c r="E1582" s="40">
        <v>5</v>
      </c>
      <c r="F1582" s="43" t="s">
        <v>45</v>
      </c>
      <c r="G1582" s="43" t="s">
        <v>179</v>
      </c>
    </row>
    <row r="1583" spans="1:7" x14ac:dyDescent="0.25">
      <c r="A1583" s="40">
        <v>1578</v>
      </c>
      <c r="B1583" s="40" t="s">
        <v>1799</v>
      </c>
      <c r="C1583" s="40" t="s">
        <v>167</v>
      </c>
      <c r="D1583" s="40" t="s">
        <v>174</v>
      </c>
      <c r="E1583" s="40">
        <v>4</v>
      </c>
      <c r="F1583" s="43" t="s">
        <v>45</v>
      </c>
      <c r="G1583" s="43" t="s">
        <v>174</v>
      </c>
    </row>
    <row r="1584" spans="1:7" x14ac:dyDescent="0.25">
      <c r="A1584" s="40">
        <v>1579</v>
      </c>
      <c r="B1584" s="40" t="s">
        <v>1800</v>
      </c>
      <c r="C1584" s="40" t="s">
        <v>167</v>
      </c>
      <c r="D1584" s="40" t="s">
        <v>193</v>
      </c>
      <c r="E1584" s="40">
        <v>9</v>
      </c>
      <c r="F1584" s="43" t="s">
        <v>45</v>
      </c>
      <c r="G1584" s="43" t="s">
        <v>1985</v>
      </c>
    </row>
    <row r="1585" spans="1:7" x14ac:dyDescent="0.25">
      <c r="A1585" s="40">
        <v>1580</v>
      </c>
      <c r="B1585" s="40" t="s">
        <v>1801</v>
      </c>
      <c r="C1585" s="40" t="s">
        <v>168</v>
      </c>
      <c r="D1585" s="40" t="s">
        <v>193</v>
      </c>
      <c r="E1585" s="40">
        <v>12</v>
      </c>
      <c r="F1585" s="43" t="s">
        <v>45</v>
      </c>
      <c r="G1585" s="43" t="s">
        <v>1985</v>
      </c>
    </row>
    <row r="1586" spans="1:7" x14ac:dyDescent="0.25">
      <c r="A1586" s="40">
        <v>1581</v>
      </c>
      <c r="B1586" s="40" t="s">
        <v>1802</v>
      </c>
      <c r="C1586" s="40" t="s">
        <v>168</v>
      </c>
      <c r="D1586" s="40" t="s">
        <v>1944</v>
      </c>
      <c r="E1586" s="40">
        <v>9</v>
      </c>
      <c r="F1586" s="43" t="s">
        <v>45</v>
      </c>
      <c r="G1586" s="43" t="s">
        <v>183</v>
      </c>
    </row>
    <row r="1587" spans="1:7" x14ac:dyDescent="0.25">
      <c r="A1587" s="40">
        <v>1582</v>
      </c>
      <c r="B1587" s="40" t="s">
        <v>1803</v>
      </c>
      <c r="C1587" s="40" t="s">
        <v>168</v>
      </c>
      <c r="D1587" s="40" t="s">
        <v>193</v>
      </c>
      <c r="E1587" s="40">
        <v>5</v>
      </c>
      <c r="F1587" s="43" t="s">
        <v>45</v>
      </c>
      <c r="G1587" s="43" t="s">
        <v>1985</v>
      </c>
    </row>
    <row r="1588" spans="1:7" x14ac:dyDescent="0.25">
      <c r="A1588" s="40">
        <v>1583</v>
      </c>
      <c r="B1588" s="40" t="s">
        <v>1804</v>
      </c>
      <c r="C1588" s="40" t="s">
        <v>167</v>
      </c>
      <c r="D1588" s="40" t="s">
        <v>193</v>
      </c>
      <c r="E1588" s="40">
        <v>3</v>
      </c>
      <c r="F1588" s="43" t="s">
        <v>45</v>
      </c>
      <c r="G1588" s="43" t="s">
        <v>169</v>
      </c>
    </row>
    <row r="1589" spans="1:7" x14ac:dyDescent="0.25">
      <c r="A1589" s="40">
        <v>1584</v>
      </c>
      <c r="B1589" s="40" t="s">
        <v>1805</v>
      </c>
      <c r="C1589" s="40" t="s">
        <v>168</v>
      </c>
      <c r="D1589" s="40" t="s">
        <v>193</v>
      </c>
      <c r="E1589" s="40">
        <v>7</v>
      </c>
      <c r="F1589" s="43" t="s">
        <v>45</v>
      </c>
      <c r="G1589" s="43" t="s">
        <v>1985</v>
      </c>
    </row>
    <row r="1590" spans="1:7" x14ac:dyDescent="0.25">
      <c r="A1590" s="40">
        <v>1585</v>
      </c>
      <c r="B1590" s="40" t="s">
        <v>1806</v>
      </c>
      <c r="C1590" s="40" t="s">
        <v>167</v>
      </c>
      <c r="D1590" s="40" t="s">
        <v>1944</v>
      </c>
      <c r="E1590" s="40">
        <v>9</v>
      </c>
      <c r="F1590" s="43" t="s">
        <v>45</v>
      </c>
      <c r="G1590" s="43" t="s">
        <v>183</v>
      </c>
    </row>
    <row r="1591" spans="1:7" x14ac:dyDescent="0.25">
      <c r="A1591" s="40">
        <v>1586</v>
      </c>
      <c r="B1591" s="40" t="s">
        <v>1807</v>
      </c>
      <c r="C1591" s="40" t="s">
        <v>167</v>
      </c>
      <c r="D1591" s="40" t="s">
        <v>172</v>
      </c>
      <c r="E1591" s="40">
        <v>5</v>
      </c>
      <c r="F1591" s="43" t="s">
        <v>45</v>
      </c>
      <c r="G1591" s="43" t="s">
        <v>172</v>
      </c>
    </row>
    <row r="1592" spans="1:7" x14ac:dyDescent="0.25">
      <c r="A1592" s="40">
        <v>1587</v>
      </c>
      <c r="B1592" s="40" t="s">
        <v>1808</v>
      </c>
      <c r="C1592" s="40" t="s">
        <v>168</v>
      </c>
      <c r="D1592" s="40" t="s">
        <v>1948</v>
      </c>
      <c r="E1592" s="40">
        <v>9</v>
      </c>
      <c r="F1592" s="43" t="s">
        <v>45</v>
      </c>
      <c r="G1592" s="43" t="s">
        <v>190</v>
      </c>
    </row>
    <row r="1593" spans="1:7" x14ac:dyDescent="0.25">
      <c r="A1593" s="40">
        <v>1588</v>
      </c>
      <c r="B1593" s="40" t="s">
        <v>1809</v>
      </c>
      <c r="C1593" s="40" t="s">
        <v>167</v>
      </c>
      <c r="D1593" s="40" t="s">
        <v>1948</v>
      </c>
      <c r="E1593" s="40">
        <v>7</v>
      </c>
      <c r="F1593" s="43" t="s">
        <v>45</v>
      </c>
      <c r="G1593" s="43" t="s">
        <v>190</v>
      </c>
    </row>
    <row r="1594" spans="1:7" x14ac:dyDescent="0.25">
      <c r="A1594" s="40">
        <v>1589</v>
      </c>
      <c r="B1594" s="40" t="s">
        <v>1810</v>
      </c>
      <c r="C1594" s="40" t="s">
        <v>167</v>
      </c>
      <c r="D1594" s="40" t="s">
        <v>1932</v>
      </c>
      <c r="E1594" s="40">
        <v>5</v>
      </c>
      <c r="F1594" s="43" t="s">
        <v>45</v>
      </c>
      <c r="G1594" s="43" t="s">
        <v>1980</v>
      </c>
    </row>
    <row r="1595" spans="1:7" x14ac:dyDescent="0.25">
      <c r="A1595" s="40">
        <v>1590</v>
      </c>
      <c r="B1595" s="40" t="s">
        <v>1811</v>
      </c>
      <c r="C1595" s="40" t="s">
        <v>168</v>
      </c>
      <c r="D1595" s="40" t="s">
        <v>176</v>
      </c>
      <c r="E1595" s="40">
        <v>6</v>
      </c>
      <c r="F1595" s="43" t="s">
        <v>45</v>
      </c>
      <c r="G1595" s="43" t="s">
        <v>176</v>
      </c>
    </row>
    <row r="1596" spans="1:7" x14ac:dyDescent="0.25">
      <c r="A1596" s="40">
        <v>1591</v>
      </c>
      <c r="B1596" s="40" t="s">
        <v>1812</v>
      </c>
      <c r="C1596" s="40" t="s">
        <v>168</v>
      </c>
      <c r="D1596" s="40" t="s">
        <v>1936</v>
      </c>
      <c r="E1596" s="40">
        <v>4</v>
      </c>
      <c r="F1596" s="43" t="s">
        <v>45</v>
      </c>
      <c r="G1596" s="43" t="s">
        <v>2006</v>
      </c>
    </row>
    <row r="1597" spans="1:7" x14ac:dyDescent="0.25">
      <c r="A1597" s="40">
        <v>1592</v>
      </c>
      <c r="B1597" s="40" t="s">
        <v>1813</v>
      </c>
      <c r="C1597" s="40" t="s">
        <v>168</v>
      </c>
      <c r="D1597" s="40" t="s">
        <v>1938</v>
      </c>
      <c r="E1597" s="40">
        <v>1</v>
      </c>
      <c r="F1597" s="43" t="s">
        <v>45</v>
      </c>
      <c r="G1597" s="43" t="s">
        <v>190</v>
      </c>
    </row>
    <row r="1598" spans="1:7" x14ac:dyDescent="0.25">
      <c r="A1598" s="40">
        <v>1593</v>
      </c>
      <c r="B1598" s="40" t="s">
        <v>1814</v>
      </c>
      <c r="C1598" s="40" t="s">
        <v>168</v>
      </c>
      <c r="D1598" s="40" t="s">
        <v>1971</v>
      </c>
      <c r="E1598" s="40">
        <v>6</v>
      </c>
      <c r="F1598" s="43" t="s">
        <v>45</v>
      </c>
      <c r="G1598" s="43" t="s">
        <v>174</v>
      </c>
    </row>
    <row r="1599" spans="1:7" x14ac:dyDescent="0.25">
      <c r="A1599" s="40">
        <v>1594</v>
      </c>
      <c r="B1599" s="40" t="s">
        <v>1815</v>
      </c>
      <c r="C1599" s="40" t="s">
        <v>167</v>
      </c>
      <c r="D1599" s="40" t="s">
        <v>1938</v>
      </c>
      <c r="E1599" s="40">
        <v>4</v>
      </c>
      <c r="F1599" s="43" t="s">
        <v>45</v>
      </c>
      <c r="G1599" s="43" t="s">
        <v>190</v>
      </c>
    </row>
    <row r="1600" spans="1:7" x14ac:dyDescent="0.25">
      <c r="A1600" s="40">
        <v>1595</v>
      </c>
      <c r="B1600" s="40" t="s">
        <v>1816</v>
      </c>
      <c r="C1600" s="40" t="s">
        <v>168</v>
      </c>
      <c r="D1600" s="40" t="s">
        <v>1938</v>
      </c>
      <c r="E1600" s="40">
        <v>4</v>
      </c>
      <c r="F1600" s="43" t="s">
        <v>45</v>
      </c>
      <c r="G1600" s="43" t="s">
        <v>190</v>
      </c>
    </row>
    <row r="1601" spans="1:7" x14ac:dyDescent="0.25">
      <c r="A1601" s="40">
        <v>1596</v>
      </c>
      <c r="B1601" s="40" t="s">
        <v>1817</v>
      </c>
      <c r="C1601" s="40" t="s">
        <v>168</v>
      </c>
      <c r="D1601" s="40" t="s">
        <v>181</v>
      </c>
      <c r="E1601" s="40">
        <v>4</v>
      </c>
      <c r="F1601" s="43" t="s">
        <v>45</v>
      </c>
      <c r="G1601" s="43" t="s">
        <v>181</v>
      </c>
    </row>
    <row r="1602" spans="1:7" x14ac:dyDescent="0.25">
      <c r="A1602" s="40">
        <v>1597</v>
      </c>
      <c r="B1602" s="40" t="s">
        <v>1818</v>
      </c>
      <c r="C1602" s="40" t="s">
        <v>168</v>
      </c>
      <c r="D1602" s="40" t="s">
        <v>1938</v>
      </c>
      <c r="E1602" s="40">
        <v>9</v>
      </c>
      <c r="F1602" s="43" t="s">
        <v>45</v>
      </c>
      <c r="G1602" s="43" t="s">
        <v>190</v>
      </c>
    </row>
    <row r="1603" spans="1:7" x14ac:dyDescent="0.25">
      <c r="A1603" s="40">
        <v>1598</v>
      </c>
      <c r="B1603" s="40" t="s">
        <v>1819</v>
      </c>
      <c r="C1603" s="40" t="s">
        <v>168</v>
      </c>
      <c r="D1603" s="40" t="s">
        <v>198</v>
      </c>
      <c r="E1603" s="40">
        <v>7</v>
      </c>
      <c r="F1603" s="43" t="s">
        <v>45</v>
      </c>
      <c r="G1603" s="43" t="s">
        <v>188</v>
      </c>
    </row>
    <row r="1604" spans="1:7" x14ac:dyDescent="0.25">
      <c r="A1604" s="40">
        <v>1599</v>
      </c>
      <c r="B1604" s="40" t="s">
        <v>1820</v>
      </c>
      <c r="C1604" s="40" t="s">
        <v>168</v>
      </c>
      <c r="D1604" s="40" t="s">
        <v>1938</v>
      </c>
      <c r="E1604" s="40">
        <v>6</v>
      </c>
      <c r="F1604" s="43" t="s">
        <v>45</v>
      </c>
      <c r="G1604" s="43" t="s">
        <v>190</v>
      </c>
    </row>
    <row r="1605" spans="1:7" x14ac:dyDescent="0.25">
      <c r="A1605" s="40">
        <v>1600</v>
      </c>
      <c r="B1605" s="40" t="s">
        <v>1821</v>
      </c>
      <c r="C1605" s="40" t="s">
        <v>167</v>
      </c>
      <c r="D1605" s="40" t="s">
        <v>1963</v>
      </c>
      <c r="E1605" s="40">
        <v>3</v>
      </c>
      <c r="F1605" s="43" t="s">
        <v>45</v>
      </c>
      <c r="G1605" s="43" t="s">
        <v>190</v>
      </c>
    </row>
    <row r="1606" spans="1:7" x14ac:dyDescent="0.25">
      <c r="A1606" s="40">
        <v>1601</v>
      </c>
      <c r="B1606" s="40" t="s">
        <v>1822</v>
      </c>
      <c r="C1606" s="40" t="s">
        <v>168</v>
      </c>
      <c r="D1606" s="40" t="s">
        <v>1940</v>
      </c>
      <c r="E1606" s="40">
        <v>2</v>
      </c>
      <c r="F1606" s="43" t="s">
        <v>45</v>
      </c>
      <c r="G1606" s="43" t="s">
        <v>1984</v>
      </c>
    </row>
    <row r="1607" spans="1:7" x14ac:dyDescent="0.25">
      <c r="A1607" s="40">
        <v>1602</v>
      </c>
      <c r="B1607" s="40" t="s">
        <v>1823</v>
      </c>
      <c r="C1607" s="40" t="s">
        <v>167</v>
      </c>
      <c r="D1607" s="40" t="s">
        <v>1943</v>
      </c>
      <c r="E1607" s="40">
        <v>9</v>
      </c>
      <c r="F1607" s="43" t="s">
        <v>45</v>
      </c>
      <c r="G1607" s="43" t="s">
        <v>183</v>
      </c>
    </row>
    <row r="1608" spans="1:7" x14ac:dyDescent="0.25">
      <c r="A1608" s="40">
        <v>1603</v>
      </c>
      <c r="B1608" s="40" t="s">
        <v>1824</v>
      </c>
      <c r="C1608" s="40" t="s">
        <v>168</v>
      </c>
      <c r="D1608" s="40" t="s">
        <v>1934</v>
      </c>
      <c r="E1608" s="40">
        <v>9</v>
      </c>
      <c r="F1608" s="43" t="s">
        <v>45</v>
      </c>
      <c r="G1608" s="43" t="s">
        <v>182</v>
      </c>
    </row>
    <row r="1609" spans="1:7" x14ac:dyDescent="0.25">
      <c r="A1609" s="40">
        <v>1604</v>
      </c>
      <c r="B1609" s="40" t="s">
        <v>1825</v>
      </c>
      <c r="C1609" s="40" t="s">
        <v>168</v>
      </c>
      <c r="D1609" s="40" t="s">
        <v>186</v>
      </c>
      <c r="E1609" s="40">
        <v>5</v>
      </c>
      <c r="F1609" s="43" t="s">
        <v>45</v>
      </c>
      <c r="G1609" s="43" t="s">
        <v>186</v>
      </c>
    </row>
    <row r="1610" spans="1:7" x14ac:dyDescent="0.25">
      <c r="A1610" s="40">
        <v>1605</v>
      </c>
      <c r="B1610" s="40" t="s">
        <v>1826</v>
      </c>
      <c r="C1610" s="40" t="s">
        <v>167</v>
      </c>
      <c r="D1610" s="40" t="s">
        <v>1949</v>
      </c>
      <c r="E1610" s="40">
        <v>7</v>
      </c>
      <c r="F1610" s="43" t="s">
        <v>45</v>
      </c>
      <c r="G1610" s="43" t="s">
        <v>190</v>
      </c>
    </row>
    <row r="1611" spans="1:7" x14ac:dyDescent="0.25">
      <c r="A1611" s="40">
        <v>1606</v>
      </c>
      <c r="B1611" s="40" t="s">
        <v>1827</v>
      </c>
      <c r="C1611" s="40" t="s">
        <v>167</v>
      </c>
      <c r="D1611" s="40" t="s">
        <v>2007</v>
      </c>
      <c r="E1611" s="40">
        <v>6</v>
      </c>
      <c r="F1611" s="43" t="s">
        <v>45</v>
      </c>
      <c r="G1611" s="43" t="s">
        <v>179</v>
      </c>
    </row>
    <row r="1612" spans="1:7" x14ac:dyDescent="0.25">
      <c r="A1612" s="40">
        <v>1607</v>
      </c>
      <c r="B1612" s="40" t="s">
        <v>1828</v>
      </c>
      <c r="C1612" s="40" t="s">
        <v>167</v>
      </c>
      <c r="D1612" s="40" t="s">
        <v>178</v>
      </c>
      <c r="E1612" s="40">
        <v>8</v>
      </c>
      <c r="F1612" s="43" t="s">
        <v>45</v>
      </c>
      <c r="G1612" s="43" t="s">
        <v>178</v>
      </c>
    </row>
    <row r="1613" spans="1:7" x14ac:dyDescent="0.25">
      <c r="A1613" s="40">
        <v>1608</v>
      </c>
      <c r="B1613" s="40" t="s">
        <v>1829</v>
      </c>
      <c r="C1613" s="40" t="s">
        <v>168</v>
      </c>
      <c r="D1613" s="40" t="s">
        <v>1942</v>
      </c>
      <c r="E1613" s="40">
        <v>6</v>
      </c>
      <c r="F1613" s="43" t="s">
        <v>45</v>
      </c>
      <c r="G1613" s="43" t="s">
        <v>184</v>
      </c>
    </row>
    <row r="1614" spans="1:7" x14ac:dyDescent="0.25">
      <c r="A1614" s="40">
        <v>1609</v>
      </c>
      <c r="B1614" s="40" t="s">
        <v>1830</v>
      </c>
      <c r="C1614" s="40" t="s">
        <v>168</v>
      </c>
      <c r="D1614" s="40" t="s">
        <v>1945</v>
      </c>
      <c r="E1614" s="40">
        <v>8</v>
      </c>
      <c r="F1614" s="43" t="s">
        <v>45</v>
      </c>
      <c r="G1614" s="43" t="s">
        <v>184</v>
      </c>
    </row>
    <row r="1615" spans="1:7" x14ac:dyDescent="0.25">
      <c r="A1615" s="40">
        <v>1610</v>
      </c>
      <c r="B1615" s="40" t="s">
        <v>1831</v>
      </c>
      <c r="C1615" s="40" t="s">
        <v>168</v>
      </c>
      <c r="D1615" s="40" t="s">
        <v>1952</v>
      </c>
      <c r="E1615" s="40">
        <v>3</v>
      </c>
      <c r="F1615" s="43" t="s">
        <v>45</v>
      </c>
      <c r="G1615" s="43" t="s">
        <v>184</v>
      </c>
    </row>
    <row r="1616" spans="1:7" x14ac:dyDescent="0.25">
      <c r="A1616" s="40">
        <v>1611</v>
      </c>
      <c r="B1616" s="40" t="s">
        <v>1832</v>
      </c>
      <c r="C1616" s="40" t="s">
        <v>168</v>
      </c>
      <c r="D1616" s="40" t="s">
        <v>1942</v>
      </c>
      <c r="E1616" s="40">
        <v>6</v>
      </c>
      <c r="F1616" s="43" t="s">
        <v>45</v>
      </c>
      <c r="G1616" s="43" t="s">
        <v>184</v>
      </c>
    </row>
    <row r="1617" spans="1:7" x14ac:dyDescent="0.25">
      <c r="A1617" s="40">
        <v>1612</v>
      </c>
      <c r="B1617" s="40" t="s">
        <v>1833</v>
      </c>
      <c r="C1617" s="40" t="s">
        <v>168</v>
      </c>
      <c r="D1617" s="40" t="s">
        <v>1952</v>
      </c>
      <c r="E1617" s="40">
        <v>6</v>
      </c>
      <c r="F1617" s="43" t="s">
        <v>45</v>
      </c>
      <c r="G1617" s="43" t="s">
        <v>184</v>
      </c>
    </row>
    <row r="1618" spans="1:7" x14ac:dyDescent="0.25">
      <c r="A1618" s="40">
        <v>1613</v>
      </c>
      <c r="B1618" s="40" t="s">
        <v>1834</v>
      </c>
      <c r="C1618" s="40" t="s">
        <v>168</v>
      </c>
      <c r="D1618" s="40" t="s">
        <v>1948</v>
      </c>
      <c r="E1618" s="40">
        <v>4</v>
      </c>
      <c r="F1618" s="43" t="s">
        <v>51</v>
      </c>
    </row>
    <row r="1619" spans="1:7" x14ac:dyDescent="0.25">
      <c r="A1619" s="40">
        <v>1614</v>
      </c>
      <c r="B1619" s="40" t="s">
        <v>1835</v>
      </c>
      <c r="C1619" s="40" t="s">
        <v>168</v>
      </c>
      <c r="D1619" s="40" t="s">
        <v>1951</v>
      </c>
      <c r="E1619" s="40">
        <v>3</v>
      </c>
      <c r="F1619" s="43" t="s">
        <v>45</v>
      </c>
      <c r="G1619" s="43" t="s">
        <v>182</v>
      </c>
    </row>
    <row r="1620" spans="1:7" x14ac:dyDescent="0.25">
      <c r="A1620" s="40">
        <v>1615</v>
      </c>
      <c r="B1620" s="40" t="s">
        <v>1836</v>
      </c>
      <c r="C1620" s="40" t="s">
        <v>168</v>
      </c>
      <c r="D1620" s="40" t="s">
        <v>1935</v>
      </c>
      <c r="E1620" s="40">
        <v>4</v>
      </c>
      <c r="F1620" s="43" t="s">
        <v>45</v>
      </c>
      <c r="G1620" s="43" t="s">
        <v>174</v>
      </c>
    </row>
    <row r="1621" spans="1:7" x14ac:dyDescent="0.25">
      <c r="A1621" s="40">
        <v>1616</v>
      </c>
      <c r="B1621" s="40" t="s">
        <v>1837</v>
      </c>
      <c r="C1621" s="40" t="s">
        <v>167</v>
      </c>
      <c r="D1621" s="40" t="s">
        <v>1964</v>
      </c>
      <c r="E1621" s="40">
        <v>3</v>
      </c>
      <c r="F1621" s="43" t="s">
        <v>45</v>
      </c>
      <c r="G1621" s="43" t="s">
        <v>2006</v>
      </c>
    </row>
    <row r="1622" spans="1:7" x14ac:dyDescent="0.25">
      <c r="A1622" s="40">
        <v>1617</v>
      </c>
      <c r="B1622" s="40" t="s">
        <v>1838</v>
      </c>
      <c r="C1622" s="40" t="s">
        <v>167</v>
      </c>
      <c r="D1622" s="40" t="s">
        <v>181</v>
      </c>
      <c r="E1622" s="40">
        <v>6</v>
      </c>
      <c r="F1622" s="43" t="s">
        <v>45</v>
      </c>
      <c r="G1622" s="43" t="s">
        <v>179</v>
      </c>
    </row>
    <row r="1623" spans="1:7" x14ac:dyDescent="0.25">
      <c r="A1623" s="40">
        <v>1618</v>
      </c>
      <c r="B1623" s="40" t="s">
        <v>1839</v>
      </c>
      <c r="C1623" s="40" t="s">
        <v>167</v>
      </c>
      <c r="D1623" s="40" t="s">
        <v>175</v>
      </c>
      <c r="E1623" s="40">
        <v>5</v>
      </c>
      <c r="F1623" s="43" t="s">
        <v>45</v>
      </c>
      <c r="G1623" s="43" t="s">
        <v>175</v>
      </c>
    </row>
    <row r="1624" spans="1:7" x14ac:dyDescent="0.25">
      <c r="A1624" s="40">
        <v>1619</v>
      </c>
      <c r="B1624" s="40" t="s">
        <v>1840</v>
      </c>
      <c r="C1624" s="40" t="s">
        <v>167</v>
      </c>
      <c r="D1624" s="40" t="s">
        <v>1941</v>
      </c>
      <c r="E1624" s="40">
        <v>5</v>
      </c>
      <c r="F1624" s="43" t="s">
        <v>45</v>
      </c>
      <c r="G1624" s="43" t="s">
        <v>1984</v>
      </c>
    </row>
    <row r="1625" spans="1:7" x14ac:dyDescent="0.25">
      <c r="A1625" s="40">
        <v>1620</v>
      </c>
      <c r="B1625" s="40" t="s">
        <v>1841</v>
      </c>
      <c r="C1625" s="40" t="s">
        <v>167</v>
      </c>
      <c r="D1625" s="40" t="s">
        <v>2005</v>
      </c>
      <c r="E1625" s="40">
        <v>7</v>
      </c>
      <c r="F1625" s="43" t="s">
        <v>45</v>
      </c>
      <c r="G1625" s="43" t="s">
        <v>2006</v>
      </c>
    </row>
    <row r="1626" spans="1:7" x14ac:dyDescent="0.25">
      <c r="A1626" s="40">
        <v>1621</v>
      </c>
      <c r="B1626" s="40" t="s">
        <v>1842</v>
      </c>
      <c r="C1626" s="40" t="s">
        <v>167</v>
      </c>
      <c r="D1626" s="40" t="s">
        <v>195</v>
      </c>
      <c r="E1626" s="40">
        <v>6</v>
      </c>
      <c r="F1626" s="43" t="s">
        <v>45</v>
      </c>
      <c r="G1626" s="43" t="s">
        <v>2006</v>
      </c>
    </row>
    <row r="1627" spans="1:7" x14ac:dyDescent="0.25">
      <c r="A1627" s="40">
        <v>1622</v>
      </c>
      <c r="B1627" s="40" t="s">
        <v>1843</v>
      </c>
      <c r="C1627" s="40" t="s">
        <v>167</v>
      </c>
      <c r="D1627" s="40" t="s">
        <v>1964</v>
      </c>
      <c r="E1627" s="40">
        <v>2</v>
      </c>
      <c r="F1627" s="43" t="s">
        <v>45</v>
      </c>
      <c r="G1627" s="43" t="s">
        <v>2006</v>
      </c>
    </row>
    <row r="1628" spans="1:7" x14ac:dyDescent="0.25">
      <c r="A1628" s="40">
        <v>1623</v>
      </c>
      <c r="B1628" s="40" t="s">
        <v>1844</v>
      </c>
      <c r="C1628" s="40" t="s">
        <v>167</v>
      </c>
      <c r="D1628" s="40" t="s">
        <v>1961</v>
      </c>
      <c r="E1628" s="40">
        <v>5</v>
      </c>
      <c r="F1628" s="43" t="s">
        <v>45</v>
      </c>
      <c r="G1628" s="43" t="s">
        <v>177</v>
      </c>
    </row>
    <row r="1629" spans="1:7" x14ac:dyDescent="0.25">
      <c r="A1629" s="40">
        <v>1624</v>
      </c>
      <c r="B1629" s="40" t="s">
        <v>1845</v>
      </c>
      <c r="C1629" s="40" t="s">
        <v>168</v>
      </c>
      <c r="D1629" s="40" t="s">
        <v>1966</v>
      </c>
      <c r="E1629" s="40">
        <v>6</v>
      </c>
      <c r="F1629" s="43" t="s">
        <v>45</v>
      </c>
      <c r="G1629" s="43" t="s">
        <v>1966</v>
      </c>
    </row>
    <row r="1630" spans="1:7" x14ac:dyDescent="0.25">
      <c r="A1630" s="40">
        <v>1625</v>
      </c>
      <c r="B1630" s="40" t="s">
        <v>1846</v>
      </c>
      <c r="C1630" s="40" t="s">
        <v>167</v>
      </c>
      <c r="D1630" s="40" t="s">
        <v>1955</v>
      </c>
      <c r="E1630" s="40">
        <v>3</v>
      </c>
      <c r="F1630" s="43" t="s">
        <v>1978</v>
      </c>
    </row>
    <row r="1631" spans="1:7" x14ac:dyDescent="0.25">
      <c r="A1631" s="40">
        <v>1626</v>
      </c>
      <c r="B1631" s="40" t="s">
        <v>1847</v>
      </c>
      <c r="C1631" s="40" t="s">
        <v>167</v>
      </c>
      <c r="D1631" s="40" t="s">
        <v>1943</v>
      </c>
      <c r="E1631" s="40">
        <v>13</v>
      </c>
      <c r="F1631" s="43" t="s">
        <v>45</v>
      </c>
      <c r="G1631" s="43" t="s">
        <v>183</v>
      </c>
    </row>
    <row r="1632" spans="1:7" x14ac:dyDescent="0.25">
      <c r="A1632" s="40">
        <v>1627</v>
      </c>
      <c r="B1632" s="40" t="s">
        <v>1848</v>
      </c>
      <c r="C1632" s="40" t="s">
        <v>168</v>
      </c>
      <c r="D1632" s="40" t="s">
        <v>1966</v>
      </c>
      <c r="E1632" s="40">
        <v>4</v>
      </c>
      <c r="F1632" s="43" t="s">
        <v>45</v>
      </c>
      <c r="G1632" s="43" t="s">
        <v>177</v>
      </c>
    </row>
    <row r="1633" spans="1:7" x14ac:dyDescent="0.25">
      <c r="A1633" s="40">
        <v>1628</v>
      </c>
      <c r="B1633" s="40" t="s">
        <v>1849</v>
      </c>
      <c r="C1633" s="40" t="s">
        <v>167</v>
      </c>
      <c r="D1633" s="40" t="s">
        <v>1943</v>
      </c>
      <c r="E1633" s="40">
        <v>6</v>
      </c>
      <c r="F1633" s="43" t="s">
        <v>45</v>
      </c>
      <c r="G1633" s="43" t="s">
        <v>183</v>
      </c>
    </row>
    <row r="1634" spans="1:7" x14ac:dyDescent="0.25">
      <c r="A1634" s="40">
        <v>1629</v>
      </c>
      <c r="B1634" s="40" t="s">
        <v>1850</v>
      </c>
      <c r="C1634" s="40" t="s">
        <v>167</v>
      </c>
      <c r="D1634" s="40" t="s">
        <v>1961</v>
      </c>
      <c r="E1634" s="40">
        <v>4</v>
      </c>
      <c r="F1634" s="43" t="s">
        <v>45</v>
      </c>
      <c r="G1634" s="43" t="s">
        <v>175</v>
      </c>
    </row>
    <row r="1635" spans="1:7" x14ac:dyDescent="0.25">
      <c r="A1635" s="40">
        <v>1630</v>
      </c>
      <c r="B1635" s="40" t="s">
        <v>1851</v>
      </c>
      <c r="C1635" s="40" t="s">
        <v>167</v>
      </c>
      <c r="D1635" s="40" t="s">
        <v>198</v>
      </c>
      <c r="E1635" s="40">
        <v>2</v>
      </c>
      <c r="F1635" s="43" t="s">
        <v>45</v>
      </c>
      <c r="G1635" s="43" t="s">
        <v>188</v>
      </c>
    </row>
    <row r="1636" spans="1:7" x14ac:dyDescent="0.25">
      <c r="A1636" s="40">
        <v>1631</v>
      </c>
      <c r="B1636" s="40" t="s">
        <v>1852</v>
      </c>
      <c r="C1636" s="40" t="s">
        <v>167</v>
      </c>
      <c r="D1636" s="40" t="s">
        <v>181</v>
      </c>
      <c r="E1636" s="40">
        <v>6</v>
      </c>
      <c r="F1636" s="43" t="s">
        <v>45</v>
      </c>
      <c r="G1636" s="43" t="s">
        <v>181</v>
      </c>
    </row>
    <row r="1637" spans="1:7" x14ac:dyDescent="0.25">
      <c r="A1637" s="40">
        <v>1632</v>
      </c>
      <c r="B1637" s="40" t="s">
        <v>1853</v>
      </c>
      <c r="C1637" s="40" t="s">
        <v>167</v>
      </c>
      <c r="D1637" s="40" t="s">
        <v>1951</v>
      </c>
      <c r="E1637" s="40">
        <v>2</v>
      </c>
      <c r="F1637" s="43" t="s">
        <v>45</v>
      </c>
      <c r="G1637" s="43" t="s">
        <v>182</v>
      </c>
    </row>
    <row r="1638" spans="1:7" x14ac:dyDescent="0.25">
      <c r="A1638" s="40">
        <v>1633</v>
      </c>
      <c r="B1638" s="40" t="s">
        <v>1854</v>
      </c>
      <c r="C1638" s="40" t="s">
        <v>167</v>
      </c>
      <c r="D1638" s="40" t="s">
        <v>1951</v>
      </c>
      <c r="E1638" s="40">
        <v>6</v>
      </c>
      <c r="F1638" s="43" t="s">
        <v>45</v>
      </c>
      <c r="G1638" s="43" t="s">
        <v>182</v>
      </c>
    </row>
    <row r="1639" spans="1:7" x14ac:dyDescent="0.25">
      <c r="A1639" s="40">
        <v>1634</v>
      </c>
      <c r="B1639" s="40" t="s">
        <v>1855</v>
      </c>
      <c r="C1639" s="40" t="s">
        <v>167</v>
      </c>
      <c r="D1639" s="40" t="s">
        <v>1932</v>
      </c>
      <c r="E1639" s="40">
        <v>4</v>
      </c>
      <c r="F1639" s="43" t="s">
        <v>45</v>
      </c>
      <c r="G1639" s="43" t="s">
        <v>181</v>
      </c>
    </row>
    <row r="1640" spans="1:7" x14ac:dyDescent="0.25">
      <c r="A1640" s="40">
        <v>1635</v>
      </c>
      <c r="B1640" s="40" t="s">
        <v>1856</v>
      </c>
      <c r="C1640" s="40" t="s">
        <v>167</v>
      </c>
      <c r="D1640" s="40" t="s">
        <v>1932</v>
      </c>
      <c r="E1640" s="40">
        <v>7</v>
      </c>
      <c r="F1640" s="43" t="s">
        <v>45</v>
      </c>
      <c r="G1640" s="43" t="s">
        <v>1980</v>
      </c>
    </row>
    <row r="1641" spans="1:7" x14ac:dyDescent="0.25">
      <c r="A1641" s="40">
        <v>1636</v>
      </c>
      <c r="B1641" s="40" t="s">
        <v>1857</v>
      </c>
      <c r="C1641" s="40" t="s">
        <v>168</v>
      </c>
      <c r="D1641" s="40" t="s">
        <v>180</v>
      </c>
      <c r="E1641" s="40">
        <v>10</v>
      </c>
      <c r="F1641" s="43" t="s">
        <v>45</v>
      </c>
      <c r="G1641" s="43" t="s">
        <v>180</v>
      </c>
    </row>
    <row r="1642" spans="1:7" x14ac:dyDescent="0.25">
      <c r="A1642" s="40">
        <v>1637</v>
      </c>
      <c r="B1642" s="40" t="s">
        <v>1858</v>
      </c>
      <c r="C1642" s="40" t="s">
        <v>167</v>
      </c>
      <c r="D1642" s="40" t="s">
        <v>1972</v>
      </c>
      <c r="E1642" s="40">
        <v>5</v>
      </c>
      <c r="F1642" s="43" t="s">
        <v>45</v>
      </c>
      <c r="G1642" s="43" t="s">
        <v>2006</v>
      </c>
    </row>
    <row r="1643" spans="1:7" x14ac:dyDescent="0.25">
      <c r="A1643" s="40">
        <v>1638</v>
      </c>
      <c r="B1643" s="40" t="s">
        <v>1859</v>
      </c>
      <c r="C1643" s="40" t="s">
        <v>167</v>
      </c>
      <c r="D1643" s="40" t="s">
        <v>1938</v>
      </c>
      <c r="E1643" s="40">
        <v>8</v>
      </c>
      <c r="F1643" s="43" t="s">
        <v>45</v>
      </c>
      <c r="G1643" s="43" t="s">
        <v>190</v>
      </c>
    </row>
    <row r="1644" spans="1:7" x14ac:dyDescent="0.25">
      <c r="A1644" s="40">
        <v>1639</v>
      </c>
      <c r="B1644" s="40" t="s">
        <v>1860</v>
      </c>
      <c r="C1644" s="40" t="s">
        <v>167</v>
      </c>
      <c r="D1644" s="40" t="s">
        <v>1938</v>
      </c>
      <c r="E1644" s="40">
        <v>6</v>
      </c>
      <c r="F1644" s="43" t="s">
        <v>45</v>
      </c>
      <c r="G1644" s="43" t="s">
        <v>190</v>
      </c>
    </row>
    <row r="1645" spans="1:7" x14ac:dyDescent="0.25">
      <c r="A1645" s="40">
        <v>1640</v>
      </c>
      <c r="B1645" s="40" t="s">
        <v>1861</v>
      </c>
      <c r="C1645" s="40" t="s">
        <v>167</v>
      </c>
      <c r="D1645" s="40" t="s">
        <v>180</v>
      </c>
      <c r="E1645" s="40">
        <v>5</v>
      </c>
      <c r="F1645" s="43" t="s">
        <v>45</v>
      </c>
      <c r="G1645" s="43" t="s">
        <v>180</v>
      </c>
    </row>
    <row r="1646" spans="1:7" x14ac:dyDescent="0.25">
      <c r="A1646" s="40">
        <v>1641</v>
      </c>
      <c r="B1646" s="40" t="s">
        <v>1862</v>
      </c>
      <c r="C1646" s="40" t="s">
        <v>167</v>
      </c>
      <c r="D1646" s="40" t="s">
        <v>1959</v>
      </c>
      <c r="E1646" s="40">
        <v>8</v>
      </c>
      <c r="F1646" s="43" t="s">
        <v>45</v>
      </c>
      <c r="G1646" s="43" t="s">
        <v>190</v>
      </c>
    </row>
    <row r="1647" spans="1:7" x14ac:dyDescent="0.25">
      <c r="A1647" s="40">
        <v>1642</v>
      </c>
      <c r="B1647" s="40" t="s">
        <v>1863</v>
      </c>
      <c r="C1647" s="40" t="s">
        <v>167</v>
      </c>
      <c r="D1647" s="40" t="s">
        <v>1959</v>
      </c>
      <c r="E1647" s="40">
        <v>5</v>
      </c>
      <c r="F1647" s="43" t="s">
        <v>45</v>
      </c>
      <c r="G1647" s="43" t="s">
        <v>191</v>
      </c>
    </row>
    <row r="1648" spans="1:7" x14ac:dyDescent="0.25">
      <c r="A1648" s="40">
        <v>1643</v>
      </c>
      <c r="B1648" s="40" t="s">
        <v>1864</v>
      </c>
      <c r="C1648" s="40" t="s">
        <v>168</v>
      </c>
      <c r="D1648" s="40" t="s">
        <v>180</v>
      </c>
      <c r="E1648" s="40">
        <v>4</v>
      </c>
      <c r="F1648" s="43" t="s">
        <v>45</v>
      </c>
      <c r="G1648" s="43" t="s">
        <v>180</v>
      </c>
    </row>
    <row r="1649" spans="1:7" x14ac:dyDescent="0.25">
      <c r="A1649" s="40">
        <v>1644</v>
      </c>
      <c r="B1649" s="40" t="s">
        <v>1865</v>
      </c>
      <c r="C1649" s="40" t="s">
        <v>167</v>
      </c>
      <c r="D1649" s="40" t="s">
        <v>1962</v>
      </c>
      <c r="E1649" s="40">
        <v>10</v>
      </c>
      <c r="F1649" s="43" t="s">
        <v>45</v>
      </c>
      <c r="G1649" s="43" t="s">
        <v>179</v>
      </c>
    </row>
    <row r="1650" spans="1:7" x14ac:dyDescent="0.25">
      <c r="A1650" s="40">
        <v>1645</v>
      </c>
      <c r="B1650" s="40" t="s">
        <v>1866</v>
      </c>
      <c r="C1650" s="40" t="s">
        <v>167</v>
      </c>
      <c r="D1650" s="40" t="s">
        <v>181</v>
      </c>
      <c r="E1650" s="40">
        <v>10</v>
      </c>
      <c r="F1650" s="43" t="s">
        <v>45</v>
      </c>
      <c r="G1650" s="43" t="s">
        <v>179</v>
      </c>
    </row>
    <row r="1651" spans="1:7" x14ac:dyDescent="0.25">
      <c r="A1651" s="40">
        <v>1646</v>
      </c>
      <c r="B1651" s="40" t="s">
        <v>1867</v>
      </c>
      <c r="C1651" s="40" t="s">
        <v>167</v>
      </c>
      <c r="D1651" s="40" t="s">
        <v>193</v>
      </c>
      <c r="E1651" s="40">
        <v>6</v>
      </c>
      <c r="F1651" s="43" t="s">
        <v>45</v>
      </c>
      <c r="G1651" s="43" t="s">
        <v>169</v>
      </c>
    </row>
    <row r="1652" spans="1:7" x14ac:dyDescent="0.25">
      <c r="A1652" s="40">
        <v>1647</v>
      </c>
      <c r="B1652" s="40" t="s">
        <v>1868</v>
      </c>
      <c r="C1652" s="40" t="s">
        <v>168</v>
      </c>
      <c r="D1652" s="40" t="s">
        <v>1949</v>
      </c>
      <c r="E1652" s="40">
        <v>8</v>
      </c>
      <c r="F1652" s="43" t="s">
        <v>45</v>
      </c>
      <c r="G1652" s="43" t="s">
        <v>190</v>
      </c>
    </row>
    <row r="1653" spans="1:7" x14ac:dyDescent="0.25">
      <c r="A1653" s="40">
        <v>1648</v>
      </c>
      <c r="B1653" s="40" t="s">
        <v>1869</v>
      </c>
      <c r="C1653" s="40" t="s">
        <v>167</v>
      </c>
      <c r="D1653" s="40" t="s">
        <v>1963</v>
      </c>
      <c r="E1653" s="40">
        <v>4</v>
      </c>
      <c r="F1653" s="43" t="s">
        <v>45</v>
      </c>
      <c r="G1653" s="43" t="s">
        <v>191</v>
      </c>
    </row>
    <row r="1654" spans="1:7" x14ac:dyDescent="0.25">
      <c r="A1654" s="40">
        <v>1649</v>
      </c>
      <c r="B1654" s="40" t="s">
        <v>1870</v>
      </c>
      <c r="C1654" s="40" t="s">
        <v>168</v>
      </c>
      <c r="D1654" s="40" t="s">
        <v>1938</v>
      </c>
      <c r="E1654" s="40">
        <v>8</v>
      </c>
      <c r="F1654" s="43" t="s">
        <v>45</v>
      </c>
      <c r="G1654" s="43" t="s">
        <v>190</v>
      </c>
    </row>
    <row r="1655" spans="1:7" x14ac:dyDescent="0.25">
      <c r="A1655" s="40">
        <v>1650</v>
      </c>
      <c r="B1655" s="40" t="s">
        <v>1871</v>
      </c>
      <c r="C1655" s="40" t="s">
        <v>167</v>
      </c>
      <c r="D1655" s="40" t="s">
        <v>1959</v>
      </c>
      <c r="E1655" s="40">
        <v>8</v>
      </c>
      <c r="F1655" s="43" t="s">
        <v>45</v>
      </c>
      <c r="G1655" s="43" t="s">
        <v>190</v>
      </c>
    </row>
    <row r="1656" spans="1:7" x14ac:dyDescent="0.25">
      <c r="A1656" s="40">
        <v>1651</v>
      </c>
      <c r="B1656" s="40" t="s">
        <v>1872</v>
      </c>
      <c r="C1656" s="40" t="s">
        <v>167</v>
      </c>
      <c r="D1656" s="40" t="s">
        <v>1967</v>
      </c>
      <c r="E1656" s="40">
        <v>8</v>
      </c>
      <c r="F1656" s="43" t="s">
        <v>45</v>
      </c>
      <c r="G1656" s="43" t="s">
        <v>172</v>
      </c>
    </row>
    <row r="1657" spans="1:7" x14ac:dyDescent="0.25">
      <c r="A1657" s="40">
        <v>1652</v>
      </c>
      <c r="B1657" s="40" t="s">
        <v>1873</v>
      </c>
      <c r="C1657" s="40" t="s">
        <v>168</v>
      </c>
      <c r="D1657" s="40" t="s">
        <v>180</v>
      </c>
      <c r="E1657" s="40">
        <v>8</v>
      </c>
      <c r="F1657" s="43" t="s">
        <v>45</v>
      </c>
      <c r="G1657" s="43" t="s">
        <v>1981</v>
      </c>
    </row>
    <row r="1658" spans="1:7" x14ac:dyDescent="0.25">
      <c r="A1658" s="40">
        <v>1653</v>
      </c>
      <c r="B1658" s="40" t="s">
        <v>1874</v>
      </c>
      <c r="C1658" s="40" t="s">
        <v>168</v>
      </c>
      <c r="D1658" s="40" t="s">
        <v>1933</v>
      </c>
      <c r="E1658" s="40">
        <v>12</v>
      </c>
      <c r="F1658" s="43" t="s">
        <v>45</v>
      </c>
      <c r="G1658" s="43" t="s">
        <v>190</v>
      </c>
    </row>
    <row r="1659" spans="1:7" x14ac:dyDescent="0.25">
      <c r="A1659" s="40">
        <v>1654</v>
      </c>
      <c r="B1659" s="40" t="s">
        <v>1875</v>
      </c>
      <c r="C1659" s="40" t="s">
        <v>167</v>
      </c>
      <c r="D1659" s="40" t="s">
        <v>1932</v>
      </c>
      <c r="E1659" s="40">
        <v>8</v>
      </c>
      <c r="F1659" s="43" t="s">
        <v>45</v>
      </c>
      <c r="G1659" s="43" t="s">
        <v>1983</v>
      </c>
    </row>
    <row r="1660" spans="1:7" x14ac:dyDescent="0.25">
      <c r="A1660" s="40">
        <v>1655</v>
      </c>
      <c r="B1660" s="40" t="s">
        <v>1876</v>
      </c>
      <c r="C1660" s="40" t="s">
        <v>168</v>
      </c>
      <c r="D1660" s="40" t="s">
        <v>192</v>
      </c>
      <c r="E1660" s="40">
        <v>6</v>
      </c>
      <c r="F1660" s="43" t="s">
        <v>45</v>
      </c>
      <c r="G1660" s="43" t="s">
        <v>192</v>
      </c>
    </row>
    <row r="1661" spans="1:7" x14ac:dyDescent="0.25">
      <c r="A1661" s="40">
        <v>1656</v>
      </c>
      <c r="B1661" s="40" t="s">
        <v>1877</v>
      </c>
      <c r="C1661" s="40" t="s">
        <v>168</v>
      </c>
      <c r="D1661" s="40" t="s">
        <v>192</v>
      </c>
      <c r="E1661" s="40">
        <v>2</v>
      </c>
      <c r="F1661" s="43" t="s">
        <v>45</v>
      </c>
      <c r="G1661" s="43" t="s">
        <v>192</v>
      </c>
    </row>
    <row r="1662" spans="1:7" x14ac:dyDescent="0.25">
      <c r="A1662" s="40">
        <v>1657</v>
      </c>
      <c r="B1662" s="40" t="s">
        <v>1878</v>
      </c>
      <c r="C1662" s="40" t="s">
        <v>168</v>
      </c>
      <c r="D1662" s="40" t="s">
        <v>192</v>
      </c>
      <c r="E1662" s="40">
        <v>1</v>
      </c>
      <c r="F1662" s="43" t="s">
        <v>45</v>
      </c>
      <c r="G1662" s="43" t="s">
        <v>192</v>
      </c>
    </row>
    <row r="1663" spans="1:7" x14ac:dyDescent="0.25">
      <c r="A1663" s="40">
        <v>1658</v>
      </c>
      <c r="B1663" s="40" t="s">
        <v>1879</v>
      </c>
      <c r="C1663" s="40" t="s">
        <v>167</v>
      </c>
      <c r="D1663" s="40" t="s">
        <v>1966</v>
      </c>
      <c r="E1663" s="40">
        <v>2</v>
      </c>
      <c r="F1663" s="43" t="s">
        <v>45</v>
      </c>
      <c r="G1663" s="43" t="s">
        <v>177</v>
      </c>
    </row>
    <row r="1664" spans="1:7" x14ac:dyDescent="0.25">
      <c r="A1664" s="40">
        <v>1659</v>
      </c>
      <c r="B1664" s="40" t="s">
        <v>1880</v>
      </c>
      <c r="C1664" s="40" t="s">
        <v>167</v>
      </c>
      <c r="D1664" s="40" t="s">
        <v>192</v>
      </c>
      <c r="E1664" s="40">
        <v>5</v>
      </c>
      <c r="F1664" s="43" t="s">
        <v>45</v>
      </c>
      <c r="G1664" s="43" t="s">
        <v>192</v>
      </c>
    </row>
    <row r="1665" spans="1:7" x14ac:dyDescent="0.25">
      <c r="A1665" s="40">
        <v>1660</v>
      </c>
      <c r="B1665" s="40" t="s">
        <v>1881</v>
      </c>
      <c r="C1665" s="40" t="s">
        <v>167</v>
      </c>
      <c r="D1665" s="40" t="s">
        <v>192</v>
      </c>
      <c r="E1665" s="40">
        <v>2</v>
      </c>
      <c r="F1665" s="43" t="s">
        <v>45</v>
      </c>
      <c r="G1665" s="43" t="s">
        <v>192</v>
      </c>
    </row>
    <row r="1666" spans="1:7" x14ac:dyDescent="0.25">
      <c r="A1666" s="40">
        <v>1661</v>
      </c>
      <c r="B1666" s="40" t="s">
        <v>1882</v>
      </c>
      <c r="C1666" s="40" t="s">
        <v>168</v>
      </c>
      <c r="D1666" s="40" t="s">
        <v>192</v>
      </c>
      <c r="E1666" s="40">
        <v>4</v>
      </c>
      <c r="F1666" s="43" t="s">
        <v>45</v>
      </c>
      <c r="G1666" s="43" t="s">
        <v>192</v>
      </c>
    </row>
    <row r="1667" spans="1:7" x14ac:dyDescent="0.25">
      <c r="A1667" s="40">
        <v>1662</v>
      </c>
      <c r="B1667" s="40" t="s">
        <v>1883</v>
      </c>
      <c r="C1667" s="40" t="s">
        <v>167</v>
      </c>
      <c r="D1667" s="40" t="s">
        <v>1935</v>
      </c>
      <c r="E1667" s="40">
        <v>8</v>
      </c>
      <c r="F1667" s="43" t="s">
        <v>45</v>
      </c>
      <c r="G1667" s="43" t="s">
        <v>182</v>
      </c>
    </row>
    <row r="1668" spans="1:7" x14ac:dyDescent="0.25">
      <c r="A1668" s="40">
        <v>1663</v>
      </c>
      <c r="B1668" s="40" t="s">
        <v>1884</v>
      </c>
      <c r="C1668" s="40" t="s">
        <v>167</v>
      </c>
      <c r="D1668" s="40" t="s">
        <v>1951</v>
      </c>
      <c r="E1668" s="40">
        <v>2</v>
      </c>
      <c r="F1668" s="43" t="s">
        <v>45</v>
      </c>
      <c r="G1668" s="43" t="s">
        <v>182</v>
      </c>
    </row>
    <row r="1669" spans="1:7" x14ac:dyDescent="0.25">
      <c r="A1669" s="40">
        <v>1664</v>
      </c>
      <c r="B1669" s="40" t="s">
        <v>1885</v>
      </c>
      <c r="C1669" s="40" t="s">
        <v>167</v>
      </c>
      <c r="D1669" s="40" t="s">
        <v>181</v>
      </c>
      <c r="E1669" s="40">
        <v>10</v>
      </c>
      <c r="F1669" s="43" t="s">
        <v>45</v>
      </c>
      <c r="G1669" s="43" t="s">
        <v>181</v>
      </c>
    </row>
    <row r="1670" spans="1:7" x14ac:dyDescent="0.25">
      <c r="A1670" s="40">
        <v>1665</v>
      </c>
      <c r="B1670" s="40" t="s">
        <v>1886</v>
      </c>
      <c r="C1670" s="40" t="s">
        <v>167</v>
      </c>
      <c r="D1670" s="40" t="s">
        <v>1940</v>
      </c>
      <c r="E1670" s="40">
        <v>5</v>
      </c>
      <c r="F1670" s="43" t="s">
        <v>45</v>
      </c>
      <c r="G1670" s="43" t="s">
        <v>1984</v>
      </c>
    </row>
    <row r="1671" spans="1:7" x14ac:dyDescent="0.25">
      <c r="A1671" s="40">
        <v>1666</v>
      </c>
      <c r="B1671" s="40" t="s">
        <v>1887</v>
      </c>
      <c r="C1671" s="40" t="s">
        <v>168</v>
      </c>
      <c r="D1671" s="40" t="s">
        <v>181</v>
      </c>
      <c r="E1671" s="40">
        <v>4</v>
      </c>
      <c r="F1671" s="43" t="s">
        <v>45</v>
      </c>
      <c r="G1671" s="43" t="s">
        <v>181</v>
      </c>
    </row>
    <row r="1672" spans="1:7" x14ac:dyDescent="0.25">
      <c r="A1672" s="40">
        <v>1667</v>
      </c>
      <c r="B1672" s="40" t="s">
        <v>1888</v>
      </c>
      <c r="C1672" s="40" t="s">
        <v>168</v>
      </c>
      <c r="D1672" s="40" t="s">
        <v>1955</v>
      </c>
      <c r="E1672" s="40">
        <v>7</v>
      </c>
      <c r="F1672" s="43" t="s">
        <v>1978</v>
      </c>
    </row>
    <row r="1673" spans="1:7" x14ac:dyDescent="0.25">
      <c r="A1673" s="40">
        <v>1668</v>
      </c>
      <c r="B1673" s="40" t="s">
        <v>1889</v>
      </c>
      <c r="C1673" s="40" t="s">
        <v>167</v>
      </c>
      <c r="D1673" s="40" t="s">
        <v>181</v>
      </c>
      <c r="E1673" s="40">
        <v>8</v>
      </c>
      <c r="F1673" s="43" t="s">
        <v>45</v>
      </c>
      <c r="G1673" s="43" t="s">
        <v>179</v>
      </c>
    </row>
    <row r="1674" spans="1:7" x14ac:dyDescent="0.25">
      <c r="A1674" s="40">
        <v>1669</v>
      </c>
      <c r="B1674" s="40" t="s">
        <v>1890</v>
      </c>
      <c r="C1674" s="40" t="s">
        <v>167</v>
      </c>
      <c r="D1674" s="40" t="s">
        <v>1932</v>
      </c>
      <c r="E1674" s="40">
        <v>4</v>
      </c>
      <c r="F1674" s="43" t="s">
        <v>45</v>
      </c>
      <c r="G1674" s="43" t="s">
        <v>1980</v>
      </c>
    </row>
    <row r="1675" spans="1:7" x14ac:dyDescent="0.25">
      <c r="A1675" s="40">
        <v>1670</v>
      </c>
      <c r="B1675" s="40" t="s">
        <v>1891</v>
      </c>
      <c r="C1675" s="40" t="s">
        <v>168</v>
      </c>
      <c r="D1675" s="40" t="s">
        <v>192</v>
      </c>
      <c r="E1675" s="40">
        <v>5</v>
      </c>
      <c r="F1675" s="43" t="s">
        <v>45</v>
      </c>
      <c r="G1675" s="43" t="s">
        <v>192</v>
      </c>
    </row>
    <row r="1676" spans="1:7" x14ac:dyDescent="0.25">
      <c r="A1676" s="40">
        <v>1671</v>
      </c>
      <c r="B1676" s="40" t="s">
        <v>1892</v>
      </c>
      <c r="C1676" s="40" t="s">
        <v>168</v>
      </c>
      <c r="D1676" s="40" t="s">
        <v>193</v>
      </c>
      <c r="E1676" s="40">
        <v>4</v>
      </c>
      <c r="F1676" s="43" t="s">
        <v>45</v>
      </c>
      <c r="G1676" s="43" t="s">
        <v>169</v>
      </c>
    </row>
    <row r="1677" spans="1:7" x14ac:dyDescent="0.25">
      <c r="A1677" s="40">
        <v>1672</v>
      </c>
      <c r="B1677" s="40" t="s">
        <v>1893</v>
      </c>
      <c r="C1677" s="40" t="s">
        <v>167</v>
      </c>
      <c r="D1677" s="40" t="s">
        <v>1966</v>
      </c>
      <c r="E1677" s="40">
        <v>2</v>
      </c>
      <c r="F1677" s="43" t="s">
        <v>45</v>
      </c>
      <c r="G1677" s="43" t="s">
        <v>177</v>
      </c>
    </row>
    <row r="1678" spans="1:7" x14ac:dyDescent="0.25">
      <c r="A1678" s="40">
        <v>1673</v>
      </c>
      <c r="B1678" s="40" t="s">
        <v>1894</v>
      </c>
      <c r="C1678" s="40" t="s">
        <v>168</v>
      </c>
      <c r="D1678" s="40" t="s">
        <v>198</v>
      </c>
      <c r="E1678" s="40">
        <v>5</v>
      </c>
      <c r="F1678" s="43" t="s">
        <v>51</v>
      </c>
    </row>
    <row r="1679" spans="1:7" x14ac:dyDescent="0.25">
      <c r="A1679" s="40">
        <v>1674</v>
      </c>
      <c r="B1679" s="40" t="s">
        <v>1895</v>
      </c>
      <c r="C1679" s="40" t="s">
        <v>167</v>
      </c>
      <c r="D1679" s="40" t="s">
        <v>180</v>
      </c>
      <c r="E1679" s="40">
        <v>9</v>
      </c>
      <c r="F1679" s="43" t="s">
        <v>45</v>
      </c>
      <c r="G1679" s="43" t="s">
        <v>180</v>
      </c>
    </row>
    <row r="1680" spans="1:7" x14ac:dyDescent="0.25">
      <c r="A1680" s="40">
        <v>1675</v>
      </c>
      <c r="B1680" s="40" t="s">
        <v>1896</v>
      </c>
      <c r="C1680" s="40" t="s">
        <v>167</v>
      </c>
      <c r="D1680" s="40" t="s">
        <v>1948</v>
      </c>
      <c r="E1680" s="40">
        <v>5</v>
      </c>
      <c r="F1680" s="43" t="s">
        <v>45</v>
      </c>
      <c r="G1680" s="43" t="s">
        <v>190</v>
      </c>
    </row>
    <row r="1681" spans="1:7" x14ac:dyDescent="0.25">
      <c r="A1681" s="40">
        <v>1676</v>
      </c>
      <c r="B1681" s="40" t="s">
        <v>1897</v>
      </c>
      <c r="C1681" s="40" t="s">
        <v>167</v>
      </c>
      <c r="D1681" s="40" t="s">
        <v>1961</v>
      </c>
      <c r="E1681" s="40">
        <v>2</v>
      </c>
      <c r="F1681" s="43" t="s">
        <v>45</v>
      </c>
      <c r="G1681" s="43" t="s">
        <v>175</v>
      </c>
    </row>
    <row r="1682" spans="1:7" x14ac:dyDescent="0.25">
      <c r="A1682" s="40">
        <v>1677</v>
      </c>
      <c r="B1682" s="40" t="s">
        <v>1898</v>
      </c>
      <c r="C1682" s="40" t="s">
        <v>167</v>
      </c>
      <c r="D1682" s="40" t="s">
        <v>2007</v>
      </c>
      <c r="E1682" s="40">
        <v>5</v>
      </c>
      <c r="F1682" s="43" t="s">
        <v>45</v>
      </c>
      <c r="G1682" s="43" t="s">
        <v>179</v>
      </c>
    </row>
    <row r="1683" spans="1:7" x14ac:dyDescent="0.25">
      <c r="A1683" s="40">
        <v>1678</v>
      </c>
      <c r="B1683" s="40" t="s">
        <v>1899</v>
      </c>
      <c r="C1683" s="40" t="s">
        <v>167</v>
      </c>
      <c r="D1683" s="40" t="s">
        <v>1941</v>
      </c>
      <c r="E1683" s="40">
        <v>8</v>
      </c>
      <c r="F1683" s="43" t="s">
        <v>45</v>
      </c>
      <c r="G1683" s="43" t="s">
        <v>1984</v>
      </c>
    </row>
    <row r="1684" spans="1:7" x14ac:dyDescent="0.25">
      <c r="A1684" s="40">
        <v>1679</v>
      </c>
      <c r="B1684" s="40" t="s">
        <v>1900</v>
      </c>
      <c r="C1684" s="40" t="s">
        <v>167</v>
      </c>
      <c r="D1684" s="40" t="s">
        <v>1938</v>
      </c>
      <c r="E1684" s="40">
        <v>2</v>
      </c>
      <c r="F1684" s="43" t="s">
        <v>45</v>
      </c>
      <c r="G1684" s="43" t="s">
        <v>190</v>
      </c>
    </row>
    <row r="1685" spans="1:7" x14ac:dyDescent="0.25">
      <c r="A1685" s="40">
        <v>1680</v>
      </c>
      <c r="B1685" s="40" t="s">
        <v>1901</v>
      </c>
      <c r="C1685" s="40" t="s">
        <v>168</v>
      </c>
      <c r="D1685" s="40" t="s">
        <v>1961</v>
      </c>
      <c r="E1685" s="40">
        <v>4</v>
      </c>
      <c r="F1685" s="43" t="s">
        <v>45</v>
      </c>
      <c r="G1685" s="43" t="s">
        <v>175</v>
      </c>
    </row>
    <row r="1686" spans="1:7" x14ac:dyDescent="0.25">
      <c r="A1686" s="40">
        <v>1681</v>
      </c>
      <c r="B1686" s="40" t="s">
        <v>1902</v>
      </c>
      <c r="C1686" s="40" t="s">
        <v>168</v>
      </c>
      <c r="D1686" s="40" t="s">
        <v>198</v>
      </c>
      <c r="E1686" s="40">
        <v>3</v>
      </c>
      <c r="F1686" s="43" t="s">
        <v>51</v>
      </c>
    </row>
    <row r="1687" spans="1:7" x14ac:dyDescent="0.25">
      <c r="A1687" s="40">
        <v>1682</v>
      </c>
      <c r="B1687" s="40" t="s">
        <v>1903</v>
      </c>
      <c r="C1687" s="40" t="s">
        <v>167</v>
      </c>
      <c r="D1687" s="40" t="s">
        <v>1942</v>
      </c>
      <c r="E1687" s="40">
        <v>4</v>
      </c>
      <c r="F1687" s="43" t="s">
        <v>45</v>
      </c>
      <c r="G1687" s="43" t="s">
        <v>184</v>
      </c>
    </row>
    <row r="1688" spans="1:7" x14ac:dyDescent="0.25">
      <c r="A1688" s="40">
        <v>1683</v>
      </c>
      <c r="B1688" s="40" t="s">
        <v>1904</v>
      </c>
      <c r="C1688" s="40" t="s">
        <v>168</v>
      </c>
      <c r="D1688" s="40" t="s">
        <v>180</v>
      </c>
      <c r="E1688" s="40">
        <v>2</v>
      </c>
      <c r="F1688" s="43" t="s">
        <v>45</v>
      </c>
      <c r="G1688" s="43" t="s">
        <v>180</v>
      </c>
    </row>
    <row r="1689" spans="1:7" x14ac:dyDescent="0.25">
      <c r="A1689" s="40">
        <v>1684</v>
      </c>
      <c r="B1689" s="40" t="s">
        <v>1905</v>
      </c>
      <c r="C1689" s="40" t="s">
        <v>167</v>
      </c>
      <c r="D1689" s="40" t="s">
        <v>1966</v>
      </c>
      <c r="E1689" s="40">
        <v>8</v>
      </c>
      <c r="F1689" s="43" t="s">
        <v>45</v>
      </c>
      <c r="G1689" s="43" t="s">
        <v>177</v>
      </c>
    </row>
    <row r="1690" spans="1:7" x14ac:dyDescent="0.25">
      <c r="A1690" s="40">
        <v>1685</v>
      </c>
      <c r="B1690" s="40" t="s">
        <v>1906</v>
      </c>
      <c r="C1690" s="40" t="s">
        <v>168</v>
      </c>
      <c r="D1690" s="40" t="s">
        <v>1966</v>
      </c>
      <c r="E1690" s="40">
        <v>5</v>
      </c>
      <c r="F1690" s="43" t="s">
        <v>45</v>
      </c>
      <c r="G1690" s="43" t="s">
        <v>177</v>
      </c>
    </row>
    <row r="1691" spans="1:7" x14ac:dyDescent="0.25">
      <c r="A1691" s="40">
        <v>1686</v>
      </c>
      <c r="B1691" s="40" t="s">
        <v>1907</v>
      </c>
      <c r="C1691" s="40" t="s">
        <v>168</v>
      </c>
      <c r="D1691" s="40" t="s">
        <v>1966</v>
      </c>
      <c r="E1691" s="40">
        <v>11</v>
      </c>
      <c r="F1691" s="43" t="s">
        <v>45</v>
      </c>
      <c r="G1691" s="43" t="s">
        <v>177</v>
      </c>
    </row>
    <row r="1692" spans="1:7" x14ac:dyDescent="0.25">
      <c r="A1692" s="40">
        <v>1687</v>
      </c>
      <c r="B1692" s="40" t="s">
        <v>1908</v>
      </c>
      <c r="C1692" s="40" t="s">
        <v>167</v>
      </c>
      <c r="D1692" s="40" t="s">
        <v>1966</v>
      </c>
      <c r="E1692" s="40">
        <v>4</v>
      </c>
      <c r="F1692" s="43" t="s">
        <v>45</v>
      </c>
      <c r="G1692" s="43" t="s">
        <v>177</v>
      </c>
    </row>
    <row r="1693" spans="1:7" x14ac:dyDescent="0.25">
      <c r="A1693" s="40">
        <v>1688</v>
      </c>
      <c r="B1693" s="40" t="s">
        <v>1909</v>
      </c>
      <c r="C1693" s="40" t="s">
        <v>168</v>
      </c>
      <c r="D1693" s="40" t="s">
        <v>1942</v>
      </c>
      <c r="E1693" s="40">
        <v>10</v>
      </c>
      <c r="F1693" s="43" t="s">
        <v>45</v>
      </c>
      <c r="G1693" s="43" t="s">
        <v>184</v>
      </c>
    </row>
    <row r="1694" spans="1:7" x14ac:dyDescent="0.25">
      <c r="A1694" s="40">
        <v>1689</v>
      </c>
      <c r="B1694" s="40" t="s">
        <v>1910</v>
      </c>
      <c r="C1694" s="40" t="s">
        <v>168</v>
      </c>
      <c r="D1694" s="40" t="s">
        <v>1942</v>
      </c>
      <c r="E1694" s="40">
        <v>7</v>
      </c>
      <c r="F1694" s="43" t="s">
        <v>45</v>
      </c>
      <c r="G1694" s="43" t="s">
        <v>184</v>
      </c>
    </row>
    <row r="1695" spans="1:7" x14ac:dyDescent="0.25">
      <c r="A1695" s="40">
        <v>1690</v>
      </c>
      <c r="B1695" s="40" t="s">
        <v>1911</v>
      </c>
      <c r="C1695" s="40" t="s">
        <v>167</v>
      </c>
      <c r="D1695" s="40" t="s">
        <v>2007</v>
      </c>
      <c r="E1695" s="40">
        <v>4</v>
      </c>
      <c r="F1695" s="43" t="s">
        <v>45</v>
      </c>
      <c r="G1695" s="43" t="s">
        <v>179</v>
      </c>
    </row>
    <row r="1696" spans="1:7" x14ac:dyDescent="0.25">
      <c r="A1696" s="40">
        <v>1691</v>
      </c>
      <c r="B1696" s="40" t="s">
        <v>1912</v>
      </c>
      <c r="C1696" s="40" t="s">
        <v>168</v>
      </c>
      <c r="D1696" s="40" t="s">
        <v>181</v>
      </c>
      <c r="E1696" s="40">
        <v>3</v>
      </c>
      <c r="F1696" s="43" t="s">
        <v>45</v>
      </c>
      <c r="G1696" s="43" t="s">
        <v>179</v>
      </c>
    </row>
    <row r="1697" spans="1:7" x14ac:dyDescent="0.25">
      <c r="A1697" s="40">
        <v>1692</v>
      </c>
      <c r="B1697" s="40" t="s">
        <v>1913</v>
      </c>
      <c r="C1697" s="40" t="s">
        <v>167</v>
      </c>
      <c r="D1697" s="40" t="s">
        <v>2007</v>
      </c>
      <c r="E1697" s="40">
        <v>6</v>
      </c>
      <c r="F1697" s="43" t="s">
        <v>45</v>
      </c>
      <c r="G1697" s="43" t="s">
        <v>179</v>
      </c>
    </row>
    <row r="1698" spans="1:7" x14ac:dyDescent="0.25">
      <c r="A1698" s="40">
        <v>1693</v>
      </c>
      <c r="B1698" s="40" t="s">
        <v>1914</v>
      </c>
      <c r="C1698" s="40" t="s">
        <v>167</v>
      </c>
      <c r="D1698" s="40" t="s">
        <v>2007</v>
      </c>
      <c r="E1698" s="40">
        <v>8</v>
      </c>
      <c r="F1698" s="43" t="s">
        <v>45</v>
      </c>
      <c r="G1698" s="43" t="s">
        <v>179</v>
      </c>
    </row>
    <row r="1699" spans="1:7" x14ac:dyDescent="0.25">
      <c r="A1699" s="40">
        <v>1694</v>
      </c>
      <c r="B1699" s="40" t="s">
        <v>1915</v>
      </c>
      <c r="C1699" s="40" t="s">
        <v>168</v>
      </c>
      <c r="D1699" s="40" t="s">
        <v>185</v>
      </c>
      <c r="E1699" s="40">
        <v>6</v>
      </c>
      <c r="F1699" s="43" t="s">
        <v>45</v>
      </c>
      <c r="G1699" s="43" t="s">
        <v>185</v>
      </c>
    </row>
    <row r="1700" spans="1:7" x14ac:dyDescent="0.25">
      <c r="A1700" s="40">
        <v>1695</v>
      </c>
      <c r="B1700" s="40" t="s">
        <v>1916</v>
      </c>
      <c r="C1700" s="40" t="s">
        <v>167</v>
      </c>
      <c r="D1700" s="40" t="s">
        <v>175</v>
      </c>
      <c r="E1700" s="40">
        <v>3</v>
      </c>
      <c r="F1700" s="43" t="s">
        <v>45</v>
      </c>
      <c r="G1700" s="43" t="s">
        <v>175</v>
      </c>
    </row>
    <row r="1701" spans="1:7" x14ac:dyDescent="0.25">
      <c r="A1701" s="40">
        <v>1696</v>
      </c>
      <c r="B1701" s="40" t="s">
        <v>1917</v>
      </c>
      <c r="C1701" s="40" t="s">
        <v>168</v>
      </c>
      <c r="D1701" s="40" t="s">
        <v>1951</v>
      </c>
      <c r="E1701" s="40">
        <v>3</v>
      </c>
      <c r="F1701" s="43" t="s">
        <v>45</v>
      </c>
      <c r="G1701" s="43" t="s">
        <v>182</v>
      </c>
    </row>
    <row r="1702" spans="1:7" x14ac:dyDescent="0.25">
      <c r="A1702" s="40">
        <v>1697</v>
      </c>
      <c r="B1702" s="40" t="s">
        <v>1918</v>
      </c>
      <c r="C1702" s="40" t="s">
        <v>168</v>
      </c>
      <c r="D1702" s="40" t="s">
        <v>185</v>
      </c>
      <c r="E1702" s="40">
        <v>8</v>
      </c>
      <c r="F1702" s="43" t="s">
        <v>45</v>
      </c>
      <c r="G1702" s="43" t="s">
        <v>185</v>
      </c>
    </row>
    <row r="1703" spans="1:7" x14ac:dyDescent="0.25">
      <c r="A1703" s="40">
        <v>1698</v>
      </c>
      <c r="B1703" s="40" t="s">
        <v>1919</v>
      </c>
      <c r="C1703" s="40" t="s">
        <v>168</v>
      </c>
      <c r="D1703" s="40" t="s">
        <v>1971</v>
      </c>
      <c r="E1703" s="40">
        <v>11</v>
      </c>
      <c r="F1703" s="43" t="s">
        <v>45</v>
      </c>
      <c r="G1703" s="43" t="s">
        <v>182</v>
      </c>
    </row>
    <row r="1704" spans="1:7" x14ac:dyDescent="0.25">
      <c r="A1704" s="40">
        <v>1699</v>
      </c>
      <c r="B1704" s="40" t="s">
        <v>1920</v>
      </c>
      <c r="C1704" s="40" t="s">
        <v>167</v>
      </c>
      <c r="D1704" s="40" t="s">
        <v>1951</v>
      </c>
      <c r="E1704" s="40">
        <v>10</v>
      </c>
      <c r="F1704" s="43" t="s">
        <v>45</v>
      </c>
      <c r="G1704" s="43" t="s">
        <v>182</v>
      </c>
    </row>
    <row r="1705" spans="1:7" x14ac:dyDescent="0.25">
      <c r="A1705" s="40">
        <v>1700</v>
      </c>
      <c r="B1705" s="40" t="s">
        <v>1921</v>
      </c>
      <c r="C1705" s="40" t="s">
        <v>167</v>
      </c>
      <c r="D1705" s="40" t="s">
        <v>1944</v>
      </c>
      <c r="E1705" s="40">
        <v>8</v>
      </c>
      <c r="F1705" s="43" t="s">
        <v>45</v>
      </c>
      <c r="G1705" s="43" t="s">
        <v>183</v>
      </c>
    </row>
    <row r="1706" spans="1:7" x14ac:dyDescent="0.25">
      <c r="A1706" s="40">
        <v>1701</v>
      </c>
      <c r="B1706" s="40" t="s">
        <v>1922</v>
      </c>
      <c r="C1706" s="40" t="s">
        <v>167</v>
      </c>
      <c r="D1706" s="40" t="s">
        <v>1938</v>
      </c>
      <c r="E1706" s="40">
        <v>7</v>
      </c>
      <c r="F1706" s="43" t="s">
        <v>45</v>
      </c>
      <c r="G1706" s="43" t="s">
        <v>191</v>
      </c>
    </row>
    <row r="1707" spans="1:7" x14ac:dyDescent="0.25">
      <c r="A1707" s="40">
        <v>1702</v>
      </c>
      <c r="B1707" s="40" t="s">
        <v>1923</v>
      </c>
      <c r="C1707" s="40" t="s">
        <v>168</v>
      </c>
      <c r="D1707" s="40" t="s">
        <v>1942</v>
      </c>
      <c r="E1707" s="40">
        <v>5</v>
      </c>
      <c r="F1707" s="43" t="s">
        <v>45</v>
      </c>
      <c r="G1707" s="43" t="s">
        <v>184</v>
      </c>
    </row>
    <row r="1708" spans="1:7" x14ac:dyDescent="0.25">
      <c r="A1708" s="40">
        <v>1703</v>
      </c>
      <c r="B1708" s="40" t="s">
        <v>1924</v>
      </c>
      <c r="C1708" s="40" t="s">
        <v>167</v>
      </c>
      <c r="D1708" s="40" t="s">
        <v>181</v>
      </c>
      <c r="E1708" s="40">
        <v>7</v>
      </c>
      <c r="F1708" s="43" t="s">
        <v>45</v>
      </c>
      <c r="G1708" s="43" t="s">
        <v>181</v>
      </c>
    </row>
    <row r="1709" spans="1:7" x14ac:dyDescent="0.25">
      <c r="A1709" s="40">
        <v>1704</v>
      </c>
      <c r="B1709" s="40" t="s">
        <v>1931</v>
      </c>
      <c r="C1709" s="40" t="s">
        <v>167</v>
      </c>
      <c r="D1709" s="40" t="s">
        <v>198</v>
      </c>
      <c r="E1709" s="40">
        <v>4</v>
      </c>
      <c r="F1709" s="43" t="s">
        <v>45</v>
      </c>
      <c r="G1709" s="43" t="s">
        <v>187</v>
      </c>
    </row>
    <row r="1710" spans="1:7" x14ac:dyDescent="0.25">
      <c r="A1710" s="40">
        <v>1705</v>
      </c>
      <c r="B1710" s="40" t="s">
        <v>1925</v>
      </c>
      <c r="C1710" s="40" t="s">
        <v>167</v>
      </c>
      <c r="D1710" s="40" t="s">
        <v>1955</v>
      </c>
      <c r="E1710" s="40">
        <v>10</v>
      </c>
      <c r="F1710" s="43" t="s">
        <v>45</v>
      </c>
      <c r="G1710" s="43" t="s">
        <v>183</v>
      </c>
    </row>
    <row r="1711" spans="1:7" x14ac:dyDescent="0.25">
      <c r="A1711" s="40">
        <v>1706</v>
      </c>
      <c r="B1711" s="40" t="s">
        <v>1926</v>
      </c>
      <c r="C1711" s="40" t="s">
        <v>167</v>
      </c>
      <c r="D1711" s="40" t="s">
        <v>1964</v>
      </c>
      <c r="E1711" s="40">
        <v>9</v>
      </c>
      <c r="F1711" s="43" t="s">
        <v>45</v>
      </c>
      <c r="G1711" s="43" t="s">
        <v>2006</v>
      </c>
    </row>
    <row r="1712" spans="1:7" x14ac:dyDescent="0.25">
      <c r="A1712" s="40">
        <v>1707</v>
      </c>
      <c r="B1712" s="40" t="s">
        <v>1927</v>
      </c>
      <c r="C1712" s="40" t="s">
        <v>167</v>
      </c>
      <c r="D1712" s="40" t="s">
        <v>1944</v>
      </c>
      <c r="E1712" s="40">
        <v>12</v>
      </c>
      <c r="F1712" s="43" t="s">
        <v>45</v>
      </c>
      <c r="G1712" s="43" t="s">
        <v>183</v>
      </c>
    </row>
    <row r="1713" spans="1:7" x14ac:dyDescent="0.25">
      <c r="A1713" s="40">
        <v>1708</v>
      </c>
      <c r="B1713" s="40" t="s">
        <v>1928</v>
      </c>
      <c r="C1713" s="40" t="s">
        <v>167</v>
      </c>
      <c r="D1713" s="40" t="s">
        <v>1944</v>
      </c>
      <c r="E1713" s="40">
        <v>12</v>
      </c>
      <c r="F1713" s="43" t="s">
        <v>45</v>
      </c>
      <c r="G1713" s="43" t="s">
        <v>183</v>
      </c>
    </row>
    <row r="1714" spans="1:7" x14ac:dyDescent="0.25">
      <c r="A1714" s="40">
        <v>1709</v>
      </c>
      <c r="B1714" s="40" t="s">
        <v>1929</v>
      </c>
      <c r="C1714" s="40" t="s">
        <v>168</v>
      </c>
      <c r="D1714" s="40" t="s">
        <v>1966</v>
      </c>
      <c r="E1714" s="40">
        <v>2</v>
      </c>
      <c r="F1714" s="43" t="s">
        <v>45</v>
      </c>
      <c r="G1714" s="43" t="s">
        <v>177</v>
      </c>
    </row>
    <row r="1715" spans="1:7" x14ac:dyDescent="0.25">
      <c r="A1715" s="40">
        <v>1710</v>
      </c>
      <c r="B1715" s="40" t="s">
        <v>1930</v>
      </c>
      <c r="C1715" s="40" t="s">
        <v>167</v>
      </c>
      <c r="D1715" s="40" t="s">
        <v>198</v>
      </c>
      <c r="E1715" s="40">
        <v>2</v>
      </c>
      <c r="F1715" s="43" t="s">
        <v>45</v>
      </c>
      <c r="G1715" s="43" t="s">
        <v>187</v>
      </c>
    </row>
    <row r="1716" spans="1:7" x14ac:dyDescent="0.25">
      <c r="A1716" s="40">
        <v>1711</v>
      </c>
      <c r="D1716" s="40" t="s">
        <v>181</v>
      </c>
      <c r="E1716" s="40">
        <v>7</v>
      </c>
      <c r="F1716" s="43" t="s">
        <v>45</v>
      </c>
      <c r="G1716" s="43" t="s">
        <v>181</v>
      </c>
    </row>
  </sheetData>
  <mergeCells count="4">
    <mergeCell ref="B1:G1"/>
    <mergeCell ref="B2:G2"/>
    <mergeCell ref="B3:G3"/>
    <mergeCell ref="B4:G4"/>
  </mergeCells>
  <conditionalFormatting sqref="G6:G1048576">
    <cfRule type="expression" dxfId="49" priority="3">
      <formula>F6&lt;&gt;"Fontaine publique"</formula>
    </cfRule>
  </conditionalFormatting>
  <hyperlinks>
    <hyperlink ref="A1" location="Acceuil!A1" display="Retour dans l'acceuil"/>
  </hyperlinks>
  <pageMargins left="0.7" right="0.7" top="0.75" bottom="0.75" header="0.3" footer="0.3"/>
  <pageSetup paperSize="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vrir1">
                <anchor moveWithCells="1" sizeWithCells="1">
                  <from>
                    <xdr:col>0</xdr:col>
                    <xdr:colOff>66675</xdr:colOff>
                    <xdr:row>1</xdr:row>
                    <xdr:rowOff>190500</xdr:rowOff>
                  </from>
                  <to>
                    <xdr:col>0</xdr:col>
                    <xdr:colOff>1266825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2"/>
  <sheetViews>
    <sheetView showRowColHeaders="0" zoomScaleNormal="100" workbookViewId="0">
      <pane ySplit="5" topLeftCell="A6" activePane="bottomLeft" state="frozen"/>
      <selection pane="bottomLeft" activeCell="B2" sqref="B2:F2"/>
    </sheetView>
  </sheetViews>
  <sheetFormatPr baseColWidth="10" defaultColWidth="9.140625" defaultRowHeight="15" x14ac:dyDescent="0.25"/>
  <cols>
    <col min="1" max="1" width="19.5703125" style="169" customWidth="1"/>
    <col min="2" max="2" width="33.42578125" style="169" customWidth="1"/>
    <col min="3" max="3" width="19.7109375" style="169" bestFit="1" customWidth="1"/>
    <col min="4" max="4" width="21.7109375" style="169" customWidth="1"/>
    <col min="5" max="5" width="17.28515625" style="169" customWidth="1"/>
    <col min="6" max="6" width="10.140625" style="169" bestFit="1" customWidth="1"/>
    <col min="7" max="7" width="22.7109375" style="169" customWidth="1"/>
    <col min="8" max="8" width="18.42578125" style="3" customWidth="1"/>
    <col min="9" max="9" width="18.28515625" style="3" customWidth="1"/>
    <col min="10" max="10" width="10.7109375" style="3" customWidth="1"/>
    <col min="11" max="11" width="19.5703125" style="3" customWidth="1"/>
    <col min="12" max="12" width="18.28515625" style="3" customWidth="1"/>
    <col min="13" max="13" width="10.7109375" style="3" customWidth="1"/>
    <col min="14" max="14" width="19.5703125" style="3" customWidth="1"/>
    <col min="15" max="15" width="18.28515625" style="3" customWidth="1"/>
    <col min="16" max="16" width="10.7109375" style="3" customWidth="1"/>
    <col min="17" max="17" width="14.28515625" style="3" bestFit="1" customWidth="1"/>
    <col min="18" max="18" width="13.42578125" style="3" bestFit="1" customWidth="1"/>
    <col min="19" max="16384" width="9.140625" style="3"/>
  </cols>
  <sheetData>
    <row r="1" spans="1:19" s="15" customFormat="1" ht="15.75" x14ac:dyDescent="0.25">
      <c r="A1" s="22" t="s">
        <v>32</v>
      </c>
      <c r="B1" s="209" t="s">
        <v>2010</v>
      </c>
      <c r="C1" s="209"/>
      <c r="D1" s="209"/>
      <c r="E1" s="209"/>
      <c r="F1" s="209"/>
    </row>
    <row r="2" spans="1:19" s="15" customFormat="1" ht="15.75" x14ac:dyDescent="0.25">
      <c r="A2" s="21"/>
      <c r="B2" s="209" t="s">
        <v>31</v>
      </c>
      <c r="C2" s="209"/>
      <c r="D2" s="209"/>
      <c r="E2" s="209"/>
      <c r="F2" s="209"/>
    </row>
    <row r="3" spans="1:19" s="15" customFormat="1" ht="15.75" x14ac:dyDescent="0.25">
      <c r="B3" s="209" t="s">
        <v>200</v>
      </c>
      <c r="C3" s="209"/>
      <c r="D3" s="209"/>
      <c r="E3" s="209"/>
      <c r="F3" s="209"/>
    </row>
    <row r="4" spans="1:19" s="15" customFormat="1" ht="15.75" x14ac:dyDescent="0.25">
      <c r="B4" s="214" t="s">
        <v>20</v>
      </c>
      <c r="C4" s="214"/>
      <c r="D4" s="214"/>
      <c r="E4" s="214"/>
      <c r="F4" s="214"/>
    </row>
    <row r="5" spans="1:19" x14ac:dyDescent="0.25">
      <c r="A5" s="11" t="s">
        <v>3</v>
      </c>
      <c r="B5" s="11" t="s">
        <v>46</v>
      </c>
      <c r="C5" s="11" t="s">
        <v>15</v>
      </c>
      <c r="D5" s="11" t="s">
        <v>4</v>
      </c>
      <c r="E5" s="11" t="s">
        <v>9</v>
      </c>
      <c r="F5" s="139" t="s">
        <v>10</v>
      </c>
      <c r="G5" s="11" t="s">
        <v>47</v>
      </c>
      <c r="H5" s="1"/>
    </row>
    <row r="6" spans="1:19" x14ac:dyDescent="0.25">
      <c r="F6" s="170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12" spans="1:19" x14ac:dyDescent="0.25">
      <c r="F12" s="171"/>
    </row>
  </sheetData>
  <mergeCells count="4">
    <mergeCell ref="B4:F4"/>
    <mergeCell ref="B1:F1"/>
    <mergeCell ref="B2:F2"/>
    <mergeCell ref="B3:F3"/>
  </mergeCells>
  <conditionalFormatting sqref="E6:E1048576">
    <cfRule type="expression" dxfId="36" priority="3">
      <formula>D6="Prise privée"</formula>
    </cfRule>
  </conditionalFormatting>
  <hyperlinks>
    <hyperlink ref="A1" location="Acceuil!A1" display="Retour dans l'acceuil"/>
  </hyperlinks>
  <pageMargins left="0.7" right="0.7" top="0.75" bottom="0.75" header="0.3" footer="0.3"/>
  <pageSetup paperSize="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uvrir2">
                <anchor moveWithCells="1" sizeWithCells="1">
                  <from>
                    <xdr:col>0</xdr:col>
                    <xdr:colOff>66675</xdr:colOff>
                    <xdr:row>1</xdr:row>
                    <xdr:rowOff>104775</xdr:rowOff>
                  </from>
                  <to>
                    <xdr:col>0</xdr:col>
                    <xdr:colOff>1257300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S70"/>
  <sheetViews>
    <sheetView showRowColHeaders="0" workbookViewId="0">
      <pane xSplit="3" ySplit="4" topLeftCell="D5" activePane="bottomRight" state="frozen"/>
      <selection pane="topRight" activeCell="E1" sqref="E1"/>
      <selection pane="bottomLeft" activeCell="A5" sqref="A5"/>
      <selection pane="bottomRight" activeCell="B12" sqref="B12"/>
    </sheetView>
  </sheetViews>
  <sheetFormatPr baseColWidth="10" defaultColWidth="11.42578125" defaultRowHeight="15" x14ac:dyDescent="0.25"/>
  <cols>
    <col min="1" max="1" width="25.140625" customWidth="1"/>
    <col min="2" max="2" width="70.5703125" customWidth="1"/>
    <col min="3" max="3" width="33" style="10" customWidth="1"/>
    <col min="4" max="4" width="13.5703125" style="10" customWidth="1"/>
    <col min="5" max="5" width="14.140625" style="10" customWidth="1"/>
    <col min="6" max="6" width="12" style="10" customWidth="1"/>
    <col min="7" max="7" width="13.7109375" style="10" customWidth="1"/>
    <col min="8" max="8" width="12" style="10" customWidth="1"/>
    <col min="9" max="9" width="11.42578125" style="10"/>
    <col min="10" max="10" width="13.140625" style="10" customWidth="1"/>
    <col min="11" max="11" width="12" style="10" customWidth="1"/>
    <col min="12" max="13" width="11.42578125" style="10"/>
    <col min="14" max="15" width="12" style="10" customWidth="1"/>
    <col min="16" max="16" width="11.42578125" style="10"/>
    <col min="17" max="17" width="13" style="10" customWidth="1"/>
    <col min="18" max="18" width="12" style="10" customWidth="1"/>
    <col min="19" max="19" width="11.42578125" style="10"/>
    <col min="20" max="20" width="13" style="10" customWidth="1"/>
    <col min="21" max="21" width="12" style="10" customWidth="1"/>
    <col min="22" max="22" width="11.42578125" style="10"/>
    <col min="23" max="23" width="13" style="10" customWidth="1"/>
    <col min="24" max="24" width="12" style="10" customWidth="1"/>
    <col min="25" max="25" width="11.42578125" style="10"/>
    <col min="26" max="26" width="13" style="10" customWidth="1"/>
    <col min="27" max="27" width="12" style="10" customWidth="1"/>
    <col min="28" max="28" width="11.42578125" style="10"/>
    <col min="29" max="29" width="13" style="10" customWidth="1"/>
    <col min="30" max="30" width="12" style="10" customWidth="1"/>
    <col min="31" max="31" width="11.42578125" style="10"/>
    <col min="32" max="32" width="13" style="10" customWidth="1"/>
    <col min="33" max="33" width="12" style="10" customWidth="1"/>
    <col min="34" max="34" width="11.42578125" style="10"/>
    <col min="35" max="35" width="13" style="10" customWidth="1"/>
    <col min="36" max="36" width="12" style="10" customWidth="1"/>
    <col min="37" max="37" width="11.42578125" style="10"/>
    <col min="38" max="38" width="13" style="10" customWidth="1"/>
    <col min="39" max="39" width="12" style="10" customWidth="1"/>
    <col min="40" max="40" width="11.42578125" style="10"/>
    <col min="41" max="41" width="13" style="10" customWidth="1"/>
    <col min="42" max="42" width="12" style="10" customWidth="1"/>
    <col min="43" max="43" width="11.42578125" style="10"/>
    <col min="44" max="44" width="13" style="10" customWidth="1"/>
    <col min="45" max="45" width="12" style="10" customWidth="1"/>
    <col min="46" max="16384" width="11.42578125" style="10"/>
  </cols>
  <sheetData>
    <row r="1" spans="1:45" s="18" customFormat="1" x14ac:dyDescent="0.25">
      <c r="A1" s="39" t="s">
        <v>97</v>
      </c>
      <c r="B1" s="216" t="s">
        <v>165</v>
      </c>
      <c r="C1" s="216"/>
    </row>
    <row r="2" spans="1:45" s="18" customFormat="1" ht="18.75" x14ac:dyDescent="0.3">
      <c r="A2" s="39" t="s">
        <v>140</v>
      </c>
      <c r="B2" s="216"/>
      <c r="C2" s="216"/>
      <c r="D2" s="157"/>
      <c r="E2" s="157"/>
      <c r="F2" s="157"/>
      <c r="G2" s="157"/>
      <c r="H2" s="157"/>
      <c r="I2" s="157"/>
    </row>
    <row r="3" spans="1:45" s="18" customFormat="1" x14ac:dyDescent="0.25">
      <c r="A3" s="39" t="s">
        <v>141</v>
      </c>
    </row>
    <row r="4" spans="1:45" s="18" customFormat="1" x14ac:dyDescent="0.25"/>
    <row r="5" spans="1:45" customFormat="1" x14ac:dyDescent="0.25">
      <c r="A5" s="217" t="s">
        <v>149</v>
      </c>
      <c r="B5" s="217"/>
      <c r="C5" s="218" t="s">
        <v>163</v>
      </c>
      <c r="D5" s="176"/>
      <c r="E5" s="177">
        <v>2017</v>
      </c>
      <c r="F5" s="177"/>
      <c r="G5" s="215">
        <v>2018</v>
      </c>
      <c r="H5" s="215"/>
      <c r="I5" s="215"/>
      <c r="J5" s="215">
        <v>2019</v>
      </c>
      <c r="K5" s="215"/>
      <c r="L5" s="215"/>
      <c r="M5" s="215">
        <v>2020</v>
      </c>
      <c r="N5" s="215"/>
      <c r="O5" s="215"/>
      <c r="P5" s="215">
        <v>2021</v>
      </c>
      <c r="Q5" s="215"/>
      <c r="R5" s="215"/>
      <c r="S5" s="215">
        <v>2022</v>
      </c>
      <c r="T5" s="215"/>
      <c r="U5" s="215"/>
      <c r="V5" s="215">
        <v>2023</v>
      </c>
      <c r="W5" s="215"/>
      <c r="X5" s="215"/>
      <c r="Y5" s="215">
        <v>2024</v>
      </c>
      <c r="Z5" s="215"/>
      <c r="AA5" s="215"/>
      <c r="AB5" s="215">
        <v>2025</v>
      </c>
      <c r="AC5" s="215"/>
      <c r="AD5" s="215"/>
      <c r="AE5" s="215">
        <v>2026</v>
      </c>
      <c r="AF5" s="215"/>
      <c r="AG5" s="215"/>
      <c r="AH5" s="215">
        <v>2027</v>
      </c>
      <c r="AI5" s="215"/>
      <c r="AJ5" s="215"/>
      <c r="AK5" s="215">
        <v>2028</v>
      </c>
      <c r="AL5" s="215"/>
      <c r="AM5" s="215"/>
      <c r="AN5" s="215">
        <v>2029</v>
      </c>
      <c r="AO5" s="215"/>
      <c r="AP5" s="215"/>
      <c r="AQ5" s="215">
        <v>2030</v>
      </c>
      <c r="AR5" s="215"/>
      <c r="AS5" s="215"/>
    </row>
    <row r="6" spans="1:45" customFormat="1" ht="19.5" customHeight="1" x14ac:dyDescent="0.25">
      <c r="A6" s="184" t="s">
        <v>134</v>
      </c>
      <c r="B6" s="185" t="s">
        <v>138</v>
      </c>
      <c r="C6" s="219"/>
      <c r="D6" s="178" t="s">
        <v>102</v>
      </c>
      <c r="E6" s="178" t="s">
        <v>142</v>
      </c>
      <c r="F6" s="178" t="s">
        <v>135</v>
      </c>
      <c r="G6" s="178" t="s">
        <v>102</v>
      </c>
      <c r="H6" s="178" t="s">
        <v>142</v>
      </c>
      <c r="I6" s="178" t="s">
        <v>135</v>
      </c>
      <c r="J6" s="178" t="s">
        <v>102</v>
      </c>
      <c r="K6" s="178" t="s">
        <v>142</v>
      </c>
      <c r="L6" s="178" t="s">
        <v>135</v>
      </c>
      <c r="M6" s="178" t="s">
        <v>102</v>
      </c>
      <c r="N6" s="178" t="s">
        <v>142</v>
      </c>
      <c r="O6" s="178" t="s">
        <v>135</v>
      </c>
      <c r="P6" s="178" t="s">
        <v>102</v>
      </c>
      <c r="Q6" s="178" t="s">
        <v>142</v>
      </c>
      <c r="R6" s="178" t="s">
        <v>135</v>
      </c>
      <c r="S6" s="178" t="s">
        <v>102</v>
      </c>
      <c r="T6" s="178" t="s">
        <v>142</v>
      </c>
      <c r="U6" s="178" t="s">
        <v>135</v>
      </c>
      <c r="V6" s="178" t="s">
        <v>102</v>
      </c>
      <c r="W6" s="178" t="s">
        <v>142</v>
      </c>
      <c r="X6" s="178" t="s">
        <v>135</v>
      </c>
      <c r="Y6" s="178" t="s">
        <v>102</v>
      </c>
      <c r="Z6" s="178" t="s">
        <v>142</v>
      </c>
      <c r="AA6" s="178" t="s">
        <v>135</v>
      </c>
      <c r="AB6" s="178" t="s">
        <v>102</v>
      </c>
      <c r="AC6" s="178" t="s">
        <v>142</v>
      </c>
      <c r="AD6" s="178" t="s">
        <v>135</v>
      </c>
      <c r="AE6" s="178" t="s">
        <v>102</v>
      </c>
      <c r="AF6" s="178" t="s">
        <v>142</v>
      </c>
      <c r="AG6" s="178" t="s">
        <v>135</v>
      </c>
      <c r="AH6" s="178" t="s">
        <v>102</v>
      </c>
      <c r="AI6" s="178" t="s">
        <v>142</v>
      </c>
      <c r="AJ6" s="178" t="s">
        <v>135</v>
      </c>
      <c r="AK6" s="178" t="s">
        <v>102</v>
      </c>
      <c r="AL6" s="178" t="s">
        <v>142</v>
      </c>
      <c r="AM6" s="178" t="s">
        <v>135</v>
      </c>
      <c r="AN6" s="178" t="s">
        <v>102</v>
      </c>
      <c r="AO6" s="178" t="s">
        <v>142</v>
      </c>
      <c r="AP6" s="178" t="s">
        <v>135</v>
      </c>
      <c r="AQ6" s="178" t="s">
        <v>102</v>
      </c>
      <c r="AR6" s="178" t="s">
        <v>142</v>
      </c>
      <c r="AS6" s="178" t="s">
        <v>135</v>
      </c>
    </row>
    <row r="7" spans="1:45" customFormat="1" x14ac:dyDescent="0.25">
      <c r="A7" s="195" t="s">
        <v>227</v>
      </c>
      <c r="B7" s="196" t="s">
        <v>226</v>
      </c>
      <c r="C7" s="181" t="s">
        <v>31</v>
      </c>
      <c r="D7" s="176">
        <f>SUMIF(Compt.!$E$5:$E$100,C7,Compt.!$I$5:$I$100)</f>
        <v>238770</v>
      </c>
      <c r="E7" s="176">
        <f>SUMIF(Compt.!$E$5:$E$100,C7,Compt.!$J$5:$J$100)</f>
        <v>166900</v>
      </c>
      <c r="F7" s="176">
        <f>IF(C7="","",D7-E7)</f>
        <v>71870</v>
      </c>
      <c r="G7" s="176">
        <f>IF(C7="","",SUMIF(Compt.!$M$5:$M$100,C7,Compt.!$Q$5:$Q$100))</f>
        <v>0</v>
      </c>
      <c r="H7" s="176">
        <f>IF(C7="","",SUMIF(Compt.!$M$5:$M$100,C7,Compt.!$R$5:$R$100))</f>
        <v>0</v>
      </c>
      <c r="I7" s="176">
        <f>IF(C7="","",G7-H7)</f>
        <v>0</v>
      </c>
      <c r="J7" s="176">
        <f>IF(C7="","",SUMIF(Compt.!$U$5:$U$100,C7,Compt.!$Y$5:$Y$100))</f>
        <v>0</v>
      </c>
      <c r="K7" s="176">
        <f>IF(C7="","",SUMIF(Compt.!$U$5:$U$100,C7,Compt.!$Z$5:$Z$100))</f>
        <v>0</v>
      </c>
      <c r="L7" s="176">
        <f>IF(C7="","",J7-K7)</f>
        <v>0</v>
      </c>
      <c r="M7" s="176">
        <f>IF(C7="","",SUMIF(Compt.!$AC$5:$AC$100,C7,Compt.!$AG$5:$AG$100))</f>
        <v>0</v>
      </c>
      <c r="N7" s="176">
        <f>IF(C7="","",SUMIF(Compt.!$AC$5:$AC$100,C7,Compt.!$AH$5:$AH$100))</f>
        <v>0</v>
      </c>
      <c r="O7" s="176">
        <f>IF(C7="","",M7-N7)</f>
        <v>0</v>
      </c>
      <c r="P7" s="176">
        <f>IF(C7="","",SUMIF(Compt.!$AK$5:$AK$100,C7,Compt.!$AO$5:$AO$100))</f>
        <v>0</v>
      </c>
      <c r="Q7" s="176">
        <f>IF(C7="","",SUMIF(Compt.!$AK$5:$AK$100,C7,Compt.!$AP$5:$AP$100))</f>
        <v>0</v>
      </c>
      <c r="R7" s="176">
        <f>IF(C7="","",P7-Q7)</f>
        <v>0</v>
      </c>
      <c r="S7" s="176">
        <f>IF(C7="","",SUMIF(Compt.!$AS$5:$AS$100,C7,Compt.!$AW$5:$AW$100))</f>
        <v>0</v>
      </c>
      <c r="T7" s="176">
        <f>IF(C7="","",SUMIF(Compt.!$AS$5:$AS$100,C7,Compt.!$AX$5:$AX$100))</f>
        <v>0</v>
      </c>
      <c r="U7" s="176">
        <f>IF(C7="","",S7-T7)</f>
        <v>0</v>
      </c>
      <c r="V7" s="176">
        <f ca="1">IF(C7="","",SUMIF(Compt.!$BA$5:$BA$100,C7,Compt.!$BE$5:$BE$100))</f>
        <v>0</v>
      </c>
      <c r="W7" s="176">
        <f>IF(C7="","",SUMIF(Compt.!$BA$5:$BA$100,C7,Compt.!$BF$5:$BF$100))</f>
        <v>0</v>
      </c>
      <c r="X7" s="176">
        <f ca="1">IF(C7="","",V7-W7)</f>
        <v>0</v>
      </c>
      <c r="Y7" s="176">
        <f>IF(C7="","",SUMIF(Compt.!$BI$5:$BI$100,C7,Compt.!$BM$5:$BM$100))</f>
        <v>0</v>
      </c>
      <c r="Z7" s="176">
        <f>IF(C7="","",SUMIF(Compt.!$BI$5:$BI$100,C7,Compt.!$BN$5:$BN$100))</f>
        <v>0</v>
      </c>
      <c r="AA7" s="176">
        <f>IF(C7="","",Y7-Z7)</f>
        <v>0</v>
      </c>
      <c r="AB7" s="176">
        <f>IF(C7="","",SUMIF(Compt.!$BQ$5:$BQ$100,C7,Compt.!$BU$5:$BU$100))</f>
        <v>0</v>
      </c>
      <c r="AC7" s="176">
        <f>IF(C7="","",SUMIF(Compt.!$BQ$5:$BQ$100,C7,Compt.!$BV$5:$BV$100))</f>
        <v>0</v>
      </c>
      <c r="AD7" s="176">
        <f>IF(C7="","",AB7-AC7)</f>
        <v>0</v>
      </c>
      <c r="AE7" s="176">
        <f>IF(C7="","",SUMIF(Compt.!$BY$5:$BY$100,C7,Compt.!$CC$5:$CC$100))</f>
        <v>0</v>
      </c>
      <c r="AF7" s="176">
        <f>IF(C7="","",SUMIF(Compt.!$BY$5:$BY$100,C7,Compt.!$CD$5:$CD$100))</f>
        <v>0</v>
      </c>
      <c r="AG7" s="176">
        <f>IF(C7="","",AE7-AF7)</f>
        <v>0</v>
      </c>
      <c r="AH7" s="176">
        <f>IF(C7="","",SUMIF(Compt.!$CG$5:$CG$100,C7,Compt.!$CK$5:$CK$100))</f>
        <v>0</v>
      </c>
      <c r="AI7" s="176">
        <f>IF(C7="","",SUMIF(Compt.!$CG$5:$CG$100,C7,Compt.!$CL$5:$CL$100))</f>
        <v>0</v>
      </c>
      <c r="AJ7" s="176">
        <f>IF(C7="","",AH7-AI7)</f>
        <v>0</v>
      </c>
      <c r="AK7" s="176">
        <f>IF(C7="","",SUMIF(Compt.!$CO$5:$CO$100,C7,Compt.!$CS$5:$CS$100))</f>
        <v>0</v>
      </c>
      <c r="AL7" s="176">
        <f>IF(C7="","",SUMIF(Compt.!$CO$5:$CO$100,C7,Compt.!$CT$5:$CT$100))</f>
        <v>0</v>
      </c>
      <c r="AM7" s="176">
        <f>IF(C7="","",AK7-AL7)</f>
        <v>0</v>
      </c>
      <c r="AN7" s="176">
        <f>IF(C7="","",SUMIF(Compt.!$CW$5:$CW$100,C7,Compt.!$DA$5:$DA$100))</f>
        <v>0</v>
      </c>
      <c r="AO7" s="176">
        <f>IF(C7="","",SUMIF(Compt.!$CW$5:$CW$100,C7,Compt.!$DB$5:$DB$100))</f>
        <v>0</v>
      </c>
      <c r="AP7" s="176">
        <f>IF(C7="","",AN7-AO7)</f>
        <v>0</v>
      </c>
      <c r="AQ7" s="176">
        <f>IF(C7="","",SUMIF(Compt.!$DE$5:$DE$100,C7,Compt.!$DI$5:$DI$100))</f>
        <v>0</v>
      </c>
      <c r="AR7" s="176">
        <f>IF(C7="","",SUMIF(Compt.!$DE$5:$DE$100,C7,Compt.!$DJ$5:$DJ$100))</f>
        <v>0</v>
      </c>
      <c r="AS7" s="176">
        <f>IF(C7="","",AQ7-AR7)</f>
        <v>0</v>
      </c>
    </row>
    <row r="8" spans="1:45" customFormat="1" x14ac:dyDescent="0.25">
      <c r="A8" s="158" t="s">
        <v>213</v>
      </c>
      <c r="B8" s="159" t="s">
        <v>217</v>
      </c>
      <c r="C8" s="182" t="s">
        <v>2009</v>
      </c>
      <c r="D8" s="176">
        <f>SUMIF(Compt.!$E$5:$E$100,C8,Compt.!$I$5:$I$100)</f>
        <v>0</v>
      </c>
      <c r="E8" s="176">
        <f>SUMIF(Compt.!$E$5:$E$100,C8,Compt.!$J$5:$J$100)</f>
        <v>0</v>
      </c>
      <c r="F8" s="176">
        <f t="shared" ref="F8:F12" si="0">IF(C8="","",D8-E8)</f>
        <v>0</v>
      </c>
      <c r="G8" s="176">
        <f>IF(C8="","",SUMIF(Compt.!$M$5:$M$100,C8,Compt.!$Q$5:$Q$100))</f>
        <v>0</v>
      </c>
      <c r="H8" s="176">
        <f>IF(C8="","",SUMIF(Compt.!$M$5:$M$100,C8,Compt.!$R$5:$R$100))</f>
        <v>0</v>
      </c>
      <c r="I8" s="176">
        <f t="shared" ref="I8:I12" si="1">IF(C8="","",G8-H8)</f>
        <v>0</v>
      </c>
      <c r="J8" s="176">
        <f>IF(C8="","",SUMIF(Compt.!$U$5:$U$100,C8,Compt.!$Y$5:$Y$100))</f>
        <v>0</v>
      </c>
      <c r="K8" s="176">
        <f>IF(C8="","",SUMIF(Compt.!$U$5:$U$100,C8,Compt.!$Z$5:$Z$100))</f>
        <v>0</v>
      </c>
      <c r="L8" s="176">
        <f t="shared" ref="L8:L12" si="2">IF(C8="","",J8-K8)</f>
        <v>0</v>
      </c>
      <c r="M8" s="176">
        <f>IF(C8="","",SUMIF(Compt.!$AC$5:$AC$100,C8,Compt.!$AG$5:$AG$100))</f>
        <v>0</v>
      </c>
      <c r="N8" s="176">
        <f>IF(C8="","",SUMIF(Compt.!$AC$5:$AC$100,C8,Compt.!$AH$5:$AH$100))</f>
        <v>0</v>
      </c>
      <c r="O8" s="176">
        <f t="shared" ref="O8:O12" si="3">IF(C8="","",M8-N8)</f>
        <v>0</v>
      </c>
      <c r="P8" s="176">
        <f>IF(C8="","",SUMIF(Compt.!$AK$5:$AK$100,C8,Compt.!$AO$5:$AO$100))</f>
        <v>0</v>
      </c>
      <c r="Q8" s="176">
        <f>IF(C8="","",SUMIF(Compt.!$AK$5:$AK$100,C8,Compt.!$AP$5:$AP$100))</f>
        <v>0</v>
      </c>
      <c r="R8" s="176">
        <f t="shared" ref="R8:R12" si="4">IF(C8="","",P8-Q8)</f>
        <v>0</v>
      </c>
      <c r="S8" s="176">
        <f>IF(C8="","",SUMIF(Compt.!$AS$5:$AS$100,C8,Compt.!$AW$5:$AW$100))</f>
        <v>0</v>
      </c>
      <c r="T8" s="176">
        <f>IF(C8="","",SUMIF(Compt.!$AS$5:$AS$100,C8,Compt.!$AX$5:$AX$100))</f>
        <v>0</v>
      </c>
      <c r="U8" s="176">
        <f t="shared" ref="U8:U12" si="5">IF(C8="","",S8-T8)</f>
        <v>0</v>
      </c>
      <c r="V8" s="176">
        <f>IF(C8="","",SUMIF(Compt.!$BA$5:$BA$100,C8,Compt.!$BE$5:$BE$100))</f>
        <v>0</v>
      </c>
      <c r="W8" s="176">
        <f>IF(C8="","",SUMIF(Compt.!$BA$5:$BA$100,C8,Compt.!$BF$5:$BF$100))</f>
        <v>0</v>
      </c>
      <c r="X8" s="176">
        <f t="shared" ref="X8:X12" si="6">IF(C8="","",V8-W8)</f>
        <v>0</v>
      </c>
      <c r="Y8" s="176">
        <f>IF(C8="","",SUMIF(Compt.!$BI$5:$BI$100,C8,Compt.!$BM$5:$BM$100))</f>
        <v>0</v>
      </c>
      <c r="Z8" s="176">
        <f>IF(C8="","",SUMIF(Compt.!$BI$5:$BI$100,C8,Compt.!$BN$5:$BN$100))</f>
        <v>0</v>
      </c>
      <c r="AA8" s="176">
        <f t="shared" ref="AA8:AA12" si="7">IF(C8="","",Y8-Z8)</f>
        <v>0</v>
      </c>
      <c r="AB8" s="176">
        <f>IF(C8="","",SUMIF(Compt.!$BQ$5:$BQ$100,C8,Compt.!$BU$5:$BU$100))</f>
        <v>0</v>
      </c>
      <c r="AC8" s="176">
        <f>IF(C8="","",SUMIF(Compt.!$BQ$5:$BQ$100,C8,Compt.!$BV$5:$BV$100))</f>
        <v>0</v>
      </c>
      <c r="AD8" s="176">
        <f t="shared" ref="AD8:AD12" si="8">IF(C8="","",AB8-AC8)</f>
        <v>0</v>
      </c>
      <c r="AE8" s="176">
        <f>IF(C8="","",SUMIF(Compt.!$BY$5:$BY$100,C8,Compt.!$CC$5:$CC$100))</f>
        <v>0</v>
      </c>
      <c r="AF8" s="176">
        <f>IF(C8="","",SUMIF(Compt.!$BY$5:$BY$100,C8,Compt.!$CD$5:$CD$100))</f>
        <v>0</v>
      </c>
      <c r="AG8" s="176">
        <f t="shared" ref="AG8:AG12" si="9">IF(C8="","",AE8-AF8)</f>
        <v>0</v>
      </c>
      <c r="AH8" s="176">
        <f>IF(C8="","",SUMIF(Compt.!$CG$5:$CG$100,C8,Compt.!$CK$5:$CK$100))</f>
        <v>0</v>
      </c>
      <c r="AI8" s="176">
        <f>IF(C8="","",SUMIF(Compt.!$CG$5:$CG$100,C8,Compt.!$CL$5:$CL$100))</f>
        <v>0</v>
      </c>
      <c r="AJ8" s="176">
        <f t="shared" ref="AJ8:AJ12" si="10">IF(C8="","",AH8-AI8)</f>
        <v>0</v>
      </c>
      <c r="AK8" s="176">
        <f>IF(C8="","",SUMIF(Compt.!$CO$5:$CO$100,C8,Compt.!$CS$5:$CS$100))</f>
        <v>0</v>
      </c>
      <c r="AL8" s="176">
        <f>IF(C8="","",SUMIF(Compt.!$CO$5:$CO$100,C8,Compt.!$CT$5:$CT$100))</f>
        <v>0</v>
      </c>
      <c r="AM8" s="176">
        <f t="shared" ref="AM8:AM12" si="11">IF(C8="","",AK8-AL8)</f>
        <v>0</v>
      </c>
      <c r="AN8" s="176">
        <f>IF(C8="","",SUMIF(Compt.!$CW$5:$CW$100,C8,Compt.!$DA$5:$DA$100))</f>
        <v>0</v>
      </c>
      <c r="AO8" s="176">
        <f>IF(C8="","",SUMIF(Compt.!$CW$5:$CW$100,C8,Compt.!$DB$5:$DB$100))</f>
        <v>0</v>
      </c>
      <c r="AP8" s="176">
        <f t="shared" ref="AP8:AP12" si="12">IF(C8="","",AN8-AO8)</f>
        <v>0</v>
      </c>
      <c r="AQ8" s="176">
        <f>IF(C8="","",SUMIF(Compt.!$DE$5:$DE$100,C8,Compt.!$DI$5:$DI$100))</f>
        <v>0</v>
      </c>
      <c r="AR8" s="176">
        <f>IF(C8="","",SUMIF(Compt.!$DE$5:$DE$100,C8,Compt.!$DJ$5:$DJ$100))</f>
        <v>0</v>
      </c>
      <c r="AS8" s="176">
        <f t="shared" ref="AS8:AS12" si="13">IF(C8="","",AQ8-AR8)</f>
        <v>0</v>
      </c>
    </row>
    <row r="9" spans="1:45" customFormat="1" x14ac:dyDescent="0.25">
      <c r="A9" s="158" t="s">
        <v>215</v>
      </c>
      <c r="B9" s="159" t="s">
        <v>214</v>
      </c>
      <c r="C9" s="182"/>
      <c r="D9" s="176">
        <f>SUMIF(Compt.!$E$5:$E$100,C9,Compt.!$I$5:$I$100)</f>
        <v>0</v>
      </c>
      <c r="E9" s="176">
        <f>SUMIF(Compt.!$E$5:$E$100,C9,Compt.!$J$5:$J$100)</f>
        <v>0</v>
      </c>
      <c r="F9" s="176" t="str">
        <f t="shared" si="0"/>
        <v/>
      </c>
      <c r="G9" s="176" t="str">
        <f>IF(C9="","",SUMIF(Compt.!$M$5:$M$100,C9,Compt.!$Q$5:$Q$100))</f>
        <v/>
      </c>
      <c r="H9" s="176" t="str">
        <f>IF(C9="","",SUMIF(Compt.!$M$5:$M$100,C9,Compt.!$R$5:$R$100))</f>
        <v/>
      </c>
      <c r="I9" s="176" t="str">
        <f t="shared" si="1"/>
        <v/>
      </c>
      <c r="J9" s="176" t="str">
        <f>IF(C9="","",SUMIF(Compt.!$U$5:$U$100,C9,Compt.!$Y$5:$Y$100))</f>
        <v/>
      </c>
      <c r="K9" s="176" t="str">
        <f>IF(C9="","",SUMIF(Compt.!$U$5:$U$100,C9,Compt.!$Z$5:$Z$100))</f>
        <v/>
      </c>
      <c r="L9" s="176" t="str">
        <f t="shared" si="2"/>
        <v/>
      </c>
      <c r="M9" s="176" t="str">
        <f>IF(C9="","",SUMIF(Compt.!$AC$5:$AC$100,C9,Compt.!$AG$5:$AG$100))</f>
        <v/>
      </c>
      <c r="N9" s="176" t="str">
        <f>IF(C9="","",SUMIF(Compt.!$AC$5:$AC$100,C9,Compt.!$AH$5:$AH$100))</f>
        <v/>
      </c>
      <c r="O9" s="176" t="str">
        <f t="shared" si="3"/>
        <v/>
      </c>
      <c r="P9" s="176" t="str">
        <f>IF(C9="","",SUMIF(Compt.!$AK$5:$AK$100,C9,Compt.!$AO$5:$AO$100))</f>
        <v/>
      </c>
      <c r="Q9" s="176" t="str">
        <f>IF(C9="","",SUMIF(Compt.!$AK$5:$AK$100,C9,Compt.!$AP$5:$AP$100))</f>
        <v/>
      </c>
      <c r="R9" s="176" t="str">
        <f t="shared" si="4"/>
        <v/>
      </c>
      <c r="S9" s="176" t="str">
        <f>IF(C9="","",SUMIF(Compt.!$AS$5:$AS$100,C9,Compt.!$AW$5:$AW$100))</f>
        <v/>
      </c>
      <c r="T9" s="176" t="str">
        <f>IF(C9="","",SUMIF(Compt.!$AS$5:$AS$100,C9,Compt.!$AX$5:$AX$100))</f>
        <v/>
      </c>
      <c r="U9" s="176" t="str">
        <f t="shared" si="5"/>
        <v/>
      </c>
      <c r="V9" s="176" t="str">
        <f>IF(C9="","",SUMIF(Compt.!$BA$5:$BA$100,C9,Compt.!$BE$5:$BE$100))</f>
        <v/>
      </c>
      <c r="W9" s="176" t="str">
        <f>IF(C9="","",SUMIF(Compt.!$BA$5:$BA$100,C9,Compt.!$BF$5:$BF$100))</f>
        <v/>
      </c>
      <c r="X9" s="176" t="str">
        <f t="shared" si="6"/>
        <v/>
      </c>
      <c r="Y9" s="176" t="str">
        <f>IF(C9="","",SUMIF(Compt.!$BI$5:$BI$100,C9,Compt.!$BM$5:$BM$100))</f>
        <v/>
      </c>
      <c r="Z9" s="176" t="str">
        <f>IF(C9="","",SUMIF(Compt.!$BI$5:$BI$100,C9,Compt.!$BN$5:$BN$100))</f>
        <v/>
      </c>
      <c r="AA9" s="176" t="str">
        <f t="shared" si="7"/>
        <v/>
      </c>
      <c r="AB9" s="176" t="str">
        <f>IF(C9="","",SUMIF(Compt.!$BQ$5:$BQ$100,C9,Compt.!$BU$5:$BU$100))</f>
        <v/>
      </c>
      <c r="AC9" s="176" t="str">
        <f>IF(C9="","",SUMIF(Compt.!$BQ$5:$BQ$100,C9,Compt.!$BV$5:$BV$100))</f>
        <v/>
      </c>
      <c r="AD9" s="176" t="str">
        <f t="shared" si="8"/>
        <v/>
      </c>
      <c r="AE9" s="176" t="str">
        <f>IF(C9="","",SUMIF(Compt.!$BY$5:$BY$100,C9,Compt.!$CC$5:$CC$100))</f>
        <v/>
      </c>
      <c r="AF9" s="176" t="str">
        <f>IF(C9="","",SUMIF(Compt.!$BY$5:$BY$100,C9,Compt.!$CD$5:$CD$100))</f>
        <v/>
      </c>
      <c r="AG9" s="176" t="str">
        <f t="shared" si="9"/>
        <v/>
      </c>
      <c r="AH9" s="176" t="str">
        <f>IF(C9="","",SUMIF(Compt.!$CG$5:$CG$100,C9,Compt.!$CK$5:$CK$100))</f>
        <v/>
      </c>
      <c r="AI9" s="176" t="str">
        <f>IF(C9="","",SUMIF(Compt.!$CG$5:$CG$100,C9,Compt.!$CL$5:$CL$100))</f>
        <v/>
      </c>
      <c r="AJ9" s="176" t="str">
        <f t="shared" si="10"/>
        <v/>
      </c>
      <c r="AK9" s="176" t="str">
        <f>IF(C9="","",SUMIF(Compt.!$CO$5:$CO$100,C9,Compt.!$CS$5:$CS$100))</f>
        <v/>
      </c>
      <c r="AL9" s="176" t="str">
        <f>IF(C9="","",SUMIF(Compt.!$CO$5:$CO$100,C9,Compt.!$CT$5:$CT$100))</f>
        <v/>
      </c>
      <c r="AM9" s="176" t="str">
        <f t="shared" si="11"/>
        <v/>
      </c>
      <c r="AN9" s="176" t="str">
        <f>IF(C9="","",SUMIF(Compt.!$CW$5:$CW$100,C9,Compt.!$DA$5:$DA$100))</f>
        <v/>
      </c>
      <c r="AO9" s="176" t="str">
        <f>IF(C9="","",SUMIF(Compt.!$CW$5:$CW$100,C9,Compt.!$DB$5:$DB$100))</f>
        <v/>
      </c>
      <c r="AP9" s="176" t="str">
        <f t="shared" si="12"/>
        <v/>
      </c>
      <c r="AQ9" s="176" t="str">
        <f>IF(C9="","",SUMIF(Compt.!$DE$5:$DE$100,C9,Compt.!$DI$5:$DI$100))</f>
        <v/>
      </c>
      <c r="AR9" s="176" t="str">
        <f>IF(C9="","",SUMIF(Compt.!$DE$5:$DE$100,C9,Compt.!$DJ$5:$DJ$100))</f>
        <v/>
      </c>
      <c r="AS9" s="176" t="str">
        <f t="shared" si="13"/>
        <v/>
      </c>
    </row>
    <row r="10" spans="1:45" customFormat="1" x14ac:dyDescent="0.25">
      <c r="A10" s="160" t="s">
        <v>2008</v>
      </c>
      <c r="B10" s="158" t="s">
        <v>216</v>
      </c>
      <c r="C10" s="182"/>
      <c r="D10" s="176">
        <f>SUMIF(Compt.!$E$5:$E$100,C10,Compt.!$I$5:$I$100)</f>
        <v>0</v>
      </c>
      <c r="E10" s="176">
        <f>SUMIF(Compt.!$E$5:$E$100,C10,Compt.!$J$5:$J$100)</f>
        <v>0</v>
      </c>
      <c r="F10" s="176" t="str">
        <f t="shared" si="0"/>
        <v/>
      </c>
      <c r="G10" s="176" t="str">
        <f>IF(C10="","",SUMIF(Compt.!$M$5:$M$100,C10,Compt.!$Q$5:$Q$100))</f>
        <v/>
      </c>
      <c r="H10" s="176" t="str">
        <f>IF(C10="","",SUMIF(Compt.!$M$5:$M$100,C10,Compt.!$R$5:$R$100))</f>
        <v/>
      </c>
      <c r="I10" s="176" t="str">
        <f t="shared" si="1"/>
        <v/>
      </c>
      <c r="J10" s="176" t="str">
        <f>IF(C10="","",SUMIF(Compt.!$U$5:$U$100,C10,Compt.!$Y$5:$Y$100))</f>
        <v/>
      </c>
      <c r="K10" s="176" t="str">
        <f>IF(C10="","",SUMIF(Compt.!$U$5:$U$100,C10,Compt.!$Z$5:$Z$100))</f>
        <v/>
      </c>
      <c r="L10" s="176" t="str">
        <f t="shared" si="2"/>
        <v/>
      </c>
      <c r="M10" s="176" t="str">
        <f>IF(C10="","",SUMIF(Compt.!$AC$5:$AC$100,C10,Compt.!$AG$5:$AG$100))</f>
        <v/>
      </c>
      <c r="N10" s="176" t="str">
        <f>IF(C10="","",SUMIF(Compt.!$AC$5:$AC$100,C10,Compt.!$AH$5:$AH$100))</f>
        <v/>
      </c>
      <c r="O10" s="176" t="str">
        <f t="shared" si="3"/>
        <v/>
      </c>
      <c r="P10" s="176" t="str">
        <f>IF(C10="","",SUMIF(Compt.!$AK$5:$AK$100,C10,Compt.!$AO$5:$AO$100))</f>
        <v/>
      </c>
      <c r="Q10" s="176" t="str">
        <f>IF(C10="","",SUMIF(Compt.!$AK$5:$AK$100,C10,Compt.!$AP$5:$AP$100))</f>
        <v/>
      </c>
      <c r="R10" s="176" t="str">
        <f t="shared" si="4"/>
        <v/>
      </c>
      <c r="S10" s="176" t="str">
        <f>IF(C10="","",SUMIF(Compt.!$AS$5:$AS$100,C10,Compt.!$AW$5:$AW$100))</f>
        <v/>
      </c>
      <c r="T10" s="176" t="str">
        <f>IF(C10="","",SUMIF(Compt.!$AS$5:$AS$100,C10,Compt.!$AX$5:$AX$100))</f>
        <v/>
      </c>
      <c r="U10" s="176" t="str">
        <f t="shared" si="5"/>
        <v/>
      </c>
      <c r="V10" s="176" t="str">
        <f>IF(C10="","",SUMIF(Compt.!$BA$5:$BA$100,C10,Compt.!$BE$5:$BE$100))</f>
        <v/>
      </c>
      <c r="W10" s="176" t="str">
        <f>IF(C10="","",SUMIF(Compt.!$BA$5:$BA$100,C10,Compt.!$BF$5:$BF$100))</f>
        <v/>
      </c>
      <c r="X10" s="176" t="str">
        <f t="shared" si="6"/>
        <v/>
      </c>
      <c r="Y10" s="176" t="str">
        <f>IF(C10="","",SUMIF(Compt.!$BI$5:$BI$100,C10,Compt.!$BM$5:$BM$100))</f>
        <v/>
      </c>
      <c r="Z10" s="176" t="str">
        <f>IF(C10="","",SUMIF(Compt.!$BI$5:$BI$100,C10,Compt.!$BN$5:$BN$100))</f>
        <v/>
      </c>
      <c r="AA10" s="176" t="str">
        <f t="shared" si="7"/>
        <v/>
      </c>
      <c r="AB10" s="176" t="str">
        <f>IF(C10="","",SUMIF(Compt.!$BQ$5:$BQ$100,C10,Compt.!$BU$5:$BU$100))</f>
        <v/>
      </c>
      <c r="AC10" s="176" t="str">
        <f>IF(C10="","",SUMIF(Compt.!$BQ$5:$BQ$100,C10,Compt.!$BV$5:$BV$100))</f>
        <v/>
      </c>
      <c r="AD10" s="176" t="str">
        <f t="shared" si="8"/>
        <v/>
      </c>
      <c r="AE10" s="176" t="str">
        <f>IF(C10="","",SUMIF(Compt.!$BY$5:$BY$100,C10,Compt.!$CC$5:$CC$100))</f>
        <v/>
      </c>
      <c r="AF10" s="176" t="str">
        <f>IF(C10="","",SUMIF(Compt.!$BY$5:$BY$100,C10,Compt.!$CD$5:$CD$100))</f>
        <v/>
      </c>
      <c r="AG10" s="176" t="str">
        <f t="shared" si="9"/>
        <v/>
      </c>
      <c r="AH10" s="176" t="str">
        <f>IF(C10="","",SUMIF(Compt.!$CG$5:$CG$100,C10,Compt.!$CK$5:$CK$100))</f>
        <v/>
      </c>
      <c r="AI10" s="176" t="str">
        <f>IF(C10="","",SUMIF(Compt.!$CG$5:$CG$100,C10,Compt.!$CL$5:$CL$100))</f>
        <v/>
      </c>
      <c r="AJ10" s="176" t="str">
        <f t="shared" si="10"/>
        <v/>
      </c>
      <c r="AK10" s="176" t="str">
        <f>IF(C10="","",SUMIF(Compt.!$CO$5:$CO$100,C10,Compt.!$CS$5:$CS$100))</f>
        <v/>
      </c>
      <c r="AL10" s="176" t="str">
        <f>IF(C10="","",SUMIF(Compt.!$CO$5:$CO$100,C10,Compt.!$CT$5:$CT$100))</f>
        <v/>
      </c>
      <c r="AM10" s="176" t="str">
        <f t="shared" si="11"/>
        <v/>
      </c>
      <c r="AN10" s="176" t="str">
        <f>IF(C10="","",SUMIF(Compt.!$CW$5:$CW$100,C10,Compt.!$DA$5:$DA$100))</f>
        <v/>
      </c>
      <c r="AO10" s="176" t="str">
        <f>IF(C10="","",SUMIF(Compt.!$CW$5:$CW$100,C10,Compt.!$DB$5:$DB$100))</f>
        <v/>
      </c>
      <c r="AP10" s="176" t="str">
        <f t="shared" si="12"/>
        <v/>
      </c>
      <c r="AQ10" s="176" t="str">
        <f>IF(C10="","",SUMIF(Compt.!$DE$5:$DE$100,C10,Compt.!$DI$5:$DI$100))</f>
        <v/>
      </c>
      <c r="AR10" s="176" t="str">
        <f>IF(C10="","",SUMIF(Compt.!$DE$5:$DE$100,C10,Compt.!$DJ$5:$DJ$100))</f>
        <v/>
      </c>
      <c r="AS10" s="176" t="str">
        <f t="shared" si="13"/>
        <v/>
      </c>
    </row>
    <row r="11" spans="1:45" customFormat="1" x14ac:dyDescent="0.25">
      <c r="A11" s="158"/>
      <c r="B11" s="159"/>
      <c r="C11" s="182"/>
      <c r="D11" s="176">
        <f>SUMIF(Compt.!$E$5:$E$100,C11,Compt.!$I$5:$I$100)</f>
        <v>0</v>
      </c>
      <c r="E11" s="176">
        <f>SUMIF(Compt.!$E$5:$E$100,C11,Compt.!$J$5:$J$100)</f>
        <v>0</v>
      </c>
      <c r="F11" s="176" t="str">
        <f t="shared" si="0"/>
        <v/>
      </c>
      <c r="G11" s="176" t="str">
        <f>IF(C11="","",SUMIF(Compt.!$M$5:$M$100,C11,Compt.!$Q$5:$Q$100))</f>
        <v/>
      </c>
      <c r="H11" s="176" t="str">
        <f>IF(C11="","",SUMIF(Compt.!$M$5:$M$100,C11,Compt.!$R$5:$R$100))</f>
        <v/>
      </c>
      <c r="I11" s="176" t="str">
        <f t="shared" si="1"/>
        <v/>
      </c>
      <c r="J11" s="176" t="str">
        <f>IF(C11="","",SUMIF(Compt.!$U$5:$U$100,C11,Compt.!$Y$5:$Y$100))</f>
        <v/>
      </c>
      <c r="K11" s="176" t="str">
        <f>IF(C11="","",SUMIF(Compt.!$U$5:$U$100,C11,Compt.!$Z$5:$Z$100))</f>
        <v/>
      </c>
      <c r="L11" s="176" t="str">
        <f t="shared" si="2"/>
        <v/>
      </c>
      <c r="M11" s="176" t="str">
        <f>IF(C11="","",SUMIF(Compt.!$AC$5:$AC$100,C11,Compt.!$AG$5:$AG$100))</f>
        <v/>
      </c>
      <c r="N11" s="176" t="str">
        <f>IF(C11="","",SUMIF(Compt.!$AC$5:$AC$100,C11,Compt.!$AH$5:$AH$100))</f>
        <v/>
      </c>
      <c r="O11" s="176" t="str">
        <f t="shared" si="3"/>
        <v/>
      </c>
      <c r="P11" s="176" t="str">
        <f>IF(C11="","",SUMIF(Compt.!$AK$5:$AK$100,C11,Compt.!$AO$5:$AO$100))</f>
        <v/>
      </c>
      <c r="Q11" s="176" t="str">
        <f>IF(C11="","",SUMIF(Compt.!$AK$5:$AK$100,C11,Compt.!$AP$5:$AP$100))</f>
        <v/>
      </c>
      <c r="R11" s="176" t="str">
        <f t="shared" si="4"/>
        <v/>
      </c>
      <c r="S11" s="176" t="str">
        <f>IF(C11="","",SUMIF(Compt.!$AS$5:$AS$100,C11,Compt.!$AW$5:$AW$100))</f>
        <v/>
      </c>
      <c r="T11" s="176" t="str">
        <f>IF(C11="","",SUMIF(Compt.!$AS$5:$AS$100,C11,Compt.!$AX$5:$AX$100))</f>
        <v/>
      </c>
      <c r="U11" s="176" t="str">
        <f t="shared" si="5"/>
        <v/>
      </c>
      <c r="V11" s="176" t="str">
        <f>IF(C11="","",SUMIF(Compt.!$BA$5:$BA$100,C11,Compt.!$BE$5:$BE$100))</f>
        <v/>
      </c>
      <c r="W11" s="176" t="str">
        <f>IF(C11="","",SUMIF(Compt.!$BA$5:$BA$100,C11,Compt.!$BF$5:$BF$100))</f>
        <v/>
      </c>
      <c r="X11" s="176" t="str">
        <f t="shared" si="6"/>
        <v/>
      </c>
      <c r="Y11" s="176" t="str">
        <f>IF(C11="","",SUMIF(Compt.!$BI$5:$BI$100,C11,Compt.!$BM$5:$BM$100))</f>
        <v/>
      </c>
      <c r="Z11" s="176" t="str">
        <f>IF(C11="","",SUMIF(Compt.!$BI$5:$BI$100,C11,Compt.!$BN$5:$BN$100))</f>
        <v/>
      </c>
      <c r="AA11" s="176" t="str">
        <f t="shared" si="7"/>
        <v/>
      </c>
      <c r="AB11" s="176" t="str">
        <f>IF(C11="","",SUMIF(Compt.!$BQ$5:$BQ$100,C11,Compt.!$BU$5:$BU$100))</f>
        <v/>
      </c>
      <c r="AC11" s="176" t="str">
        <f>IF(C11="","",SUMIF(Compt.!$BQ$5:$BQ$100,C11,Compt.!$BV$5:$BV$100))</f>
        <v/>
      </c>
      <c r="AD11" s="176" t="str">
        <f t="shared" si="8"/>
        <v/>
      </c>
      <c r="AE11" s="176" t="str">
        <f>IF(C11="","",SUMIF(Compt.!$BY$5:$BY$100,C11,Compt.!$CC$5:$CC$100))</f>
        <v/>
      </c>
      <c r="AF11" s="176" t="str">
        <f>IF(C11="","",SUMIF(Compt.!$BY$5:$BY$100,C11,Compt.!$CD$5:$CD$100))</f>
        <v/>
      </c>
      <c r="AG11" s="176" t="str">
        <f t="shared" si="9"/>
        <v/>
      </c>
      <c r="AH11" s="176" t="str">
        <f>IF(C11="","",SUMIF(Compt.!$CG$5:$CG$100,C11,Compt.!$CK$5:$CK$100))</f>
        <v/>
      </c>
      <c r="AI11" s="176" t="str">
        <f>IF(C11="","",SUMIF(Compt.!$CG$5:$CG$100,C11,Compt.!$CL$5:$CL$100))</f>
        <v/>
      </c>
      <c r="AJ11" s="176" t="str">
        <f t="shared" si="10"/>
        <v/>
      </c>
      <c r="AK11" s="176" t="str">
        <f>IF(C11="","",SUMIF(Compt.!$CO$5:$CO$100,C11,Compt.!$CS$5:$CS$100))</f>
        <v/>
      </c>
      <c r="AL11" s="176" t="str">
        <f>IF(C11="","",SUMIF(Compt.!$CO$5:$CO$100,C11,Compt.!$CT$5:$CT$100))</f>
        <v/>
      </c>
      <c r="AM11" s="176" t="str">
        <f t="shared" si="11"/>
        <v/>
      </c>
      <c r="AN11" s="176" t="str">
        <f>IF(C11="","",SUMIF(Compt.!$CW$5:$CW$100,C11,Compt.!$DA$5:$DA$100))</f>
        <v/>
      </c>
      <c r="AO11" s="176" t="str">
        <f>IF(C11="","",SUMIF(Compt.!$CW$5:$CW$100,C11,Compt.!$DB$5:$DB$100))</f>
        <v/>
      </c>
      <c r="AP11" s="176" t="str">
        <f t="shared" si="12"/>
        <v/>
      </c>
      <c r="AQ11" s="176" t="str">
        <f>IF(C11="","",SUMIF(Compt.!$DE$5:$DE$100,C11,Compt.!$DI$5:$DI$100))</f>
        <v/>
      </c>
      <c r="AR11" s="176" t="str">
        <f>IF(C11="","",SUMIF(Compt.!$DE$5:$DE$100,C11,Compt.!$DJ$5:$DJ$100))</f>
        <v/>
      </c>
      <c r="AS11" s="176" t="str">
        <f t="shared" si="13"/>
        <v/>
      </c>
    </row>
    <row r="12" spans="1:45" customFormat="1" x14ac:dyDescent="0.25">
      <c r="A12" s="160"/>
      <c r="C12" s="183"/>
      <c r="D12" s="176">
        <f>SUMIF(Compt.!$E$5:$E$100,C12,Compt.!$I$5:$I$100)</f>
        <v>0</v>
      </c>
      <c r="E12" s="176">
        <f>SUMIF(Compt.!$E$5:$E$100,C12,Compt.!$J$5:$J$100)</f>
        <v>0</v>
      </c>
      <c r="F12" s="176" t="str">
        <f t="shared" si="0"/>
        <v/>
      </c>
      <c r="G12" s="176" t="str">
        <f>IF(C12="","",SUMIF(Compt.!$M$5:$M$100,C12,Compt.!$Q$5:$Q$100))</f>
        <v/>
      </c>
      <c r="H12" s="176" t="str">
        <f>IF(C12="","",SUMIF(Compt.!$M$5:$M$100,C12,Compt.!$R$5:$R$100))</f>
        <v/>
      </c>
      <c r="I12" s="176" t="str">
        <f t="shared" si="1"/>
        <v/>
      </c>
      <c r="J12" s="176" t="str">
        <f>IF(C12="","",SUMIF(Compt.!$U$5:$U$100,C12,Compt.!$Y$5:$Y$100))</f>
        <v/>
      </c>
      <c r="K12" s="176" t="str">
        <f>IF(C12="","",SUMIF(Compt.!$U$5:$U$100,C12,Compt.!$Z$5:$Z$100))</f>
        <v/>
      </c>
      <c r="L12" s="176" t="str">
        <f t="shared" si="2"/>
        <v/>
      </c>
      <c r="M12" s="176" t="str">
        <f>IF(C12="","",SUMIF(Compt.!$AC$5:$AC$100,C12,Compt.!$AG$5:$AG$100))</f>
        <v/>
      </c>
      <c r="N12" s="176" t="str">
        <f>IF(C12="","",SUMIF(Compt.!$AC$5:$AC$100,C12,Compt.!$AH$5:$AH$100))</f>
        <v/>
      </c>
      <c r="O12" s="176" t="str">
        <f t="shared" si="3"/>
        <v/>
      </c>
      <c r="P12" s="176" t="str">
        <f>IF(C12="","",SUMIF(Compt.!$AK$5:$AK$100,C12,Compt.!$AO$5:$AO$100))</f>
        <v/>
      </c>
      <c r="Q12" s="176" t="str">
        <f>IF(C12="","",SUMIF(Compt.!$AK$5:$AK$100,C12,Compt.!$AP$5:$AP$100))</f>
        <v/>
      </c>
      <c r="R12" s="176" t="str">
        <f t="shared" si="4"/>
        <v/>
      </c>
      <c r="S12" s="176" t="str">
        <f>IF(C12="","",SUMIF(Compt.!$AS$5:$AS$100,C12,Compt.!$AW$5:$AW$100))</f>
        <v/>
      </c>
      <c r="T12" s="176" t="str">
        <f>IF(C12="","",SUMIF(Compt.!$AS$5:$AS$100,C12,Compt.!$AX$5:$AX$100))</f>
        <v/>
      </c>
      <c r="U12" s="176" t="str">
        <f t="shared" si="5"/>
        <v/>
      </c>
      <c r="V12" s="176" t="str">
        <f>IF(C12="","",SUMIF(Compt.!$BA$5:$BA$100,C12,Compt.!$BE$5:$BE$100))</f>
        <v/>
      </c>
      <c r="W12" s="176" t="str">
        <f>IF(C12="","",SUMIF(Compt.!$BA$5:$BA$100,C12,Compt.!$BF$5:$BF$100))</f>
        <v/>
      </c>
      <c r="X12" s="176" t="str">
        <f t="shared" si="6"/>
        <v/>
      </c>
      <c r="Y12" s="176" t="str">
        <f>IF(C12="","",SUMIF(Compt.!$BI$5:$BI$100,C12,Compt.!$BM$5:$BM$100))</f>
        <v/>
      </c>
      <c r="Z12" s="176" t="str">
        <f>IF(C12="","",SUMIF(Compt.!$BI$5:$BI$100,C12,Compt.!$BN$5:$BN$100))</f>
        <v/>
      </c>
      <c r="AA12" s="176" t="str">
        <f t="shared" si="7"/>
        <v/>
      </c>
      <c r="AB12" s="176" t="str">
        <f>IF(C12="","",SUMIF(Compt.!$BQ$5:$BQ$100,C12,Compt.!$BU$5:$BU$100))</f>
        <v/>
      </c>
      <c r="AC12" s="176" t="str">
        <f>IF(C12="","",SUMIF(Compt.!$BQ$5:$BQ$100,C12,Compt.!$BV$5:$BV$100))</f>
        <v/>
      </c>
      <c r="AD12" s="176" t="str">
        <f t="shared" si="8"/>
        <v/>
      </c>
      <c r="AE12" s="176" t="str">
        <f>IF(C12="","",SUMIF(Compt.!$BY$5:$BY$100,C12,Compt.!$CC$5:$CC$100))</f>
        <v/>
      </c>
      <c r="AF12" s="176" t="str">
        <f>IF(C12="","",SUMIF(Compt.!$BY$5:$BY$100,C12,Compt.!$CD$5:$CD$100))</f>
        <v/>
      </c>
      <c r="AG12" s="176" t="str">
        <f t="shared" si="9"/>
        <v/>
      </c>
      <c r="AH12" s="176" t="str">
        <f>IF(C12="","",SUMIF(Compt.!$CG$5:$CG$100,C12,Compt.!$CK$5:$CK$100))</f>
        <v/>
      </c>
      <c r="AI12" s="176" t="str">
        <f>IF(C12="","",SUMIF(Compt.!$CG$5:$CG$100,C12,Compt.!$CL$5:$CL$100))</f>
        <v/>
      </c>
      <c r="AJ12" s="176" t="str">
        <f t="shared" si="10"/>
        <v/>
      </c>
      <c r="AK12" s="176" t="str">
        <f>IF(C12="","",SUMIF(Compt.!$CO$5:$CO$100,C12,Compt.!$CS$5:$CS$100))</f>
        <v/>
      </c>
      <c r="AL12" s="176" t="str">
        <f>IF(C12="","",SUMIF(Compt.!$CO$5:$CO$100,C12,Compt.!$CT$5:$CT$100))</f>
        <v/>
      </c>
      <c r="AM12" s="176" t="str">
        <f t="shared" si="11"/>
        <v/>
      </c>
      <c r="AN12" s="176" t="str">
        <f>IF(C12="","",SUMIF(Compt.!$CW$5:$CW$100,C12,Compt.!$DA$5:$DA$100))</f>
        <v/>
      </c>
      <c r="AO12" s="176" t="str">
        <f>IF(C12="","",SUMIF(Compt.!$CW$5:$CW$100,C12,Compt.!$DB$5:$DB$100))</f>
        <v/>
      </c>
      <c r="AP12" s="176" t="str">
        <f t="shared" si="12"/>
        <v/>
      </c>
      <c r="AQ12" s="176" t="str">
        <f>IF(C12="","",SUMIF(Compt.!$DE$5:$DE$100,C12,Compt.!$DI$5:$DI$100))</f>
        <v/>
      </c>
      <c r="AR12" s="176" t="str">
        <f>IF(C12="","",SUMIF(Compt.!$DE$5:$DE$100,C12,Compt.!$DJ$5:$DJ$100))</f>
        <v/>
      </c>
      <c r="AS12" s="176" t="str">
        <f t="shared" si="13"/>
        <v/>
      </c>
    </row>
    <row r="13" spans="1:45" customFormat="1" x14ac:dyDescent="0.25">
      <c r="A13" s="159"/>
      <c r="B13" s="159"/>
      <c r="C13" s="180"/>
      <c r="D13" s="178">
        <f t="shared" ref="D13:AS13" si="14">SUM(D7:D12)</f>
        <v>238770</v>
      </c>
      <c r="E13" s="178">
        <f t="shared" si="14"/>
        <v>166900</v>
      </c>
      <c r="F13" s="178">
        <f t="shared" si="14"/>
        <v>71870</v>
      </c>
      <c r="G13" s="178">
        <f t="shared" si="14"/>
        <v>0</v>
      </c>
      <c r="H13" s="178">
        <f t="shared" si="14"/>
        <v>0</v>
      </c>
      <c r="I13" s="178">
        <f t="shared" si="14"/>
        <v>0</v>
      </c>
      <c r="J13" s="178">
        <f t="shared" si="14"/>
        <v>0</v>
      </c>
      <c r="K13" s="178">
        <f t="shared" si="14"/>
        <v>0</v>
      </c>
      <c r="L13" s="178">
        <f t="shared" si="14"/>
        <v>0</v>
      </c>
      <c r="M13" s="178">
        <f t="shared" si="14"/>
        <v>0</v>
      </c>
      <c r="N13" s="178">
        <f t="shared" si="14"/>
        <v>0</v>
      </c>
      <c r="O13" s="178">
        <f t="shared" si="14"/>
        <v>0</v>
      </c>
      <c r="P13" s="178">
        <f t="shared" si="14"/>
        <v>0</v>
      </c>
      <c r="Q13" s="178">
        <f t="shared" si="14"/>
        <v>0</v>
      </c>
      <c r="R13" s="178">
        <f t="shared" si="14"/>
        <v>0</v>
      </c>
      <c r="S13" s="178">
        <f t="shared" si="14"/>
        <v>0</v>
      </c>
      <c r="T13" s="178">
        <f t="shared" si="14"/>
        <v>0</v>
      </c>
      <c r="U13" s="178">
        <f t="shared" si="14"/>
        <v>0</v>
      </c>
      <c r="V13" s="178">
        <f t="shared" ca="1" si="14"/>
        <v>0</v>
      </c>
      <c r="W13" s="178">
        <f t="shared" si="14"/>
        <v>0</v>
      </c>
      <c r="X13" s="178">
        <f t="shared" ca="1" si="14"/>
        <v>0</v>
      </c>
      <c r="Y13" s="178">
        <f t="shared" si="14"/>
        <v>0</v>
      </c>
      <c r="Z13" s="178">
        <f t="shared" si="14"/>
        <v>0</v>
      </c>
      <c r="AA13" s="178">
        <f t="shared" si="14"/>
        <v>0</v>
      </c>
      <c r="AB13" s="178">
        <f t="shared" si="14"/>
        <v>0</v>
      </c>
      <c r="AC13" s="178">
        <f t="shared" si="14"/>
        <v>0</v>
      </c>
      <c r="AD13" s="178">
        <f t="shared" si="14"/>
        <v>0</v>
      </c>
      <c r="AE13" s="178">
        <f t="shared" si="14"/>
        <v>0</v>
      </c>
      <c r="AF13" s="178">
        <f t="shared" si="14"/>
        <v>0</v>
      </c>
      <c r="AG13" s="178">
        <f t="shared" si="14"/>
        <v>0</v>
      </c>
      <c r="AH13" s="178">
        <f t="shared" si="14"/>
        <v>0</v>
      </c>
      <c r="AI13" s="178">
        <f t="shared" si="14"/>
        <v>0</v>
      </c>
      <c r="AJ13" s="178">
        <f t="shared" si="14"/>
        <v>0</v>
      </c>
      <c r="AK13" s="178">
        <f t="shared" si="14"/>
        <v>0</v>
      </c>
      <c r="AL13" s="178">
        <f t="shared" si="14"/>
        <v>0</v>
      </c>
      <c r="AM13" s="178">
        <f t="shared" si="14"/>
        <v>0</v>
      </c>
      <c r="AN13" s="178">
        <f t="shared" si="14"/>
        <v>0</v>
      </c>
      <c r="AO13" s="178">
        <f t="shared" si="14"/>
        <v>0</v>
      </c>
      <c r="AP13" s="178">
        <f t="shared" si="14"/>
        <v>0</v>
      </c>
      <c r="AQ13" s="178">
        <f t="shared" si="14"/>
        <v>0</v>
      </c>
      <c r="AR13" s="178">
        <f t="shared" si="14"/>
        <v>0</v>
      </c>
      <c r="AS13" s="178">
        <f t="shared" si="14"/>
        <v>0</v>
      </c>
    </row>
    <row r="14" spans="1:45" x14ac:dyDescent="0.25">
      <c r="A14" s="160"/>
      <c r="B14" s="159"/>
      <c r="C14" s="179"/>
      <c r="D14" s="38" t="s">
        <v>10</v>
      </c>
      <c r="E14" s="38" t="s">
        <v>102</v>
      </c>
      <c r="F14" s="38" t="s">
        <v>103</v>
      </c>
      <c r="G14" s="38" t="s">
        <v>160</v>
      </c>
      <c r="H14" s="38"/>
      <c r="I14" s="38"/>
      <c r="J14" s="38"/>
      <c r="K14" s="38"/>
      <c r="L14" s="38"/>
    </row>
    <row r="15" spans="1:45" x14ac:dyDescent="0.25">
      <c r="A15" s="160"/>
      <c r="B15" s="159"/>
      <c r="D15" s="38">
        <v>2017</v>
      </c>
      <c r="E15" s="38">
        <f>D13</f>
        <v>238770</v>
      </c>
      <c r="F15" s="38">
        <f>E13</f>
        <v>166900</v>
      </c>
      <c r="G15" s="38">
        <f>F13</f>
        <v>71870</v>
      </c>
    </row>
    <row r="16" spans="1:45" x14ac:dyDescent="0.25">
      <c r="A16" s="160"/>
      <c r="B16" s="159"/>
      <c r="D16" s="38">
        <v>2018</v>
      </c>
      <c r="E16" s="38">
        <f>G13</f>
        <v>0</v>
      </c>
      <c r="F16" s="38">
        <f>H13</f>
        <v>0</v>
      </c>
      <c r="G16" s="38">
        <f>I13</f>
        <v>0</v>
      </c>
    </row>
    <row r="17" spans="1:17" x14ac:dyDescent="0.25">
      <c r="A17" s="160"/>
      <c r="B17" s="159"/>
      <c r="D17" s="38">
        <v>2019</v>
      </c>
      <c r="E17" s="38">
        <f>J13</f>
        <v>0</v>
      </c>
      <c r="F17" s="38">
        <f>K13</f>
        <v>0</v>
      </c>
      <c r="G17" s="38">
        <f>L13</f>
        <v>0</v>
      </c>
    </row>
    <row r="18" spans="1:17" x14ac:dyDescent="0.25">
      <c r="A18" s="160"/>
      <c r="B18" s="159"/>
      <c r="D18" s="38">
        <v>2020</v>
      </c>
      <c r="E18" s="38">
        <f>M13</f>
        <v>0</v>
      </c>
      <c r="F18" s="38">
        <f>N13</f>
        <v>0</v>
      </c>
      <c r="G18" s="38">
        <f>O13</f>
        <v>0</v>
      </c>
    </row>
    <row r="19" spans="1:17" x14ac:dyDescent="0.25">
      <c r="A19" s="160"/>
      <c r="B19" s="159"/>
      <c r="D19" s="38">
        <v>2021</v>
      </c>
      <c r="E19" s="38">
        <f>P13</f>
        <v>0</v>
      </c>
      <c r="F19" s="38">
        <f>Q13</f>
        <v>0</v>
      </c>
      <c r="G19" s="38">
        <f>R13</f>
        <v>0</v>
      </c>
    </row>
    <row r="20" spans="1:17" x14ac:dyDescent="0.25">
      <c r="A20" s="160"/>
      <c r="B20" s="159"/>
      <c r="D20" s="38">
        <v>2022</v>
      </c>
      <c r="E20" s="38">
        <f>S13</f>
        <v>0</v>
      </c>
      <c r="F20" s="38">
        <f>T13</f>
        <v>0</v>
      </c>
      <c r="G20" s="38">
        <f>U13</f>
        <v>0</v>
      </c>
    </row>
    <row r="21" spans="1:17" x14ac:dyDescent="0.25">
      <c r="A21" s="160"/>
      <c r="B21" s="159"/>
      <c r="D21" s="38">
        <v>2023</v>
      </c>
      <c r="E21" s="38">
        <f ca="1">V13</f>
        <v>0</v>
      </c>
      <c r="F21" s="38">
        <f>W13</f>
        <v>0</v>
      </c>
      <c r="G21" s="38">
        <f ca="1">X13</f>
        <v>0</v>
      </c>
      <c r="L21" s="10" t="str">
        <f t="shared" ref="L21" si="15">AB12</f>
        <v/>
      </c>
      <c r="M21" s="10" t="str">
        <f t="shared" ref="M21" si="16">AE12</f>
        <v/>
      </c>
      <c r="N21" s="10" t="str">
        <f t="shared" ref="N21" si="17">AH12</f>
        <v/>
      </c>
      <c r="O21" s="10" t="str">
        <f t="shared" ref="O21" si="18">AK12</f>
        <v/>
      </c>
      <c r="P21" s="10" t="str">
        <f t="shared" ref="P21" si="19">AN12</f>
        <v/>
      </c>
      <c r="Q21" s="10" t="str">
        <f t="shared" ref="Q21" si="20">AQ12</f>
        <v/>
      </c>
    </row>
    <row r="22" spans="1:17" x14ac:dyDescent="0.25">
      <c r="A22" s="160"/>
      <c r="B22" s="159"/>
      <c r="D22" s="38">
        <v>2024</v>
      </c>
      <c r="E22" s="38">
        <f>Y13</f>
        <v>0</v>
      </c>
      <c r="F22" s="38">
        <f>Z13</f>
        <v>0</v>
      </c>
      <c r="G22" s="38">
        <f>AA13</f>
        <v>0</v>
      </c>
    </row>
    <row r="23" spans="1:17" x14ac:dyDescent="0.25">
      <c r="A23" s="160"/>
      <c r="B23" s="159"/>
      <c r="D23" s="38">
        <v>2025</v>
      </c>
      <c r="E23" s="38">
        <f>AB13</f>
        <v>0</v>
      </c>
      <c r="F23" s="38">
        <f>AC13</f>
        <v>0</v>
      </c>
      <c r="G23" s="38">
        <f>AD13</f>
        <v>0</v>
      </c>
    </row>
    <row r="24" spans="1:17" x14ac:dyDescent="0.25">
      <c r="A24" s="160"/>
      <c r="B24" s="159"/>
      <c r="D24" s="38">
        <v>2026</v>
      </c>
      <c r="E24" s="38">
        <f>AE13</f>
        <v>0</v>
      </c>
      <c r="F24" s="38">
        <f>AF13</f>
        <v>0</v>
      </c>
      <c r="G24" s="38">
        <f>AG13</f>
        <v>0</v>
      </c>
    </row>
    <row r="25" spans="1:17" x14ac:dyDescent="0.25">
      <c r="A25" s="160"/>
      <c r="B25" s="159"/>
      <c r="D25" s="38">
        <v>2027</v>
      </c>
      <c r="E25" s="38">
        <f>AH13</f>
        <v>0</v>
      </c>
      <c r="F25" s="38">
        <f>AI13</f>
        <v>0</v>
      </c>
      <c r="G25" s="38">
        <f>AJ13</f>
        <v>0</v>
      </c>
    </row>
    <row r="26" spans="1:17" x14ac:dyDescent="0.25">
      <c r="A26" s="160"/>
      <c r="B26" s="159"/>
      <c r="D26" s="38">
        <v>2028</v>
      </c>
      <c r="E26" s="38">
        <f>AK13</f>
        <v>0</v>
      </c>
      <c r="F26" s="38">
        <f>AL13</f>
        <v>0</v>
      </c>
      <c r="G26" s="38">
        <f>AM13</f>
        <v>0</v>
      </c>
    </row>
    <row r="27" spans="1:17" x14ac:dyDescent="0.25">
      <c r="A27" s="160"/>
      <c r="B27" s="159"/>
      <c r="D27" s="38">
        <v>2029</v>
      </c>
      <c r="E27" s="38">
        <f>AN13</f>
        <v>0</v>
      </c>
      <c r="F27" s="38">
        <f>AO13</f>
        <v>0</v>
      </c>
      <c r="G27" s="38">
        <f>AP13</f>
        <v>0</v>
      </c>
    </row>
    <row r="28" spans="1:17" x14ac:dyDescent="0.25">
      <c r="A28" s="160"/>
      <c r="B28" s="159"/>
      <c r="D28" s="38">
        <v>2030</v>
      </c>
      <c r="E28" s="38">
        <f>AQ13</f>
        <v>0</v>
      </c>
      <c r="F28" s="38">
        <f>AR13</f>
        <v>0</v>
      </c>
      <c r="G28" s="38">
        <f>AS13</f>
        <v>0</v>
      </c>
    </row>
    <row r="29" spans="1:17" x14ac:dyDescent="0.25">
      <c r="A29" s="160"/>
      <c r="B29" s="159"/>
    </row>
    <row r="30" spans="1:17" x14ac:dyDescent="0.25">
      <c r="A30" s="160"/>
      <c r="B30" s="159"/>
    </row>
    <row r="31" spans="1:17" x14ac:dyDescent="0.25">
      <c r="A31" s="160"/>
      <c r="B31" s="159"/>
    </row>
    <row r="32" spans="1:17" x14ac:dyDescent="0.25">
      <c r="A32" s="160"/>
      <c r="B32" s="159"/>
    </row>
    <row r="33" spans="1:2" x14ac:dyDescent="0.25">
      <c r="A33" s="160"/>
      <c r="B33" s="159"/>
    </row>
    <row r="34" spans="1:2" x14ac:dyDescent="0.25">
      <c r="A34" s="160"/>
      <c r="B34" s="159"/>
    </row>
    <row r="35" spans="1:2" x14ac:dyDescent="0.25">
      <c r="A35" s="160"/>
      <c r="B35" s="159"/>
    </row>
    <row r="36" spans="1:2" x14ac:dyDescent="0.25">
      <c r="A36" s="160"/>
      <c r="B36" s="159"/>
    </row>
    <row r="37" spans="1:2" x14ac:dyDescent="0.25">
      <c r="A37" s="160"/>
      <c r="B37" s="159"/>
    </row>
    <row r="38" spans="1:2" x14ac:dyDescent="0.25">
      <c r="A38" s="160"/>
      <c r="B38" s="159"/>
    </row>
    <row r="39" spans="1:2" x14ac:dyDescent="0.25">
      <c r="A39" s="160"/>
      <c r="B39" s="159"/>
    </row>
    <row r="40" spans="1:2" x14ac:dyDescent="0.25">
      <c r="A40" s="160"/>
      <c r="B40" s="159"/>
    </row>
    <row r="41" spans="1:2" x14ac:dyDescent="0.25">
      <c r="A41" s="160"/>
      <c r="B41" s="159"/>
    </row>
    <row r="42" spans="1:2" x14ac:dyDescent="0.25">
      <c r="A42" s="160"/>
      <c r="B42" s="159"/>
    </row>
    <row r="43" spans="1:2" x14ac:dyDescent="0.25">
      <c r="A43" s="160"/>
      <c r="B43" s="159"/>
    </row>
    <row r="44" spans="1:2" x14ac:dyDescent="0.25">
      <c r="A44" s="160"/>
      <c r="B44" s="159"/>
    </row>
    <row r="45" spans="1:2" x14ac:dyDescent="0.25">
      <c r="A45" s="160"/>
      <c r="B45" s="159"/>
    </row>
    <row r="46" spans="1:2" x14ac:dyDescent="0.25">
      <c r="A46" s="160"/>
      <c r="B46" s="159"/>
    </row>
    <row r="47" spans="1:2" x14ac:dyDescent="0.25">
      <c r="A47" s="160"/>
      <c r="B47" s="159"/>
    </row>
    <row r="48" spans="1:2" x14ac:dyDescent="0.25">
      <c r="A48" s="160"/>
      <c r="B48" s="159"/>
    </row>
    <row r="49" spans="1:2" x14ac:dyDescent="0.25">
      <c r="A49" s="160"/>
      <c r="B49" s="159"/>
    </row>
    <row r="50" spans="1:2" x14ac:dyDescent="0.25">
      <c r="A50" s="160"/>
      <c r="B50" s="159"/>
    </row>
    <row r="51" spans="1:2" x14ac:dyDescent="0.25">
      <c r="A51" s="160"/>
      <c r="B51" s="159"/>
    </row>
    <row r="52" spans="1:2" x14ac:dyDescent="0.25">
      <c r="A52" s="160"/>
      <c r="B52" s="159"/>
    </row>
    <row r="53" spans="1:2" x14ac:dyDescent="0.25">
      <c r="A53" s="160"/>
      <c r="B53" s="159"/>
    </row>
    <row r="54" spans="1:2" x14ac:dyDescent="0.25">
      <c r="A54" s="160"/>
      <c r="B54" s="159"/>
    </row>
    <row r="55" spans="1:2" x14ac:dyDescent="0.25">
      <c r="A55" s="160"/>
      <c r="B55" s="159"/>
    </row>
    <row r="56" spans="1:2" x14ac:dyDescent="0.25">
      <c r="A56" s="160"/>
      <c r="B56" s="159"/>
    </row>
    <row r="57" spans="1:2" x14ac:dyDescent="0.25">
      <c r="A57" s="160"/>
      <c r="B57" s="159"/>
    </row>
    <row r="58" spans="1:2" x14ac:dyDescent="0.25">
      <c r="A58" s="160"/>
      <c r="B58" s="159"/>
    </row>
    <row r="59" spans="1:2" x14ac:dyDescent="0.25">
      <c r="A59" s="160"/>
      <c r="B59" s="159"/>
    </row>
    <row r="60" spans="1:2" x14ac:dyDescent="0.25">
      <c r="A60" s="160"/>
      <c r="B60" s="159"/>
    </row>
    <row r="61" spans="1:2" x14ac:dyDescent="0.25">
      <c r="A61" s="160"/>
      <c r="B61" s="159"/>
    </row>
    <row r="62" spans="1:2" x14ac:dyDescent="0.25">
      <c r="A62" s="160"/>
      <c r="B62" s="159"/>
    </row>
    <row r="63" spans="1:2" x14ac:dyDescent="0.25">
      <c r="A63" s="160"/>
      <c r="B63" s="159"/>
    </row>
    <row r="64" spans="1:2" x14ac:dyDescent="0.25">
      <c r="A64" s="143"/>
    </row>
    <row r="65" spans="1:1" x14ac:dyDescent="0.25">
      <c r="A65" s="143"/>
    </row>
    <row r="66" spans="1:1" x14ac:dyDescent="0.25">
      <c r="A66" s="143"/>
    </row>
    <row r="67" spans="1:1" x14ac:dyDescent="0.25">
      <c r="A67" s="143"/>
    </row>
    <row r="68" spans="1:1" x14ac:dyDescent="0.25">
      <c r="A68" s="143"/>
    </row>
    <row r="69" spans="1:1" x14ac:dyDescent="0.25">
      <c r="A69" s="143"/>
    </row>
    <row r="70" spans="1:1" x14ac:dyDescent="0.25">
      <c r="A70" s="143"/>
    </row>
  </sheetData>
  <sheetProtection algorithmName="SHA-512" hashValue="cUxDCZiO9w0Uh+G/vWclZfN/09TzEC3vbOUQar6aIE6uWEcD2OpDDXlIL3dPoi1GqoNzQ2P0Heo4ASLQ5E3rLA==" saltValue="M3VAFht9bNhLK1lDyS72QQ==" spinCount="100000" sheet="1" objects="1" scenarios="1"/>
  <mergeCells count="16">
    <mergeCell ref="B1:C2"/>
    <mergeCell ref="G5:I5"/>
    <mergeCell ref="J5:L5"/>
    <mergeCell ref="M5:O5"/>
    <mergeCell ref="P5:R5"/>
    <mergeCell ref="A5:B5"/>
    <mergeCell ref="C5:C6"/>
    <mergeCell ref="AH5:AJ5"/>
    <mergeCell ref="AK5:AM5"/>
    <mergeCell ref="AN5:AP5"/>
    <mergeCell ref="AQ5:AS5"/>
    <mergeCell ref="S5:U5"/>
    <mergeCell ref="V5:X5"/>
    <mergeCell ref="Y5:AA5"/>
    <mergeCell ref="AB5:AD5"/>
    <mergeCell ref="AE5:AG5"/>
  </mergeCells>
  <hyperlinks>
    <hyperlink ref="A1" location="Acceuil!A1" display="Retour à l'acceuil"/>
    <hyperlink ref="A2" location="Compt.!A1" display="Aller à Compt."/>
    <hyperlink ref="A3" location="Budget!A1" display="Aller au budget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4"/>
  <sheetViews>
    <sheetView showRowColHeaders="0" workbookViewId="0">
      <pane ySplit="5" topLeftCell="A6" activePane="bottomLeft" state="frozen"/>
      <selection pane="bottomLeft" activeCell="B2" sqref="B2:F2"/>
    </sheetView>
  </sheetViews>
  <sheetFormatPr baseColWidth="10" defaultColWidth="9.140625" defaultRowHeight="15" x14ac:dyDescent="0.25"/>
  <cols>
    <col min="1" max="1" width="20.140625" style="4" customWidth="1"/>
    <col min="2" max="2" width="35.5703125" style="4" customWidth="1"/>
    <col min="3" max="3" width="16.5703125" style="4" customWidth="1"/>
    <col min="4" max="4" width="19.5703125" style="4" customWidth="1"/>
    <col min="5" max="5" width="22.85546875" style="4" customWidth="1"/>
    <col min="6" max="6" width="25.5703125" style="4" customWidth="1"/>
    <col min="7" max="7" width="10.85546875" style="4" customWidth="1"/>
    <col min="8" max="8" width="20.85546875" style="4" customWidth="1"/>
    <col min="9" max="9" width="16.7109375" style="4" customWidth="1"/>
    <col min="10" max="16384" width="9.140625" style="4"/>
  </cols>
  <sheetData>
    <row r="1" spans="1:9" s="13" customFormat="1" ht="15.75" x14ac:dyDescent="0.25">
      <c r="A1" s="23" t="s">
        <v>32</v>
      </c>
      <c r="B1" s="209" t="s">
        <v>2010</v>
      </c>
      <c r="C1" s="209"/>
      <c r="D1" s="209"/>
      <c r="E1" s="209"/>
      <c r="F1" s="209"/>
      <c r="G1" s="52"/>
      <c r="H1" s="17"/>
    </row>
    <row r="2" spans="1:9" s="13" customFormat="1" ht="15.75" x14ac:dyDescent="0.25">
      <c r="B2" s="209" t="s">
        <v>31</v>
      </c>
      <c r="C2" s="209"/>
      <c r="D2" s="209"/>
      <c r="E2" s="209"/>
      <c r="F2" s="209"/>
      <c r="G2" s="52"/>
      <c r="H2" s="17"/>
    </row>
    <row r="3" spans="1:9" s="13" customFormat="1" ht="15.75" x14ac:dyDescent="0.25">
      <c r="B3" s="209" t="s">
        <v>200</v>
      </c>
      <c r="C3" s="209"/>
      <c r="D3" s="209"/>
      <c r="E3" s="209"/>
      <c r="F3" s="209"/>
      <c r="G3" s="52"/>
      <c r="H3" s="17"/>
    </row>
    <row r="4" spans="1:9" s="13" customFormat="1" x14ac:dyDescent="0.25">
      <c r="A4" s="16"/>
      <c r="B4" s="220" t="s">
        <v>5</v>
      </c>
      <c r="C4" s="220"/>
      <c r="D4" s="220"/>
      <c r="E4" s="220"/>
      <c r="F4" s="220"/>
      <c r="G4" s="53"/>
    </row>
    <row r="5" spans="1:9" s="13" customFormat="1" x14ac:dyDescent="0.25">
      <c r="A5" s="50" t="s">
        <v>48</v>
      </c>
      <c r="B5" s="51" t="s">
        <v>50</v>
      </c>
      <c r="C5" s="51" t="s">
        <v>0</v>
      </c>
      <c r="D5" s="51" t="s">
        <v>6</v>
      </c>
      <c r="E5" s="51" t="s">
        <v>49</v>
      </c>
      <c r="F5" s="51" t="s">
        <v>2</v>
      </c>
      <c r="G5" s="83" t="s">
        <v>55</v>
      </c>
      <c r="H5" s="90" t="s">
        <v>41</v>
      </c>
      <c r="I5" s="76" t="s">
        <v>28</v>
      </c>
    </row>
    <row r="6" spans="1:9" x14ac:dyDescent="0.25">
      <c r="A6" s="4" t="s">
        <v>209</v>
      </c>
      <c r="B6" s="4" t="s">
        <v>201</v>
      </c>
      <c r="C6" s="4" t="s">
        <v>168</v>
      </c>
      <c r="D6" s="4" t="s">
        <v>202</v>
      </c>
      <c r="F6" s="191" t="s">
        <v>208</v>
      </c>
      <c r="G6" s="84">
        <v>1</v>
      </c>
      <c r="H6" s="47" t="s">
        <v>172</v>
      </c>
      <c r="I6" s="85" t="s">
        <v>194</v>
      </c>
    </row>
    <row r="7" spans="1:9" x14ac:dyDescent="0.25">
      <c r="B7" s="4" t="s">
        <v>203</v>
      </c>
      <c r="C7" s="4" t="s">
        <v>168</v>
      </c>
      <c r="D7" s="4" t="s">
        <v>204</v>
      </c>
      <c r="F7" s="191"/>
      <c r="G7" s="84">
        <v>2</v>
      </c>
      <c r="H7" s="46" t="s">
        <v>174</v>
      </c>
      <c r="I7" s="85" t="s">
        <v>174</v>
      </c>
    </row>
    <row r="8" spans="1:9" x14ac:dyDescent="0.25">
      <c r="B8" s="4" t="s">
        <v>210</v>
      </c>
      <c r="C8" s="4" t="s">
        <v>167</v>
      </c>
      <c r="D8" s="4" t="s">
        <v>205</v>
      </c>
      <c r="F8" s="191"/>
      <c r="G8" s="84">
        <v>3</v>
      </c>
      <c r="H8" s="47" t="s">
        <v>195</v>
      </c>
      <c r="I8" s="85" t="s">
        <v>195</v>
      </c>
    </row>
    <row r="9" spans="1:9" x14ac:dyDescent="0.25">
      <c r="B9" s="4" t="s">
        <v>206</v>
      </c>
      <c r="C9" s="4" t="s">
        <v>168</v>
      </c>
      <c r="D9" s="4" t="s">
        <v>207</v>
      </c>
      <c r="F9" s="191"/>
      <c r="G9" s="84">
        <v>4</v>
      </c>
      <c r="H9" s="47" t="s">
        <v>175</v>
      </c>
      <c r="I9" s="85" t="s">
        <v>175</v>
      </c>
    </row>
    <row r="10" spans="1:9" x14ac:dyDescent="0.25">
      <c r="B10" s="4" t="s">
        <v>211</v>
      </c>
      <c r="C10" s="4" t="s">
        <v>168</v>
      </c>
      <c r="D10" s="4" t="s">
        <v>212</v>
      </c>
      <c r="F10" s="191"/>
      <c r="G10" s="84">
        <v>5</v>
      </c>
      <c r="H10" s="47" t="s">
        <v>1984</v>
      </c>
      <c r="I10" s="86" t="s">
        <v>1984</v>
      </c>
    </row>
    <row r="11" spans="1:9" x14ac:dyDescent="0.25">
      <c r="G11" s="84">
        <v>6</v>
      </c>
      <c r="H11" s="47" t="s">
        <v>176</v>
      </c>
      <c r="I11" s="85" t="s">
        <v>176</v>
      </c>
    </row>
    <row r="12" spans="1:9" x14ac:dyDescent="0.25">
      <c r="G12" s="84">
        <v>7</v>
      </c>
      <c r="H12" s="47" t="s">
        <v>169</v>
      </c>
      <c r="I12" s="85" t="s">
        <v>193</v>
      </c>
    </row>
    <row r="13" spans="1:9" x14ac:dyDescent="0.25">
      <c r="G13" s="84">
        <v>8</v>
      </c>
      <c r="H13" s="47" t="s">
        <v>177</v>
      </c>
      <c r="I13" s="85" t="s">
        <v>196</v>
      </c>
    </row>
    <row r="14" spans="1:9" x14ac:dyDescent="0.25">
      <c r="G14" s="84">
        <v>9</v>
      </c>
      <c r="H14" s="47" t="s">
        <v>178</v>
      </c>
      <c r="I14" s="85" t="s">
        <v>178</v>
      </c>
    </row>
    <row r="15" spans="1:9" x14ac:dyDescent="0.25">
      <c r="G15" s="84">
        <v>10</v>
      </c>
      <c r="H15" s="47" t="s">
        <v>179</v>
      </c>
      <c r="I15" s="86" t="s">
        <v>189</v>
      </c>
    </row>
    <row r="16" spans="1:9" x14ac:dyDescent="0.25">
      <c r="G16" s="84">
        <v>11</v>
      </c>
      <c r="H16" s="88" t="s">
        <v>1980</v>
      </c>
      <c r="I16" s="85" t="s">
        <v>2002</v>
      </c>
    </row>
    <row r="17" spans="7:9" x14ac:dyDescent="0.25">
      <c r="G17" s="84">
        <v>12</v>
      </c>
      <c r="H17" s="47" t="s">
        <v>180</v>
      </c>
      <c r="I17" s="85" t="s">
        <v>180</v>
      </c>
    </row>
    <row r="18" spans="7:9" x14ac:dyDescent="0.25">
      <c r="G18" s="84">
        <v>13</v>
      </c>
      <c r="H18" s="47" t="s">
        <v>181</v>
      </c>
      <c r="I18" s="85" t="s">
        <v>197</v>
      </c>
    </row>
    <row r="19" spans="7:9" x14ac:dyDescent="0.25">
      <c r="G19" s="84">
        <v>14</v>
      </c>
      <c r="H19" s="47" t="s">
        <v>182</v>
      </c>
      <c r="I19" s="85" t="s">
        <v>173</v>
      </c>
    </row>
    <row r="20" spans="7:9" x14ac:dyDescent="0.25">
      <c r="G20" s="84">
        <v>15</v>
      </c>
      <c r="H20" s="47" t="s">
        <v>183</v>
      </c>
      <c r="I20" s="85" t="s">
        <v>183</v>
      </c>
    </row>
    <row r="21" spans="7:9" x14ac:dyDescent="0.25">
      <c r="G21" s="84">
        <v>16</v>
      </c>
      <c r="H21" s="47" t="s">
        <v>184</v>
      </c>
      <c r="I21" s="85" t="s">
        <v>184</v>
      </c>
    </row>
    <row r="22" spans="7:9" x14ac:dyDescent="0.25">
      <c r="G22" s="84">
        <v>17</v>
      </c>
      <c r="H22" s="47" t="s">
        <v>185</v>
      </c>
      <c r="I22" s="85" t="s">
        <v>185</v>
      </c>
    </row>
    <row r="23" spans="7:9" x14ac:dyDescent="0.25">
      <c r="G23" s="84">
        <v>18</v>
      </c>
      <c r="H23" s="47" t="s">
        <v>186</v>
      </c>
      <c r="I23" s="85" t="s">
        <v>173</v>
      </c>
    </row>
    <row r="24" spans="7:9" x14ac:dyDescent="0.25">
      <c r="G24" s="84">
        <v>19</v>
      </c>
      <c r="H24" s="47" t="s">
        <v>187</v>
      </c>
      <c r="I24" s="85" t="s">
        <v>198</v>
      </c>
    </row>
    <row r="25" spans="7:9" x14ac:dyDescent="0.25">
      <c r="G25" s="84">
        <v>20</v>
      </c>
      <c r="H25" s="47" t="s">
        <v>188</v>
      </c>
      <c r="I25" s="85" t="s">
        <v>198</v>
      </c>
    </row>
    <row r="26" spans="7:9" x14ac:dyDescent="0.25">
      <c r="G26" s="84">
        <v>21</v>
      </c>
      <c r="H26" s="47" t="s">
        <v>190</v>
      </c>
      <c r="I26" s="85" t="s">
        <v>199</v>
      </c>
    </row>
    <row r="27" spans="7:9" x14ac:dyDescent="0.25">
      <c r="G27" s="84">
        <v>22</v>
      </c>
      <c r="H27" s="47" t="s">
        <v>191</v>
      </c>
      <c r="I27" s="85" t="s">
        <v>199</v>
      </c>
    </row>
    <row r="28" spans="7:9" x14ac:dyDescent="0.25">
      <c r="G28" s="84">
        <v>23</v>
      </c>
      <c r="H28" s="47" t="s">
        <v>192</v>
      </c>
      <c r="I28" s="85" t="s">
        <v>193</v>
      </c>
    </row>
    <row r="29" spans="7:9" x14ac:dyDescent="0.25">
      <c r="G29" s="84">
        <v>24</v>
      </c>
      <c r="H29" s="47" t="s">
        <v>1986</v>
      </c>
      <c r="I29" s="85" t="s">
        <v>193</v>
      </c>
    </row>
    <row r="30" spans="7:9" x14ac:dyDescent="0.25">
      <c r="G30" s="84">
        <v>25</v>
      </c>
      <c r="H30" s="47" t="s">
        <v>1985</v>
      </c>
      <c r="I30" s="85" t="s">
        <v>193</v>
      </c>
    </row>
    <row r="31" spans="7:9" x14ac:dyDescent="0.25">
      <c r="G31" s="84"/>
      <c r="H31" s="47"/>
      <c r="I31" s="85"/>
    </row>
    <row r="32" spans="7:9" x14ac:dyDescent="0.25">
      <c r="G32" s="84"/>
      <c r="H32" s="47"/>
      <c r="I32" s="85"/>
    </row>
    <row r="33" spans="7:9" x14ac:dyDescent="0.25">
      <c r="G33" s="84"/>
      <c r="H33" s="47"/>
      <c r="I33" s="85"/>
    </row>
    <row r="34" spans="7:9" x14ac:dyDescent="0.25">
      <c r="G34" s="84"/>
      <c r="H34" s="47"/>
      <c r="I34" s="85"/>
    </row>
    <row r="35" spans="7:9" x14ac:dyDescent="0.25">
      <c r="G35" s="84"/>
      <c r="H35" s="47"/>
      <c r="I35" s="85"/>
    </row>
    <row r="36" spans="7:9" x14ac:dyDescent="0.25">
      <c r="G36" s="84"/>
      <c r="H36" s="47"/>
      <c r="I36" s="85"/>
    </row>
    <row r="37" spans="7:9" x14ac:dyDescent="0.25">
      <c r="G37" s="84"/>
      <c r="H37" s="47"/>
      <c r="I37" s="85"/>
    </row>
    <row r="38" spans="7:9" x14ac:dyDescent="0.25">
      <c r="G38" s="84"/>
      <c r="H38" s="47"/>
      <c r="I38" s="85"/>
    </row>
    <row r="39" spans="7:9" x14ac:dyDescent="0.25">
      <c r="G39" s="84"/>
      <c r="H39" s="47"/>
      <c r="I39" s="85"/>
    </row>
    <row r="40" spans="7:9" x14ac:dyDescent="0.25">
      <c r="G40" s="84"/>
      <c r="H40" s="47"/>
      <c r="I40" s="85"/>
    </row>
    <row r="41" spans="7:9" x14ac:dyDescent="0.25">
      <c r="G41" s="84"/>
      <c r="H41" s="47"/>
      <c r="I41" s="85"/>
    </row>
    <row r="42" spans="7:9" x14ac:dyDescent="0.25">
      <c r="G42" s="84"/>
      <c r="H42" s="47"/>
      <c r="I42" s="85"/>
    </row>
    <row r="43" spans="7:9" x14ac:dyDescent="0.25">
      <c r="G43" s="84"/>
      <c r="H43" s="47"/>
      <c r="I43" s="85"/>
    </row>
    <row r="44" spans="7:9" x14ac:dyDescent="0.25">
      <c r="G44" s="84"/>
      <c r="H44" s="47"/>
      <c r="I44" s="85"/>
    </row>
    <row r="45" spans="7:9" x14ac:dyDescent="0.25">
      <c r="G45" s="84"/>
      <c r="H45" s="47"/>
      <c r="I45" s="85"/>
    </row>
    <row r="46" spans="7:9" x14ac:dyDescent="0.25">
      <c r="G46" s="84"/>
      <c r="H46" s="47"/>
      <c r="I46" s="85"/>
    </row>
    <row r="47" spans="7:9" x14ac:dyDescent="0.25">
      <c r="G47" s="84"/>
      <c r="H47" s="47"/>
      <c r="I47" s="85"/>
    </row>
    <row r="48" spans="7:9" x14ac:dyDescent="0.25">
      <c r="G48" s="84"/>
      <c r="H48" s="47"/>
      <c r="I48" s="85"/>
    </row>
    <row r="49" spans="7:9" x14ac:dyDescent="0.25">
      <c r="G49" s="84"/>
      <c r="H49" s="47"/>
      <c r="I49" s="85"/>
    </row>
    <row r="50" spans="7:9" x14ac:dyDescent="0.25">
      <c r="G50" s="84"/>
      <c r="H50" s="47"/>
      <c r="I50" s="85"/>
    </row>
    <row r="51" spans="7:9" x14ac:dyDescent="0.25">
      <c r="G51" s="84"/>
      <c r="H51" s="47"/>
      <c r="I51" s="85"/>
    </row>
    <row r="52" spans="7:9" x14ac:dyDescent="0.25">
      <c r="G52" s="84"/>
      <c r="H52" s="47"/>
      <c r="I52" s="85"/>
    </row>
    <row r="53" spans="7:9" x14ac:dyDescent="0.25">
      <c r="G53" s="84"/>
      <c r="H53" s="47"/>
      <c r="I53" s="85"/>
    </row>
    <row r="54" spans="7:9" x14ac:dyDescent="0.25">
      <c r="G54" s="84"/>
      <c r="H54" s="47"/>
      <c r="I54" s="85"/>
    </row>
    <row r="55" spans="7:9" x14ac:dyDescent="0.25">
      <c r="G55" s="84"/>
      <c r="H55" s="47"/>
      <c r="I55" s="85"/>
    </row>
    <row r="56" spans="7:9" x14ac:dyDescent="0.25">
      <c r="G56" s="84"/>
      <c r="H56" s="47"/>
      <c r="I56" s="85"/>
    </row>
    <row r="57" spans="7:9" x14ac:dyDescent="0.25">
      <c r="G57" s="84"/>
      <c r="H57" s="47"/>
      <c r="I57" s="85"/>
    </row>
    <row r="58" spans="7:9" x14ac:dyDescent="0.25">
      <c r="G58" s="84"/>
      <c r="H58" s="47"/>
      <c r="I58" s="85"/>
    </row>
    <row r="59" spans="7:9" x14ac:dyDescent="0.25">
      <c r="G59" s="84"/>
      <c r="H59" s="47"/>
      <c r="I59" s="85"/>
    </row>
    <row r="60" spans="7:9" x14ac:dyDescent="0.25">
      <c r="G60" s="84"/>
      <c r="H60" s="47"/>
      <c r="I60" s="85"/>
    </row>
    <row r="61" spans="7:9" x14ac:dyDescent="0.25">
      <c r="G61" s="84"/>
      <c r="H61" s="47"/>
      <c r="I61" s="85"/>
    </row>
    <row r="62" spans="7:9" x14ac:dyDescent="0.25">
      <c r="G62" s="84"/>
      <c r="H62" s="47"/>
      <c r="I62" s="85"/>
    </row>
    <row r="63" spans="7:9" x14ac:dyDescent="0.25">
      <c r="G63" s="84"/>
      <c r="H63" s="47"/>
      <c r="I63" s="85"/>
    </row>
    <row r="64" spans="7:9" x14ac:dyDescent="0.25">
      <c r="G64" s="84"/>
      <c r="H64" s="47"/>
      <c r="I64" s="85"/>
    </row>
    <row r="65" spans="7:9" x14ac:dyDescent="0.25">
      <c r="G65" s="84"/>
      <c r="H65" s="47"/>
      <c r="I65" s="85"/>
    </row>
    <row r="66" spans="7:9" x14ac:dyDescent="0.25">
      <c r="G66" s="84"/>
      <c r="H66" s="47"/>
      <c r="I66" s="85"/>
    </row>
    <row r="67" spans="7:9" x14ac:dyDescent="0.25">
      <c r="G67" s="84"/>
      <c r="H67" s="47"/>
      <c r="I67" s="85"/>
    </row>
    <row r="68" spans="7:9" x14ac:dyDescent="0.25">
      <c r="G68" s="84"/>
      <c r="H68" s="47"/>
      <c r="I68" s="85"/>
    </row>
    <row r="69" spans="7:9" x14ac:dyDescent="0.25">
      <c r="G69" s="84"/>
      <c r="H69" s="47"/>
      <c r="I69" s="85"/>
    </row>
    <row r="70" spans="7:9" x14ac:dyDescent="0.25">
      <c r="G70" s="84"/>
      <c r="H70" s="47"/>
      <c r="I70" s="85"/>
    </row>
    <row r="71" spans="7:9" x14ac:dyDescent="0.25">
      <c r="G71" s="84"/>
      <c r="H71" s="47"/>
      <c r="I71" s="85"/>
    </row>
    <row r="72" spans="7:9" x14ac:dyDescent="0.25">
      <c r="G72" s="84"/>
      <c r="H72" s="47"/>
      <c r="I72" s="85"/>
    </row>
    <row r="73" spans="7:9" x14ac:dyDescent="0.25">
      <c r="G73" s="84"/>
      <c r="H73" s="47"/>
      <c r="I73" s="85"/>
    </row>
    <row r="74" spans="7:9" x14ac:dyDescent="0.25">
      <c r="G74" s="84"/>
      <c r="H74" s="47"/>
      <c r="I74" s="85"/>
    </row>
    <row r="75" spans="7:9" x14ac:dyDescent="0.25">
      <c r="G75" s="84"/>
      <c r="H75" s="47"/>
      <c r="I75" s="85"/>
    </row>
    <row r="76" spans="7:9" x14ac:dyDescent="0.25">
      <c r="G76" s="84"/>
      <c r="H76" s="47"/>
      <c r="I76" s="85"/>
    </row>
    <row r="77" spans="7:9" x14ac:dyDescent="0.25">
      <c r="G77" s="84"/>
      <c r="H77" s="47"/>
      <c r="I77" s="85"/>
    </row>
    <row r="78" spans="7:9" x14ac:dyDescent="0.25">
      <c r="G78" s="84"/>
      <c r="H78" s="47"/>
      <c r="I78" s="85"/>
    </row>
    <row r="79" spans="7:9" x14ac:dyDescent="0.25">
      <c r="G79" s="84"/>
      <c r="H79" s="47"/>
      <c r="I79" s="85"/>
    </row>
    <row r="80" spans="7:9" x14ac:dyDescent="0.25">
      <c r="G80" s="84"/>
      <c r="H80" s="47"/>
      <c r="I80" s="85"/>
    </row>
    <row r="81" spans="7:9" x14ac:dyDescent="0.25">
      <c r="G81" s="84"/>
      <c r="H81" s="47"/>
      <c r="I81" s="85"/>
    </row>
    <row r="82" spans="7:9" x14ac:dyDescent="0.25">
      <c r="G82" s="84"/>
      <c r="H82" s="47"/>
      <c r="I82" s="85"/>
    </row>
    <row r="83" spans="7:9" x14ac:dyDescent="0.25">
      <c r="G83" s="87"/>
      <c r="H83" s="88"/>
      <c r="I83" s="89"/>
    </row>
    <row r="84" spans="7:9" x14ac:dyDescent="0.25">
      <c r="H84" s="40"/>
      <c r="I84" s="40"/>
    </row>
    <row r="85" spans="7:9" x14ac:dyDescent="0.25">
      <c r="H85" s="40"/>
      <c r="I85" s="40"/>
    </row>
    <row r="86" spans="7:9" x14ac:dyDescent="0.25">
      <c r="H86" s="40"/>
      <c r="I86" s="40"/>
    </row>
    <row r="87" spans="7:9" x14ac:dyDescent="0.25">
      <c r="H87" s="40"/>
      <c r="I87" s="40"/>
    </row>
    <row r="88" spans="7:9" x14ac:dyDescent="0.25">
      <c r="H88" s="40"/>
      <c r="I88" s="40"/>
    </row>
    <row r="89" spans="7:9" x14ac:dyDescent="0.25">
      <c r="H89" s="40"/>
      <c r="I89" s="40"/>
    </row>
    <row r="90" spans="7:9" x14ac:dyDescent="0.25">
      <c r="H90" s="40"/>
      <c r="I90" s="40"/>
    </row>
    <row r="91" spans="7:9" x14ac:dyDescent="0.25">
      <c r="H91" s="40"/>
      <c r="I91" s="40"/>
    </row>
    <row r="92" spans="7:9" x14ac:dyDescent="0.25">
      <c r="H92" s="40"/>
      <c r="I92" s="40"/>
    </row>
    <row r="93" spans="7:9" x14ac:dyDescent="0.25">
      <c r="H93" s="40"/>
      <c r="I93" s="40"/>
    </row>
    <row r="94" spans="7:9" x14ac:dyDescent="0.25">
      <c r="H94" s="40"/>
      <c r="I94" s="40"/>
    </row>
    <row r="95" spans="7:9" x14ac:dyDescent="0.25">
      <c r="H95" s="40"/>
      <c r="I95" s="40"/>
    </row>
    <row r="96" spans="7:9" x14ac:dyDescent="0.25">
      <c r="H96" s="40"/>
      <c r="I96" s="40"/>
    </row>
    <row r="97" spans="8:9" x14ac:dyDescent="0.25">
      <c r="H97" s="40"/>
      <c r="I97" s="40"/>
    </row>
    <row r="98" spans="8:9" x14ac:dyDescent="0.25">
      <c r="H98" s="40"/>
      <c r="I98" s="40"/>
    </row>
    <row r="99" spans="8:9" x14ac:dyDescent="0.25">
      <c r="H99" s="40"/>
      <c r="I99" s="40"/>
    </row>
    <row r="100" spans="8:9" x14ac:dyDescent="0.25">
      <c r="H100" s="40"/>
      <c r="I100" s="40"/>
    </row>
    <row r="101" spans="8:9" x14ac:dyDescent="0.25">
      <c r="H101" s="40"/>
      <c r="I101" s="40"/>
    </row>
    <row r="102" spans="8:9" x14ac:dyDescent="0.25">
      <c r="H102" s="40"/>
      <c r="I102" s="40"/>
    </row>
    <row r="103" spans="8:9" x14ac:dyDescent="0.25">
      <c r="H103" s="40"/>
      <c r="I103" s="40"/>
    </row>
    <row r="104" spans="8:9" x14ac:dyDescent="0.25">
      <c r="H104" s="40"/>
      <c r="I104" s="40"/>
    </row>
    <row r="105" spans="8:9" x14ac:dyDescent="0.25">
      <c r="H105" s="40"/>
      <c r="I105" s="40"/>
    </row>
    <row r="106" spans="8:9" x14ac:dyDescent="0.25">
      <c r="H106" s="40"/>
      <c r="I106" s="40"/>
    </row>
    <row r="107" spans="8:9" x14ac:dyDescent="0.25">
      <c r="H107" s="40"/>
      <c r="I107" s="40"/>
    </row>
    <row r="108" spans="8:9" x14ac:dyDescent="0.25">
      <c r="H108" s="40"/>
      <c r="I108" s="40"/>
    </row>
    <row r="109" spans="8:9" x14ac:dyDescent="0.25">
      <c r="H109" s="40"/>
      <c r="I109" s="40"/>
    </row>
    <row r="110" spans="8:9" x14ac:dyDescent="0.25">
      <c r="H110" s="40"/>
      <c r="I110" s="40"/>
    </row>
    <row r="111" spans="8:9" x14ac:dyDescent="0.25">
      <c r="H111" s="40"/>
      <c r="I111" s="40"/>
    </row>
    <row r="112" spans="8:9" x14ac:dyDescent="0.25">
      <c r="H112" s="40"/>
      <c r="I112" s="40"/>
    </row>
    <row r="113" spans="8:9" x14ac:dyDescent="0.25">
      <c r="H113" s="40"/>
      <c r="I113" s="40"/>
    </row>
    <row r="114" spans="8:9" x14ac:dyDescent="0.25">
      <c r="H114" s="40"/>
      <c r="I114" s="40"/>
    </row>
    <row r="115" spans="8:9" x14ac:dyDescent="0.25">
      <c r="H115" s="40"/>
      <c r="I115" s="40"/>
    </row>
    <row r="116" spans="8:9" x14ac:dyDescent="0.25">
      <c r="H116" s="40"/>
      <c r="I116" s="40"/>
    </row>
    <row r="117" spans="8:9" x14ac:dyDescent="0.25">
      <c r="H117" s="40"/>
      <c r="I117" s="40"/>
    </row>
    <row r="118" spans="8:9" x14ac:dyDescent="0.25">
      <c r="H118" s="40"/>
      <c r="I118" s="40"/>
    </row>
    <row r="119" spans="8:9" x14ac:dyDescent="0.25">
      <c r="H119" s="40"/>
      <c r="I119" s="40"/>
    </row>
    <row r="120" spans="8:9" x14ac:dyDescent="0.25">
      <c r="H120" s="40"/>
      <c r="I120" s="40"/>
    </row>
    <row r="121" spans="8:9" x14ac:dyDescent="0.25">
      <c r="H121" s="40"/>
      <c r="I121" s="40"/>
    </row>
    <row r="122" spans="8:9" x14ac:dyDescent="0.25">
      <c r="H122" s="40"/>
      <c r="I122" s="40"/>
    </row>
    <row r="123" spans="8:9" x14ac:dyDescent="0.25">
      <c r="H123" s="40"/>
      <c r="I123" s="40"/>
    </row>
    <row r="124" spans="8:9" x14ac:dyDescent="0.25">
      <c r="H124" s="40"/>
      <c r="I124" s="40"/>
    </row>
    <row r="125" spans="8:9" x14ac:dyDescent="0.25">
      <c r="H125" s="40"/>
      <c r="I125" s="40"/>
    </row>
    <row r="126" spans="8:9" x14ac:dyDescent="0.25">
      <c r="H126" s="40"/>
      <c r="I126" s="40"/>
    </row>
    <row r="127" spans="8:9" x14ac:dyDescent="0.25">
      <c r="H127" s="40"/>
      <c r="I127" s="40"/>
    </row>
    <row r="128" spans="8:9" x14ac:dyDescent="0.25">
      <c r="H128" s="40"/>
      <c r="I128" s="40"/>
    </row>
    <row r="129" spans="8:9" x14ac:dyDescent="0.25">
      <c r="H129" s="40"/>
      <c r="I129" s="40"/>
    </row>
    <row r="130" spans="8:9" x14ac:dyDescent="0.25">
      <c r="H130" s="40"/>
      <c r="I130" s="40"/>
    </row>
    <row r="131" spans="8:9" x14ac:dyDescent="0.25">
      <c r="H131" s="40"/>
      <c r="I131" s="40"/>
    </row>
    <row r="132" spans="8:9" x14ac:dyDescent="0.25">
      <c r="H132" s="40"/>
      <c r="I132" s="40"/>
    </row>
    <row r="133" spans="8:9" x14ac:dyDescent="0.25">
      <c r="H133" s="40"/>
      <c r="I133" s="40"/>
    </row>
    <row r="134" spans="8:9" x14ac:dyDescent="0.25">
      <c r="H134" s="40"/>
      <c r="I134" s="40"/>
    </row>
    <row r="135" spans="8:9" x14ac:dyDescent="0.25">
      <c r="H135" s="40"/>
      <c r="I135" s="40"/>
    </row>
    <row r="136" spans="8:9" x14ac:dyDescent="0.25">
      <c r="H136" s="40"/>
      <c r="I136" s="40"/>
    </row>
    <row r="137" spans="8:9" x14ac:dyDescent="0.25">
      <c r="H137" s="40"/>
      <c r="I137" s="40"/>
    </row>
    <row r="138" spans="8:9" x14ac:dyDescent="0.25">
      <c r="H138" s="40"/>
      <c r="I138" s="40"/>
    </row>
    <row r="139" spans="8:9" x14ac:dyDescent="0.25">
      <c r="H139" s="40"/>
      <c r="I139" s="40"/>
    </row>
    <row r="140" spans="8:9" x14ac:dyDescent="0.25">
      <c r="H140" s="40"/>
      <c r="I140" s="40"/>
    </row>
    <row r="141" spans="8:9" x14ac:dyDescent="0.25">
      <c r="H141" s="40"/>
      <c r="I141" s="40"/>
    </row>
    <row r="142" spans="8:9" x14ac:dyDescent="0.25">
      <c r="H142" s="40"/>
      <c r="I142" s="40"/>
    </row>
    <row r="143" spans="8:9" x14ac:dyDescent="0.25">
      <c r="H143" s="40"/>
      <c r="I143" s="40"/>
    </row>
    <row r="144" spans="8:9" x14ac:dyDescent="0.25">
      <c r="H144" s="40"/>
      <c r="I144" s="40"/>
    </row>
  </sheetData>
  <mergeCells count="4">
    <mergeCell ref="B1:F1"/>
    <mergeCell ref="B2:F2"/>
    <mergeCell ref="B3:F3"/>
    <mergeCell ref="B4:F4"/>
  </mergeCells>
  <hyperlinks>
    <hyperlink ref="A1" location="Acceuil!A1" display="Retour dans l'acceuil"/>
    <hyperlink ref="F6" r:id="rId1"/>
  </hyperlinks>
  <pageMargins left="0.7" right="0.7" top="0.75" bottom="0.75" header="0.3" footer="0.3"/>
  <pageSetup paperSize="5" orientation="landscape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ouvrir3">
                <anchor moveWithCells="1" sizeWithCells="1">
                  <from>
                    <xdr:col>0</xdr:col>
                    <xdr:colOff>19050</xdr:colOff>
                    <xdr:row>1</xdr:row>
                    <xdr:rowOff>28575</xdr:rowOff>
                  </from>
                  <to>
                    <xdr:col>0</xdr:col>
                    <xdr:colOff>1247775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7"/>
  <sheetViews>
    <sheetView showRowColHeaders="0" workbookViewId="0">
      <pane ySplit="4" topLeftCell="A5" activePane="bottomLeft" state="frozen"/>
      <selection pane="bottomLeft" activeCell="B2" sqref="B2:G2"/>
    </sheetView>
  </sheetViews>
  <sheetFormatPr baseColWidth="10" defaultColWidth="9.140625" defaultRowHeight="15" x14ac:dyDescent="0.25"/>
  <cols>
    <col min="1" max="1" width="19" style="4" customWidth="1"/>
    <col min="2" max="2" width="30.5703125" style="4" customWidth="1"/>
    <col min="3" max="3" width="15" style="4" customWidth="1"/>
    <col min="4" max="4" width="13.85546875" style="4" customWidth="1"/>
    <col min="5" max="5" width="16.28515625" style="4" customWidth="1"/>
    <col min="6" max="6" width="17.5703125" style="4" customWidth="1"/>
    <col min="7" max="7" width="23" style="4" customWidth="1"/>
    <col min="8" max="8" width="19.28515625" style="4" bestFit="1" customWidth="1"/>
    <col min="9" max="9" width="21.28515625" style="4" customWidth="1"/>
    <col min="10" max="11" width="16.7109375" style="4" customWidth="1"/>
    <col min="12" max="19" width="9.140625" style="4"/>
    <col min="20" max="20" width="15.7109375" style="4" bestFit="1" customWidth="1"/>
    <col min="21" max="21" width="17.5703125" style="4" bestFit="1" customWidth="1"/>
    <col min="22" max="16384" width="9.140625" style="4"/>
  </cols>
  <sheetData>
    <row r="1" spans="1:11" s="13" customFormat="1" ht="15.75" x14ac:dyDescent="0.25">
      <c r="A1" s="39" t="s">
        <v>32</v>
      </c>
      <c r="B1" s="222" t="s">
        <v>2010</v>
      </c>
      <c r="C1" s="223"/>
      <c r="D1" s="223"/>
      <c r="E1" s="223"/>
      <c r="F1" s="223"/>
      <c r="G1" s="224"/>
    </row>
    <row r="2" spans="1:11" s="13" customFormat="1" ht="15.75" x14ac:dyDescent="0.25">
      <c r="B2" s="209" t="s">
        <v>31</v>
      </c>
      <c r="C2" s="209"/>
      <c r="D2" s="209"/>
      <c r="E2" s="209"/>
      <c r="F2" s="209"/>
      <c r="G2" s="209"/>
    </row>
    <row r="3" spans="1:11" s="13" customFormat="1" ht="15.75" x14ac:dyDescent="0.25">
      <c r="B3" s="209" t="s">
        <v>171</v>
      </c>
      <c r="C3" s="209"/>
      <c r="D3" s="209"/>
      <c r="E3" s="209"/>
      <c r="F3" s="209"/>
      <c r="G3" s="209"/>
    </row>
    <row r="4" spans="1:11" s="13" customFormat="1" x14ac:dyDescent="0.25">
      <c r="B4" s="221" t="s">
        <v>7</v>
      </c>
      <c r="C4" s="221"/>
      <c r="D4" s="221"/>
      <c r="E4" s="221"/>
      <c r="F4" s="221"/>
      <c r="G4" s="221"/>
    </row>
    <row r="5" spans="1:11" s="7" customFormat="1" x14ac:dyDescent="0.25">
      <c r="A5" s="82" t="s">
        <v>48</v>
      </c>
      <c r="B5" s="81" t="s">
        <v>96</v>
      </c>
      <c r="C5" s="81" t="s">
        <v>0</v>
      </c>
      <c r="D5" s="81" t="s">
        <v>8</v>
      </c>
      <c r="E5" s="81" t="s">
        <v>9</v>
      </c>
      <c r="F5" s="81" t="s">
        <v>6</v>
      </c>
      <c r="G5" s="81" t="s">
        <v>49</v>
      </c>
      <c r="H5" s="81" t="s">
        <v>2</v>
      </c>
      <c r="I5" s="41"/>
      <c r="J5" s="41"/>
      <c r="K5" s="41"/>
    </row>
    <row r="6" spans="1:11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5">
      <c r="B7" s="41"/>
      <c r="C7" s="41"/>
      <c r="D7" s="41"/>
      <c r="E7" s="41"/>
      <c r="F7" s="41"/>
      <c r="G7" s="41"/>
      <c r="H7" s="41"/>
      <c r="I7" s="41"/>
      <c r="J7" s="41"/>
    </row>
  </sheetData>
  <dataConsolidate/>
  <mergeCells count="4">
    <mergeCell ref="B4:G4"/>
    <mergeCell ref="B1:G1"/>
    <mergeCell ref="B2:G2"/>
    <mergeCell ref="B3:G3"/>
  </mergeCells>
  <hyperlinks>
    <hyperlink ref="A1" location="Acceuil!A1" display="Retour dans l'acceuil"/>
  </hyperlinks>
  <pageMargins left="0.7" right="0.7" top="0.75" bottom="0.75" header="0.3" footer="0.3"/>
  <pageSetup paperSize="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ouvrir4">
                <anchor moveWithCells="1" siz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0</xdr:col>
                    <xdr:colOff>1181100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64"/>
  <sheetViews>
    <sheetView showRowColHeaders="0" topLeftCell="A55" workbookViewId="0"/>
  </sheetViews>
  <sheetFormatPr baseColWidth="10" defaultColWidth="11.42578125" defaultRowHeight="15" x14ac:dyDescent="0.25"/>
  <cols>
    <col min="1" max="1" width="16.140625" style="10" bestFit="1" customWidth="1"/>
    <col min="2" max="14" width="11.42578125" style="10"/>
    <col min="15" max="15" width="5.5703125" style="10" bestFit="1" customWidth="1"/>
    <col min="16" max="16384" width="11.42578125" style="10"/>
  </cols>
  <sheetData>
    <row r="1" spans="1:22" x14ac:dyDescent="0.25">
      <c r="A1" s="23" t="s">
        <v>97</v>
      </c>
    </row>
    <row r="2" spans="1:22" x14ac:dyDescent="0.25">
      <c r="F2" s="226" t="s">
        <v>161</v>
      </c>
      <c r="G2" s="226"/>
      <c r="H2" s="226"/>
      <c r="I2" s="226"/>
      <c r="J2" s="226"/>
      <c r="K2" s="226"/>
    </row>
    <row r="3" spans="1:22" ht="15" customHeight="1" x14ac:dyDescent="0.25">
      <c r="C3" s="168"/>
      <c r="D3" s="168"/>
      <c r="E3" s="168"/>
      <c r="F3" s="226"/>
      <c r="G3" s="226"/>
      <c r="H3" s="226"/>
      <c r="I3" s="226"/>
      <c r="J3" s="226"/>
      <c r="K3" s="226"/>
      <c r="O3" s="121"/>
      <c r="P3" s="121"/>
      <c r="Q3" s="121"/>
      <c r="R3" s="121"/>
      <c r="S3" s="121"/>
      <c r="T3" s="121"/>
      <c r="U3" s="121"/>
      <c r="V3" s="121"/>
    </row>
    <row r="4" spans="1:22" ht="15" customHeight="1" x14ac:dyDescent="0.25">
      <c r="B4" s="168"/>
      <c r="C4" s="168"/>
      <c r="D4" s="168"/>
      <c r="E4" s="168"/>
      <c r="F4" s="168"/>
      <c r="G4" s="168"/>
      <c r="H4" s="168"/>
      <c r="I4" s="168"/>
      <c r="O4" s="121"/>
      <c r="P4" s="121"/>
      <c r="Q4" s="121"/>
      <c r="R4" s="121"/>
      <c r="S4" s="121"/>
      <c r="T4" s="121"/>
      <c r="U4" s="121"/>
      <c r="V4" s="121"/>
    </row>
    <row r="7" spans="1:22" x14ac:dyDescent="0.25">
      <c r="C7"/>
    </row>
    <row r="37" spans="2:12" ht="15" customHeight="1" x14ac:dyDescent="0.35">
      <c r="C37" s="167"/>
      <c r="D37" s="225" t="s">
        <v>162</v>
      </c>
      <c r="E37" s="225"/>
      <c r="F37" s="225"/>
      <c r="G37" s="225"/>
      <c r="H37" s="225"/>
      <c r="I37" s="225"/>
      <c r="J37" s="225"/>
      <c r="K37" s="225"/>
      <c r="L37" s="225"/>
    </row>
    <row r="38" spans="2:12" ht="15" customHeight="1" x14ac:dyDescent="0.35">
      <c r="B38" s="167"/>
      <c r="C38" s="167"/>
      <c r="D38" s="225"/>
      <c r="E38" s="225"/>
      <c r="F38" s="225"/>
      <c r="G38" s="225"/>
      <c r="H38" s="225"/>
      <c r="I38" s="225"/>
      <c r="J38" s="225"/>
      <c r="K38" s="225"/>
      <c r="L38" s="225"/>
    </row>
    <row r="61" spans="3:13" x14ac:dyDescent="0.25">
      <c r="D61" s="175" t="s">
        <v>156</v>
      </c>
      <c r="E61" s="10" t="s">
        <v>158</v>
      </c>
      <c r="H61" s="175" t="s">
        <v>157</v>
      </c>
      <c r="I61" s="10" t="s">
        <v>159</v>
      </c>
    </row>
    <row r="63" spans="3:13" ht="15" customHeight="1" x14ac:dyDescent="0.25">
      <c r="C63" s="227" t="s">
        <v>164</v>
      </c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3:13" ht="15" customHeight="1" x14ac:dyDescent="0.25"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</sheetData>
  <mergeCells count="3">
    <mergeCell ref="D37:L38"/>
    <mergeCell ref="F2:K3"/>
    <mergeCell ref="C63:M64"/>
  </mergeCells>
  <hyperlinks>
    <hyperlink ref="A1" location="Acceuil!A1" display="Retour à l'acceuil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</vt:i4>
      </vt:variant>
    </vt:vector>
  </HeadingPairs>
  <TitlesOfParts>
    <vt:vector size="14" baseType="lpstr">
      <vt:lpstr>Acceuil</vt:lpstr>
      <vt:lpstr>info fontaine</vt:lpstr>
      <vt:lpstr>Budget</vt:lpstr>
      <vt:lpstr>Compt.</vt:lpstr>
      <vt:lpstr>Stockage</vt:lpstr>
      <vt:lpstr>Info2</vt:lpstr>
      <vt:lpstr>liste_des_abonnés</vt:lpstr>
      <vt:lpstr>Redevance</vt:lpstr>
      <vt:lpstr>Listes</vt:lpstr>
      <vt:lpstr>CE_et_liste_fontaines</vt:lpstr>
      <vt:lpstr>COF</vt:lpstr>
      <vt:lpstr>Carte</vt:lpstr>
      <vt:lpstr>l_nom</vt:lpstr>
      <vt:lpstr>P_nom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Antoine Verlaine BIEN-AIMÉ</cp:lastModifiedBy>
  <cp:lastPrinted>2018-03-19T16:44:49Z</cp:lastPrinted>
  <dcterms:created xsi:type="dcterms:W3CDTF">2017-09-04T14:10:35Z</dcterms:created>
  <dcterms:modified xsi:type="dcterms:W3CDTF">2018-09-05T21:56:57Z</dcterms:modified>
</cp:coreProperties>
</file>